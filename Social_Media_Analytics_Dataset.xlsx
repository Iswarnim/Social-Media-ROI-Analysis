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tables/table3.xml" ContentType="application/vnd.openxmlformats-officedocument.spreadsheetml.tab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tables/table4.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tables/table5.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6.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warn\OneDrive\Desktop\"/>
    </mc:Choice>
  </mc:AlternateContent>
  <xr:revisionPtr revIDLastSave="0" documentId="13_ncr:1_{10D9060A-6B50-45A1-BB07-7B4EF095A89D}" xr6:coauthVersionLast="47" xr6:coauthVersionMax="47" xr10:uidLastSave="{00000000-0000-0000-0000-000000000000}"/>
  <bookViews>
    <workbookView xWindow="-108" yWindow="-108" windowWidth="23256" windowHeight="12456" tabRatio="698" firstSheet="6" activeTab="8" xr2:uid="{00000000-000D-0000-FFFF-FFFF00000000}"/>
  </bookViews>
  <sheets>
    <sheet name="Dash_Board" sheetId="21" r:id="rId1"/>
    <sheet name="Posts" sheetId="1" r:id="rId2"/>
    <sheet name="Cleaned_Data" sheetId="4" r:id="rId3"/>
    <sheet name="Clean_Hashtag_Data" sheetId="8" r:id="rId4"/>
    <sheet name="Hashtag_Performanance" sheetId="9" r:id="rId5"/>
    <sheet name="Hashtag_Performance_2" sheetId="26" r:id="rId6"/>
    <sheet name="Total_Engagement" sheetId="10" r:id="rId7"/>
    <sheet name="Content_wise_Engagement_Rate" sheetId="11" r:id="rId8"/>
    <sheet name="Cost _Per_Engagement" sheetId="20" r:id="rId9"/>
    <sheet name="ROI" sheetId="12" r:id="rId10"/>
    <sheet name="Engagement Summary" sheetId="2" r:id="rId11"/>
    <sheet name="Engagement Summary (2)" sheetId="5" r:id="rId12"/>
    <sheet name="Highest_follower_gain" sheetId="31" r:id="rId13"/>
    <sheet name="Platform_wise_Growth" sheetId="23" r:id="rId14"/>
    <sheet name="Follower_Impact" sheetId="18" r:id="rId15"/>
    <sheet name="Growth_Rate" sheetId="14" r:id="rId16"/>
    <sheet name="Campaign Metadata" sheetId="3" r:id="rId17"/>
    <sheet name="Campaign Metadata (2)" sheetId="6" r:id="rId18"/>
    <sheet name="Ad_Spent" sheetId="15" r:id="rId19"/>
  </sheets>
  <definedNames>
    <definedName name="_xlnm._FilterDatabase" localSheetId="2" hidden="1">Cleaned_Data!$A$1:$Z$301</definedName>
    <definedName name="_xlnm._FilterDatabase" localSheetId="1" hidden="1">Posts!$A$1:$Z$301</definedName>
    <definedName name="ExternalData_1" localSheetId="3" hidden="1">Clean_Hashtag_Data!$A$1:$S$340</definedName>
  </definedNames>
  <calcPr calcId="191029"/>
  <pivotCaches>
    <pivotCache cacheId="7" r:id="rId20"/>
    <pivotCache cacheId="6" r:id="rId21"/>
    <pivotCache cacheId="13"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3" roundtripDataChecksum="bhSlxfWvTgv8XKEk2OsP6o8jWik31LnAbkDVGdJdyIg="/>
    </ext>
  </extLst>
</workbook>
</file>

<file path=xl/calcChain.xml><?xml version="1.0" encoding="utf-8"?>
<calcChain xmlns="http://schemas.openxmlformats.org/spreadsheetml/2006/main">
  <c r="B52" i="31" l="1"/>
  <c r="K2" i="6"/>
  <c r="K3" i="6"/>
  <c r="K4" i="6"/>
  <c r="K5" i="6"/>
  <c r="I2" i="6"/>
  <c r="I3" i="6"/>
  <c r="I4" i="6"/>
  <c r="I5" i="6"/>
  <c r="H2" i="6"/>
  <c r="J2" i="6" s="1"/>
  <c r="H3" i="6"/>
  <c r="J3" i="6" s="1"/>
  <c r="H4" i="6"/>
  <c r="J4" i="6" s="1"/>
  <c r="H5" i="6"/>
  <c r="J5" i="6" s="1"/>
  <c r="B6" i="18"/>
  <c r="H2" i="5"/>
  <c r="I2" i="5" s="1"/>
  <c r="H3" i="5"/>
  <c r="I3" i="5" s="1"/>
  <c r="H4" i="5"/>
  <c r="I4" i="5" s="1"/>
  <c r="H5" i="5"/>
  <c r="I5" i="5" s="1"/>
  <c r="H6" i="5"/>
  <c r="I6" i="5" s="1"/>
  <c r="H7" i="5"/>
  <c r="I7" i="5" s="1"/>
  <c r="H8" i="5"/>
  <c r="I8" i="5" s="1"/>
  <c r="H9" i="5"/>
  <c r="I9" i="5" s="1"/>
  <c r="H10" i="5"/>
  <c r="I10" i="5" s="1"/>
  <c r="H11" i="5"/>
  <c r="I11" i="5" s="1"/>
  <c r="H12" i="5"/>
  <c r="I12" i="5" s="1"/>
  <c r="H13" i="5"/>
  <c r="I13" i="5" s="1"/>
  <c r="H14" i="5"/>
  <c r="I14" i="5" s="1"/>
  <c r="H15" i="5"/>
  <c r="I15" i="5" s="1"/>
  <c r="H16" i="5"/>
  <c r="I16" i="5" s="1"/>
  <c r="H17" i="5"/>
  <c r="I17" i="5" s="1"/>
  <c r="H18" i="5"/>
  <c r="I18" i="5" s="1"/>
  <c r="H19" i="5"/>
  <c r="I19" i="5" s="1"/>
  <c r="H20" i="5"/>
  <c r="I20" i="5" s="1"/>
  <c r="H21" i="5"/>
  <c r="I21" i="5" s="1"/>
  <c r="H22" i="5"/>
  <c r="I22" i="5" s="1"/>
  <c r="H23" i="5"/>
  <c r="I23" i="5" s="1"/>
  <c r="H24" i="5"/>
  <c r="I24" i="5" s="1"/>
  <c r="H25" i="5"/>
  <c r="I25" i="5" s="1"/>
  <c r="H26" i="5"/>
  <c r="I26" i="5" s="1"/>
  <c r="H27" i="5"/>
  <c r="I27" i="5" s="1"/>
  <c r="H28" i="5"/>
  <c r="I28" i="5" s="1"/>
  <c r="H29" i="5"/>
  <c r="I29" i="5" s="1"/>
  <c r="H30" i="5"/>
  <c r="I30" i="5" s="1"/>
  <c r="H31" i="5"/>
  <c r="I31" i="5" s="1"/>
  <c r="H32" i="5"/>
  <c r="I32" i="5" s="1"/>
  <c r="H33" i="5"/>
  <c r="I33" i="5" s="1"/>
  <c r="H34" i="5"/>
  <c r="I34" i="5" s="1"/>
  <c r="H35" i="5"/>
  <c r="I35" i="5" s="1"/>
  <c r="H36" i="5"/>
  <c r="I36" i="5" s="1"/>
  <c r="H37" i="5"/>
  <c r="I37" i="5" s="1"/>
  <c r="H38" i="5"/>
  <c r="I38" i="5" s="1"/>
  <c r="H39" i="5"/>
  <c r="I39" i="5" s="1"/>
  <c r="H40" i="5"/>
  <c r="I40" i="5" s="1"/>
  <c r="H41" i="5"/>
  <c r="I41" i="5" s="1"/>
  <c r="H42" i="5"/>
  <c r="I42" i="5" s="1"/>
  <c r="H43" i="5"/>
  <c r="I43" i="5" s="1"/>
  <c r="H44" i="5"/>
  <c r="I44" i="5" s="1"/>
  <c r="H45" i="5"/>
  <c r="I45" i="5" s="1"/>
  <c r="H46" i="5"/>
  <c r="I46" i="5" s="1"/>
  <c r="H47" i="5"/>
  <c r="I47" i="5" s="1"/>
  <c r="H48" i="5"/>
  <c r="I48" i="5" s="1"/>
  <c r="H49" i="5"/>
  <c r="I49" i="5" s="1"/>
  <c r="H50" i="5"/>
  <c r="I50" i="5" s="1"/>
  <c r="H51" i="5"/>
  <c r="I51" i="5" s="1"/>
  <c r="H52" i="5"/>
  <c r="I52" i="5" s="1"/>
  <c r="H53" i="5"/>
  <c r="I53" i="5" s="1"/>
  <c r="H54" i="5"/>
  <c r="I54" i="5" s="1"/>
  <c r="H55" i="5"/>
  <c r="I55" i="5" s="1"/>
  <c r="H56" i="5"/>
  <c r="I56" i="5" s="1"/>
  <c r="H57" i="5"/>
  <c r="I57" i="5" s="1"/>
  <c r="H58" i="5"/>
  <c r="I58" i="5" s="1"/>
  <c r="H59" i="5"/>
  <c r="I59" i="5" s="1"/>
  <c r="H60" i="5"/>
  <c r="I60" i="5" s="1"/>
  <c r="H61" i="5"/>
  <c r="I61" i="5" s="1"/>
  <c r="H62" i="5"/>
  <c r="I62" i="5" s="1"/>
  <c r="H63" i="5"/>
  <c r="I63" i="5" s="1"/>
  <c r="H64" i="5"/>
  <c r="I64" i="5" s="1"/>
  <c r="H65" i="5"/>
  <c r="I65" i="5" s="1"/>
  <c r="H66" i="5"/>
  <c r="I66" i="5" s="1"/>
  <c r="H67" i="5"/>
  <c r="I67" i="5" s="1"/>
  <c r="H68" i="5"/>
  <c r="I68" i="5" s="1"/>
  <c r="H69" i="5"/>
  <c r="I69" i="5" s="1"/>
  <c r="H70" i="5"/>
  <c r="I70" i="5" s="1"/>
  <c r="H71" i="5"/>
  <c r="I71" i="5" s="1"/>
  <c r="H72" i="5"/>
  <c r="I72" i="5" s="1"/>
  <c r="H73" i="5"/>
  <c r="I73" i="5" s="1"/>
  <c r="H74" i="5"/>
  <c r="I74" i="5" s="1"/>
  <c r="H75" i="5"/>
  <c r="I75" i="5" s="1"/>
  <c r="H76" i="5"/>
  <c r="I76" i="5" s="1"/>
  <c r="H77" i="5"/>
  <c r="I77" i="5" s="1"/>
  <c r="H78" i="5"/>
  <c r="I78" i="5" s="1"/>
  <c r="H79" i="5"/>
  <c r="I79" i="5" s="1"/>
  <c r="H80" i="5"/>
  <c r="I80" i="5" s="1"/>
  <c r="H81" i="5"/>
  <c r="I81" i="5" s="1"/>
  <c r="H82" i="5"/>
  <c r="I82" i="5" s="1"/>
  <c r="H83" i="5"/>
  <c r="I83" i="5" s="1"/>
  <c r="H84" i="5"/>
  <c r="I84" i="5" s="1"/>
  <c r="H85" i="5"/>
  <c r="I85" i="5" s="1"/>
  <c r="H86" i="5"/>
  <c r="I86" i="5" s="1"/>
  <c r="H87" i="5"/>
  <c r="I87" i="5" s="1"/>
  <c r="H88" i="5"/>
  <c r="I88" i="5" s="1"/>
  <c r="H89" i="5"/>
  <c r="I89" i="5" s="1"/>
  <c r="H90" i="5"/>
  <c r="I90" i="5" s="1"/>
  <c r="H91" i="5"/>
  <c r="I91" i="5" s="1"/>
  <c r="H92" i="5"/>
  <c r="I92" i="5" s="1"/>
  <c r="H93" i="5"/>
  <c r="I93" i="5" s="1"/>
  <c r="H94" i="5"/>
  <c r="I94" i="5" s="1"/>
  <c r="H95" i="5"/>
  <c r="I95" i="5" s="1"/>
  <c r="H96" i="5"/>
  <c r="I96" i="5" s="1"/>
  <c r="H97" i="5"/>
  <c r="I97" i="5" s="1"/>
  <c r="H98" i="5"/>
  <c r="I98" i="5" s="1"/>
  <c r="H99" i="5"/>
  <c r="I99" i="5" s="1"/>
  <c r="H100" i="5"/>
  <c r="I100" i="5" s="1"/>
  <c r="H101" i="5"/>
  <c r="I101" i="5" s="1"/>
  <c r="H102" i="5"/>
  <c r="I102" i="5" s="1"/>
  <c r="H103" i="5"/>
  <c r="I103" i="5" s="1"/>
  <c r="H104" i="5"/>
  <c r="I104" i="5" s="1"/>
  <c r="H105" i="5"/>
  <c r="I105" i="5" s="1"/>
  <c r="H106" i="5"/>
  <c r="I106" i="5" s="1"/>
  <c r="H107" i="5"/>
  <c r="I107" i="5" s="1"/>
  <c r="H108" i="5"/>
  <c r="I108" i="5" s="1"/>
  <c r="H109" i="5"/>
  <c r="I109" i="5" s="1"/>
  <c r="H110" i="5"/>
  <c r="I110" i="5" s="1"/>
  <c r="H111" i="5"/>
  <c r="I111" i="5" s="1"/>
  <c r="H112" i="5"/>
  <c r="I112" i="5" s="1"/>
  <c r="H113" i="5"/>
  <c r="I113" i="5" s="1"/>
  <c r="H114" i="5"/>
  <c r="I114" i="5" s="1"/>
  <c r="H115" i="5"/>
  <c r="I115" i="5" s="1"/>
  <c r="H116" i="5"/>
  <c r="I116" i="5" s="1"/>
  <c r="H117" i="5"/>
  <c r="I117" i="5" s="1"/>
  <c r="H118" i="5"/>
  <c r="I118" i="5" s="1"/>
  <c r="H119" i="5"/>
  <c r="I119" i="5" s="1"/>
  <c r="H120" i="5"/>
  <c r="I120" i="5" s="1"/>
  <c r="H121" i="5"/>
  <c r="I121" i="5" s="1"/>
  <c r="H122" i="5"/>
  <c r="I122" i="5" s="1"/>
  <c r="H123" i="5"/>
  <c r="I123" i="5" s="1"/>
  <c r="H124" i="5"/>
  <c r="I124" i="5" s="1"/>
  <c r="H125" i="5"/>
  <c r="I125" i="5" s="1"/>
  <c r="H126" i="5"/>
  <c r="I126" i="5" s="1"/>
  <c r="H127" i="5"/>
  <c r="I127" i="5" s="1"/>
  <c r="H128" i="5"/>
  <c r="I128" i="5" s="1"/>
  <c r="H129" i="5"/>
  <c r="I129" i="5" s="1"/>
  <c r="H130" i="5"/>
  <c r="I130" i="5" s="1"/>
  <c r="H131" i="5"/>
  <c r="I131" i="5" s="1"/>
  <c r="H132" i="5"/>
  <c r="I132" i="5" s="1"/>
  <c r="H133" i="5"/>
  <c r="I133" i="5" s="1"/>
  <c r="H134" i="5"/>
  <c r="I134" i="5" s="1"/>
  <c r="H135" i="5"/>
  <c r="I135" i="5" s="1"/>
  <c r="H136" i="5"/>
  <c r="I136" i="5" s="1"/>
  <c r="H137" i="5"/>
  <c r="I137" i="5" s="1"/>
  <c r="H138" i="5"/>
  <c r="I138" i="5" s="1"/>
  <c r="H139" i="5"/>
  <c r="I139" i="5" s="1"/>
  <c r="H140" i="5"/>
  <c r="I140" i="5" s="1"/>
  <c r="H141" i="5"/>
  <c r="I141" i="5" s="1"/>
  <c r="H142" i="5"/>
  <c r="I142" i="5" s="1"/>
  <c r="H143" i="5"/>
  <c r="I143" i="5" s="1"/>
  <c r="H144" i="5"/>
  <c r="I144" i="5" s="1"/>
  <c r="H145" i="5"/>
  <c r="I145" i="5" s="1"/>
  <c r="H146" i="5"/>
  <c r="I146" i="5" s="1"/>
  <c r="H147" i="5"/>
  <c r="I147" i="5" s="1"/>
  <c r="H148" i="5"/>
  <c r="I148" i="5" s="1"/>
  <c r="H149" i="5"/>
  <c r="I149" i="5" s="1"/>
  <c r="H150" i="5"/>
  <c r="I150" i="5" s="1"/>
  <c r="H151" i="5"/>
  <c r="I151" i="5" s="1"/>
  <c r="H152" i="5"/>
  <c r="I152" i="5" s="1"/>
  <c r="H153" i="5"/>
  <c r="I153" i="5" s="1"/>
  <c r="H154" i="5"/>
  <c r="I154" i="5" s="1"/>
  <c r="H155" i="5"/>
  <c r="I155" i="5" s="1"/>
  <c r="H156" i="5"/>
  <c r="I156" i="5" s="1"/>
  <c r="H157" i="5"/>
  <c r="I157" i="5" s="1"/>
  <c r="H158" i="5"/>
  <c r="I158" i="5" s="1"/>
  <c r="H159" i="5"/>
  <c r="I159" i="5" s="1"/>
  <c r="H160" i="5"/>
  <c r="I160" i="5" s="1"/>
  <c r="H161" i="5"/>
  <c r="I161" i="5" s="1"/>
  <c r="H162" i="5"/>
  <c r="I162" i="5" s="1"/>
  <c r="H163" i="5"/>
  <c r="I163" i="5" s="1"/>
  <c r="H164" i="5"/>
  <c r="I164" i="5" s="1"/>
  <c r="H165" i="5"/>
  <c r="I165" i="5" s="1"/>
  <c r="H166" i="5"/>
  <c r="I166" i="5" s="1"/>
  <c r="H167" i="5"/>
  <c r="I167" i="5" s="1"/>
  <c r="H168" i="5"/>
  <c r="I168" i="5" s="1"/>
  <c r="H169" i="5"/>
  <c r="I169" i="5" s="1"/>
  <c r="H170" i="5"/>
  <c r="I170" i="5" s="1"/>
  <c r="H171" i="5"/>
  <c r="I171" i="5" s="1"/>
  <c r="H172" i="5"/>
  <c r="I172" i="5" s="1"/>
  <c r="H173" i="5"/>
  <c r="I173" i="5" s="1"/>
  <c r="H174" i="5"/>
  <c r="I174" i="5" s="1"/>
  <c r="H175" i="5"/>
  <c r="I175" i="5" s="1"/>
  <c r="H176" i="5"/>
  <c r="I176" i="5" s="1"/>
  <c r="H177" i="5"/>
  <c r="I177" i="5" s="1"/>
  <c r="H178" i="5"/>
  <c r="I178" i="5" s="1"/>
  <c r="H179" i="5"/>
  <c r="I179" i="5" s="1"/>
  <c r="H180" i="5"/>
  <c r="I180" i="5" s="1"/>
  <c r="H181" i="5"/>
  <c r="I181" i="5" s="1"/>
  <c r="H182" i="5"/>
  <c r="I182" i="5" s="1"/>
  <c r="H183" i="5"/>
  <c r="I183" i="5" s="1"/>
  <c r="H184" i="5"/>
  <c r="I184" i="5" s="1"/>
  <c r="H185" i="5"/>
  <c r="I185" i="5" s="1"/>
  <c r="H186" i="5"/>
  <c r="I186" i="5" s="1"/>
  <c r="H187" i="5"/>
  <c r="I187" i="5" s="1"/>
  <c r="H188" i="5"/>
  <c r="I188" i="5" s="1"/>
  <c r="H189" i="5"/>
  <c r="I189" i="5" s="1"/>
  <c r="H190" i="5"/>
  <c r="I190" i="5" s="1"/>
  <c r="H191" i="5"/>
  <c r="I191" i="5" s="1"/>
  <c r="H192" i="5"/>
  <c r="I192" i="5" s="1"/>
  <c r="H193" i="5"/>
  <c r="I193" i="5" s="1"/>
  <c r="H194" i="5"/>
  <c r="I194" i="5" s="1"/>
  <c r="H195" i="5"/>
  <c r="I195" i="5" s="1"/>
  <c r="H196" i="5"/>
  <c r="I196" i="5" s="1"/>
  <c r="H197" i="5"/>
  <c r="I197" i="5" s="1"/>
  <c r="H198" i="5"/>
  <c r="I198" i="5" s="1"/>
  <c r="H199" i="5"/>
  <c r="I199" i="5" s="1"/>
  <c r="H200" i="5"/>
  <c r="I200" i="5" s="1"/>
  <c r="H201" i="5"/>
  <c r="I201" i="5" s="1"/>
  <c r="P2" i="4" a="1"/>
  <c r="P2" i="4" s="1"/>
  <c r="R2" i="4" s="1"/>
  <c r="P3" i="4" a="1"/>
  <c r="P3" i="4" s="1"/>
  <c r="R3" i="4" s="1"/>
  <c r="P4" i="4" a="1"/>
  <c r="P4" i="4" s="1"/>
  <c r="R4" i="4" s="1"/>
  <c r="P5" i="4" a="1"/>
  <c r="P5" i="4" s="1"/>
  <c r="R5" i="4" s="1"/>
  <c r="P6" i="4" a="1"/>
  <c r="P6" i="4" s="1"/>
  <c r="Q6" i="4" s="1"/>
  <c r="P7" i="4" a="1"/>
  <c r="P7" i="4" s="1"/>
  <c r="S7" i="4" s="1"/>
  <c r="P8" i="4" a="1"/>
  <c r="P8" i="4" s="1"/>
  <c r="Q8" i="4" s="1"/>
  <c r="P9" i="4" a="1"/>
  <c r="P9" i="4" s="1"/>
  <c r="Q9" i="4" s="1"/>
  <c r="P10" i="4" a="1"/>
  <c r="P10" i="4" s="1"/>
  <c r="R10" i="4" s="1"/>
  <c r="P11" i="4" a="1"/>
  <c r="P11" i="4" s="1"/>
  <c r="P12" i="4" a="1"/>
  <c r="P12" i="4" s="1"/>
  <c r="R12" i="4" s="1"/>
  <c r="P13" i="4" a="1"/>
  <c r="P13" i="4" s="1"/>
  <c r="R13" i="4" s="1"/>
  <c r="P14" i="4" a="1"/>
  <c r="P14" i="4" s="1"/>
  <c r="S14" i="4" s="1"/>
  <c r="P15" i="4" a="1"/>
  <c r="P15" i="4" s="1"/>
  <c r="S15" i="4" s="1"/>
  <c r="P16" i="4" a="1"/>
  <c r="P16" i="4" s="1"/>
  <c r="Q16" i="4" s="1"/>
  <c r="P17" i="4" a="1"/>
  <c r="P17" i="4" s="1"/>
  <c r="Q17" i="4" s="1"/>
  <c r="P18" i="4" a="1"/>
  <c r="P18" i="4" s="1"/>
  <c r="R18" i="4" s="1"/>
  <c r="P19" i="4" a="1"/>
  <c r="P19" i="4" s="1"/>
  <c r="R19" i="4" s="1"/>
  <c r="P20" i="4" a="1"/>
  <c r="P20" i="4" s="1"/>
  <c r="R20" i="4" s="1"/>
  <c r="P21" i="4" a="1"/>
  <c r="P21" i="4" s="1"/>
  <c r="R21" i="4" s="1"/>
  <c r="P22" i="4" a="1"/>
  <c r="P22" i="4" s="1"/>
  <c r="S22" i="4" s="1"/>
  <c r="P23" i="4" a="1"/>
  <c r="P23" i="4" s="1"/>
  <c r="S23" i="4" s="1"/>
  <c r="P24" i="4" a="1"/>
  <c r="P24" i="4" s="1"/>
  <c r="Q24" i="4" s="1"/>
  <c r="P25" i="4" a="1"/>
  <c r="P25" i="4" s="1"/>
  <c r="Q25" i="4" s="1"/>
  <c r="P26" i="4" a="1"/>
  <c r="P26" i="4" s="1"/>
  <c r="R26" i="4" s="1"/>
  <c r="P27" i="4" a="1"/>
  <c r="P27" i="4" s="1"/>
  <c r="S27" i="4" s="1"/>
  <c r="P28" i="4" a="1"/>
  <c r="P28" i="4" s="1"/>
  <c r="R28" i="4" s="1"/>
  <c r="P29" i="4" a="1"/>
  <c r="P29" i="4" s="1"/>
  <c r="R29" i="4" s="1"/>
  <c r="P30" i="4" a="1"/>
  <c r="P30" i="4" s="1"/>
  <c r="Q30" i="4" s="1"/>
  <c r="P31" i="4" a="1"/>
  <c r="P31" i="4" s="1"/>
  <c r="S31" i="4" s="1"/>
  <c r="P32" i="4" a="1"/>
  <c r="P32" i="4" s="1"/>
  <c r="Q32" i="4" s="1"/>
  <c r="P33" i="4" a="1"/>
  <c r="P33" i="4" s="1"/>
  <c r="S33" i="4" s="1"/>
  <c r="P34" i="4" a="1"/>
  <c r="P34" i="4" s="1"/>
  <c r="R34" i="4" s="1"/>
  <c r="P35" i="4" a="1"/>
  <c r="P35" i="4" s="1"/>
  <c r="R35" i="4" s="1"/>
  <c r="P36" i="4" a="1"/>
  <c r="P36" i="4" s="1"/>
  <c r="R36" i="4" s="1"/>
  <c r="P37" i="4" a="1"/>
  <c r="P37" i="4" s="1"/>
  <c r="R37" i="4" s="1"/>
  <c r="P38" i="4" a="1"/>
  <c r="P38" i="4" s="1"/>
  <c r="Q38" i="4" s="1"/>
  <c r="P39" i="4" a="1"/>
  <c r="P39" i="4" s="1"/>
  <c r="S39" i="4" s="1"/>
  <c r="P40" i="4" a="1"/>
  <c r="P40" i="4" s="1"/>
  <c r="Q40" i="4" s="1"/>
  <c r="P41" i="4" a="1"/>
  <c r="P41" i="4" s="1"/>
  <c r="Q41" i="4" s="1"/>
  <c r="P42" i="4" a="1"/>
  <c r="P42" i="4" s="1"/>
  <c r="R42" i="4" s="1"/>
  <c r="P43" i="4" a="1"/>
  <c r="P43" i="4" s="1"/>
  <c r="R43" i="4" s="1"/>
  <c r="P44" i="4" a="1"/>
  <c r="P44" i="4" s="1"/>
  <c r="R44" i="4" s="1"/>
  <c r="P45" i="4" a="1"/>
  <c r="P45" i="4" s="1"/>
  <c r="R45" i="4" s="1"/>
  <c r="P46" i="4" a="1"/>
  <c r="P46" i="4" s="1"/>
  <c r="S46" i="4" s="1"/>
  <c r="P47" i="4" a="1"/>
  <c r="P47" i="4" s="1"/>
  <c r="S47" i="4" s="1"/>
  <c r="P48" i="4" a="1"/>
  <c r="P48" i="4" s="1"/>
  <c r="Q48" i="4" s="1"/>
  <c r="P49" i="4" a="1"/>
  <c r="P49" i="4" s="1"/>
  <c r="Q49" i="4" s="1"/>
  <c r="P50" i="4" a="1"/>
  <c r="P50" i="4" s="1"/>
  <c r="R50" i="4" s="1"/>
  <c r="P51" i="4" a="1"/>
  <c r="P51" i="4" s="1"/>
  <c r="R51" i="4" s="1"/>
  <c r="P52" i="4" a="1"/>
  <c r="P52" i="4" s="1"/>
  <c r="R52" i="4" s="1"/>
  <c r="P53" i="4" a="1"/>
  <c r="P53" i="4" s="1"/>
  <c r="R53" i="4" s="1"/>
  <c r="P54" i="4" a="1"/>
  <c r="P54" i="4" s="1"/>
  <c r="Q54" i="4" s="1"/>
  <c r="P55" i="4" a="1"/>
  <c r="P55" i="4" s="1"/>
  <c r="Q55" i="4" s="1"/>
  <c r="P56" i="4" a="1"/>
  <c r="P56" i="4" s="1"/>
  <c r="Q56" i="4" s="1"/>
  <c r="P57" i="4" a="1"/>
  <c r="P57" i="4" s="1"/>
  <c r="Q57" i="4" s="1"/>
  <c r="P58" i="4" a="1"/>
  <c r="P58" i="4" s="1"/>
  <c r="S58" i="4" s="1"/>
  <c r="P59" i="4" a="1"/>
  <c r="P59" i="4" s="1"/>
  <c r="S59" i="4" s="1"/>
  <c r="P60" i="4" a="1"/>
  <c r="P60" i="4" s="1"/>
  <c r="R60" i="4" s="1"/>
  <c r="P61" i="4" a="1"/>
  <c r="P61" i="4" s="1"/>
  <c r="R61" i="4" s="1"/>
  <c r="P62" i="4" a="1"/>
  <c r="P62" i="4" s="1"/>
  <c r="Q62" i="4" s="1"/>
  <c r="P63" i="4" a="1"/>
  <c r="P63" i="4" s="1"/>
  <c r="Q63" i="4" s="1"/>
  <c r="P64" i="4" a="1"/>
  <c r="P64" i="4" s="1"/>
  <c r="Q64" i="4" s="1"/>
  <c r="P65" i="4" a="1"/>
  <c r="P65" i="4" s="1"/>
  <c r="Q65" i="4" s="1"/>
  <c r="P66" i="4" a="1"/>
  <c r="P66" i="4" s="1"/>
  <c r="R66" i="4" s="1"/>
  <c r="P67" i="4" a="1"/>
  <c r="P67" i="4" s="1"/>
  <c r="R67" i="4" s="1"/>
  <c r="P68" i="4" a="1"/>
  <c r="P68" i="4" s="1"/>
  <c r="R68" i="4" s="1"/>
  <c r="P69" i="4" a="1"/>
  <c r="P69" i="4" s="1"/>
  <c r="R69" i="4" s="1"/>
  <c r="P70" i="4" a="1"/>
  <c r="P70" i="4" s="1"/>
  <c r="S70" i="4" s="1"/>
  <c r="P71" i="4" a="1"/>
  <c r="P71" i="4" s="1"/>
  <c r="S71" i="4" s="1"/>
  <c r="P72" i="4" a="1"/>
  <c r="P72" i="4" s="1"/>
  <c r="Q72" i="4" s="1"/>
  <c r="P73" i="4" a="1"/>
  <c r="P73" i="4" s="1"/>
  <c r="Q73" i="4" s="1"/>
  <c r="P74" i="4" a="1"/>
  <c r="P74" i="4" s="1"/>
  <c r="R74" i="4" s="1"/>
  <c r="P75" i="4" a="1"/>
  <c r="P75" i="4" s="1"/>
  <c r="R75" i="4" s="1"/>
  <c r="P76" i="4" a="1"/>
  <c r="P76" i="4" s="1"/>
  <c r="R76" i="4" s="1"/>
  <c r="P77" i="4" a="1"/>
  <c r="P77" i="4" s="1"/>
  <c r="R77" i="4" s="1"/>
  <c r="P78" i="4" a="1"/>
  <c r="P78" i="4" s="1"/>
  <c r="S78" i="4" s="1"/>
  <c r="P79" i="4" a="1"/>
  <c r="P79" i="4" s="1"/>
  <c r="Q79" i="4" s="1"/>
  <c r="P80" i="4" a="1"/>
  <c r="P80" i="4" s="1"/>
  <c r="Q80" i="4" s="1"/>
  <c r="P81" i="4" a="1"/>
  <c r="P81" i="4" s="1"/>
  <c r="Q81" i="4" s="1"/>
  <c r="P82" i="4" a="1"/>
  <c r="P82" i="4" s="1"/>
  <c r="R82" i="4" s="1"/>
  <c r="P83" i="4" a="1"/>
  <c r="P83" i="4" s="1"/>
  <c r="S83" i="4" s="1"/>
  <c r="P84" i="4" a="1"/>
  <c r="P84" i="4" s="1"/>
  <c r="R84" i="4" s="1"/>
  <c r="P85" i="4" a="1"/>
  <c r="P85" i="4" s="1"/>
  <c r="R85" i="4" s="1"/>
  <c r="P86" i="4" a="1"/>
  <c r="P86" i="4" s="1"/>
  <c r="Q86" i="4" s="1"/>
  <c r="P87" i="4" a="1"/>
  <c r="P87" i="4" s="1"/>
  <c r="T87" i="4" s="1"/>
  <c r="P88" i="4" a="1"/>
  <c r="P88" i="4" s="1"/>
  <c r="Q88" i="4" s="1"/>
  <c r="P89" i="4" a="1"/>
  <c r="P89" i="4" s="1"/>
  <c r="Q89" i="4" s="1"/>
  <c r="P90" i="4" a="1"/>
  <c r="P90" i="4" s="1"/>
  <c r="S90" i="4" s="1"/>
  <c r="P91" i="4" a="1"/>
  <c r="P91" i="4" s="1"/>
  <c r="S91" i="4" s="1"/>
  <c r="P92" i="4" a="1"/>
  <c r="P92" i="4" s="1"/>
  <c r="R92" i="4" s="1"/>
  <c r="P93" i="4" a="1"/>
  <c r="P93" i="4" s="1"/>
  <c r="R93" i="4" s="1"/>
  <c r="P94" i="4" a="1"/>
  <c r="P94" i="4" s="1"/>
  <c r="Q94" i="4" s="1"/>
  <c r="P95" i="4" a="1"/>
  <c r="P95" i="4" s="1"/>
  <c r="S95" i="4" s="1"/>
  <c r="P96" i="4" a="1"/>
  <c r="P96" i="4" s="1"/>
  <c r="Q96" i="4" s="1"/>
  <c r="P97" i="4" a="1"/>
  <c r="P97" i="4" s="1"/>
  <c r="Q97" i="4" s="1"/>
  <c r="P98" i="4" a="1"/>
  <c r="P98" i="4" s="1"/>
  <c r="R98" i="4" s="1"/>
  <c r="P99" i="4" a="1"/>
  <c r="P99" i="4" s="1"/>
  <c r="R99" i="4" s="1"/>
  <c r="P100" i="4" a="1"/>
  <c r="P100" i="4" s="1"/>
  <c r="R100" i="4" s="1"/>
  <c r="P101" i="4" a="1"/>
  <c r="P101" i="4" s="1"/>
  <c r="R101" i="4" s="1"/>
  <c r="P102" i="4" a="1"/>
  <c r="P102" i="4" s="1"/>
  <c r="S102" i="4" s="1"/>
  <c r="P103" i="4" a="1"/>
  <c r="P103" i="4" s="1"/>
  <c r="S103" i="4" s="1"/>
  <c r="P104" i="4" a="1"/>
  <c r="P104" i="4" s="1"/>
  <c r="Q104" i="4" s="1"/>
  <c r="P105" i="4" a="1"/>
  <c r="P105" i="4" s="1"/>
  <c r="Q105" i="4" s="1"/>
  <c r="P106" i="4" a="1"/>
  <c r="P106" i="4" s="1"/>
  <c r="R106" i="4" s="1"/>
  <c r="P107" i="4" a="1"/>
  <c r="P107" i="4" s="1"/>
  <c r="T107" i="4" s="1"/>
  <c r="P108" i="4" a="1"/>
  <c r="P108" i="4" s="1"/>
  <c r="R108" i="4" s="1"/>
  <c r="P109" i="4" a="1"/>
  <c r="P109" i="4" s="1"/>
  <c r="R109" i="4" s="1"/>
  <c r="P110" i="4" a="1"/>
  <c r="P110" i="4" s="1"/>
  <c r="S110" i="4" s="1"/>
  <c r="P111" i="4" a="1"/>
  <c r="P111" i="4" s="1"/>
  <c r="S111" i="4" s="1"/>
  <c r="P112" i="4" a="1"/>
  <c r="P112" i="4" s="1"/>
  <c r="Q112" i="4" s="1"/>
  <c r="P113" i="4" a="1"/>
  <c r="P113" i="4" s="1"/>
  <c r="P114" i="4" a="1"/>
  <c r="P114" i="4" s="1"/>
  <c r="S114" i="4" s="1"/>
  <c r="P115" i="4" a="1"/>
  <c r="P115" i="4" s="1"/>
  <c r="S115" i="4" s="1"/>
  <c r="P116" i="4" a="1"/>
  <c r="P116" i="4" s="1"/>
  <c r="R116" i="4" s="1"/>
  <c r="P117" i="4" a="1"/>
  <c r="P117" i="4" s="1"/>
  <c r="R117" i="4" s="1"/>
  <c r="P118" i="4" a="1"/>
  <c r="P118" i="4" s="1"/>
  <c r="Q118" i="4" s="1"/>
  <c r="P119" i="4" a="1"/>
  <c r="P119" i="4" s="1"/>
  <c r="Q119" i="4" s="1"/>
  <c r="P120" i="4" a="1"/>
  <c r="P120" i="4" s="1"/>
  <c r="Q120" i="4" s="1"/>
  <c r="P121" i="4" a="1"/>
  <c r="P121" i="4" s="1"/>
  <c r="S121" i="4" s="1"/>
  <c r="P122" i="4" a="1"/>
  <c r="P122" i="4" s="1"/>
  <c r="R122" i="4" s="1"/>
  <c r="P123" i="4" a="1"/>
  <c r="P123" i="4" s="1"/>
  <c r="R123" i="4" s="1"/>
  <c r="P124" i="4" a="1"/>
  <c r="P124" i="4" s="1"/>
  <c r="R124" i="4" s="1"/>
  <c r="P125" i="4" a="1"/>
  <c r="P125" i="4" s="1"/>
  <c r="R125" i="4" s="1"/>
  <c r="P126" i="4" a="1"/>
  <c r="P126" i="4" s="1"/>
  <c r="S126" i="4" s="1"/>
  <c r="P127" i="4" a="1"/>
  <c r="P127" i="4" s="1"/>
  <c r="S127" i="4" s="1"/>
  <c r="P128" i="4" a="1"/>
  <c r="P128" i="4" s="1"/>
  <c r="Q128" i="4" s="1"/>
  <c r="P129" i="4" a="1"/>
  <c r="P129" i="4" s="1"/>
  <c r="P130" i="4" a="1"/>
  <c r="P130" i="4" s="1"/>
  <c r="R130" i="4" s="1"/>
  <c r="P131" i="4" a="1"/>
  <c r="P131" i="4" s="1"/>
  <c r="R131" i="4" s="1"/>
  <c r="P132" i="4" a="1"/>
  <c r="P132" i="4" s="1"/>
  <c r="R132" i="4" s="1"/>
  <c r="P133" i="4" a="1"/>
  <c r="P133" i="4" s="1"/>
  <c r="S133" i="4" s="1"/>
  <c r="P134" i="4" a="1"/>
  <c r="P134" i="4" s="1"/>
  <c r="Q134" i="4" s="1"/>
  <c r="P135" i="4" a="1"/>
  <c r="P135" i="4" s="1"/>
  <c r="Q135" i="4" s="1"/>
  <c r="P136" i="4" a="1"/>
  <c r="P136" i="4" s="1"/>
  <c r="Q136" i="4" s="1"/>
  <c r="P137" i="4" a="1"/>
  <c r="P137" i="4" s="1"/>
  <c r="Q137" i="4" s="1"/>
  <c r="P138" i="4" a="1"/>
  <c r="P138" i="4" s="1"/>
  <c r="S138" i="4" s="1"/>
  <c r="P139" i="4" a="1"/>
  <c r="P139" i="4" s="1"/>
  <c r="S139" i="4" s="1"/>
  <c r="P140" i="4" a="1"/>
  <c r="P140" i="4" s="1"/>
  <c r="R140" i="4" s="1"/>
  <c r="P141" i="4" a="1"/>
  <c r="P141" i="4" s="1"/>
  <c r="R141" i="4" s="1"/>
  <c r="P142" i="4" a="1"/>
  <c r="P142" i="4" s="1"/>
  <c r="S142" i="4" s="1"/>
  <c r="P143" i="4" a="1"/>
  <c r="P143" i="4" s="1"/>
  <c r="Q143" i="4" s="1"/>
  <c r="P144" i="4" a="1"/>
  <c r="P144" i="4" s="1"/>
  <c r="Q144" i="4" s="1"/>
  <c r="P145" i="4" a="1"/>
  <c r="P145" i="4" s="1"/>
  <c r="S145" i="4" s="1"/>
  <c r="P146" i="4" a="1"/>
  <c r="P146" i="4" s="1"/>
  <c r="S146" i="4" s="1"/>
  <c r="P147" i="4" a="1"/>
  <c r="P147" i="4" s="1"/>
  <c r="R147" i="4" s="1"/>
  <c r="P148" i="4" a="1"/>
  <c r="P148" i="4" s="1"/>
  <c r="R148" i="4" s="1"/>
  <c r="P149" i="4" a="1"/>
  <c r="P149" i="4" s="1"/>
  <c r="R149" i="4" s="1"/>
  <c r="P150" i="4" a="1"/>
  <c r="P150" i="4" s="1"/>
  <c r="Q150" i="4" s="1"/>
  <c r="P151" i="4" a="1"/>
  <c r="P151" i="4" s="1"/>
  <c r="S151" i="4" s="1"/>
  <c r="P152" i="4" a="1"/>
  <c r="P152" i="4" s="1"/>
  <c r="Q152" i="4" s="1"/>
  <c r="P153" i="4" a="1"/>
  <c r="P153" i="4" s="1"/>
  <c r="Q153" i="4" s="1"/>
  <c r="P154" i="4" a="1"/>
  <c r="P154" i="4" s="1"/>
  <c r="R154" i="4" s="1"/>
  <c r="P155" i="4" a="1"/>
  <c r="P155" i="4" s="1"/>
  <c r="S155" i="4" s="1"/>
  <c r="P156" i="4" a="1"/>
  <c r="P156" i="4" s="1"/>
  <c r="R156" i="4" s="1"/>
  <c r="P157" i="4" a="1"/>
  <c r="P157" i="4" s="1"/>
  <c r="R157" i="4" s="1"/>
  <c r="P158" i="4" a="1"/>
  <c r="P158" i="4" s="1"/>
  <c r="S158" i="4" s="1"/>
  <c r="P159" i="4" a="1"/>
  <c r="P159" i="4" s="1"/>
  <c r="S159" i="4" s="1"/>
  <c r="P160" i="4" a="1"/>
  <c r="P160" i="4" s="1"/>
  <c r="Q160" i="4" s="1"/>
  <c r="P161" i="4" a="1"/>
  <c r="P161" i="4" s="1"/>
  <c r="Q161" i="4" s="1"/>
  <c r="P162" i="4" a="1"/>
  <c r="P162" i="4" s="1"/>
  <c r="S162" i="4" s="1"/>
  <c r="P163" i="4" a="1"/>
  <c r="P163" i="4" s="1"/>
  <c r="R163" i="4" s="1"/>
  <c r="P164" i="4" a="1"/>
  <c r="P164" i="4" s="1"/>
  <c r="R164" i="4" s="1"/>
  <c r="P165" i="4" a="1"/>
  <c r="P165" i="4" s="1"/>
  <c r="R165" i="4" s="1"/>
  <c r="P166" i="4" a="1"/>
  <c r="P166" i="4" s="1"/>
  <c r="S166" i="4" s="1"/>
  <c r="P167" i="4" a="1"/>
  <c r="P167" i="4" s="1"/>
  <c r="Q167" i="4" s="1"/>
  <c r="P168" i="4" a="1"/>
  <c r="P168" i="4" s="1"/>
  <c r="Q168" i="4" s="1"/>
  <c r="P169" i="4" a="1"/>
  <c r="P169" i="4" s="1"/>
  <c r="Q169" i="4" s="1"/>
  <c r="P170" i="4" a="1"/>
  <c r="P170" i="4" s="1"/>
  <c r="S170" i="4" s="1"/>
  <c r="P171" i="4" a="1"/>
  <c r="P171" i="4" s="1"/>
  <c r="S171" i="4" s="1"/>
  <c r="P172" i="4" a="1"/>
  <c r="P172" i="4" s="1"/>
  <c r="R172" i="4" s="1"/>
  <c r="P173" i="4" a="1"/>
  <c r="P173" i="4" s="1"/>
  <c r="R173" i="4" s="1"/>
  <c r="P174" i="4" a="1"/>
  <c r="P174" i="4" s="1"/>
  <c r="Q174" i="4" s="1"/>
  <c r="P175" i="4" a="1"/>
  <c r="P175" i="4" s="1"/>
  <c r="S175" i="4" s="1"/>
  <c r="P176" i="4" a="1"/>
  <c r="P176" i="4" s="1"/>
  <c r="Q176" i="4" s="1"/>
  <c r="P177" i="4" a="1"/>
  <c r="P177" i="4" s="1"/>
  <c r="P178" i="4" a="1"/>
  <c r="P178" i="4" s="1"/>
  <c r="S178" i="4" s="1"/>
  <c r="P179" i="4" a="1"/>
  <c r="P179" i="4" s="1"/>
  <c r="S179" i="4" s="1"/>
  <c r="P180" i="4" a="1"/>
  <c r="P180" i="4" s="1"/>
  <c r="R180" i="4" s="1"/>
  <c r="P181" i="4" a="1"/>
  <c r="P181" i="4" s="1"/>
  <c r="R181" i="4" s="1"/>
  <c r="P182" i="4" a="1"/>
  <c r="P182" i="4" s="1"/>
  <c r="S182" i="4" s="1"/>
  <c r="P183" i="4" a="1"/>
  <c r="P183" i="4" s="1"/>
  <c r="S183" i="4" s="1"/>
  <c r="P184" i="4" a="1"/>
  <c r="P184" i="4" s="1"/>
  <c r="Q184" i="4" s="1"/>
  <c r="P185" i="4" a="1"/>
  <c r="P185" i="4" s="1"/>
  <c r="Q185" i="4" s="1"/>
  <c r="P186" i="4" a="1"/>
  <c r="P186" i="4" s="1"/>
  <c r="S186" i="4" s="1"/>
  <c r="P187" i="4" a="1"/>
  <c r="P187" i="4" s="1"/>
  <c r="S187" i="4" s="1"/>
  <c r="P188" i="4" a="1"/>
  <c r="P188" i="4" s="1"/>
  <c r="R188" i="4" s="1"/>
  <c r="P189" i="4" a="1"/>
  <c r="P189" i="4" s="1"/>
  <c r="R189" i="4" s="1"/>
  <c r="P190" i="4" a="1"/>
  <c r="P190" i="4" s="1"/>
  <c r="S190" i="4" s="1"/>
  <c r="P191" i="4" a="1"/>
  <c r="P191" i="4" s="1"/>
  <c r="S191" i="4" s="1"/>
  <c r="P192" i="4" a="1"/>
  <c r="P192" i="4" s="1"/>
  <c r="Q192" i="4" s="1"/>
  <c r="P193" i="4" a="1"/>
  <c r="P193" i="4" s="1"/>
  <c r="T193" i="4" s="1"/>
  <c r="P194" i="4" a="1"/>
  <c r="P194" i="4" s="1"/>
  <c r="S194" i="4" s="1"/>
  <c r="P195" i="4" a="1"/>
  <c r="P195" i="4" s="1"/>
  <c r="S195" i="4" s="1"/>
  <c r="P196" i="4" a="1"/>
  <c r="P196" i="4" s="1"/>
  <c r="R196" i="4" s="1"/>
  <c r="P197" i="4" a="1"/>
  <c r="P197" i="4" s="1"/>
  <c r="R197" i="4" s="1"/>
  <c r="P198" i="4" a="1"/>
  <c r="P198" i="4" s="1"/>
  <c r="S198" i="4" s="1"/>
  <c r="P199" i="4" a="1"/>
  <c r="P199" i="4" s="1"/>
  <c r="S199" i="4" s="1"/>
  <c r="P200" i="4" a="1"/>
  <c r="P200" i="4" s="1"/>
  <c r="Q200" i="4" s="1"/>
  <c r="P201" i="4" a="1"/>
  <c r="P201" i="4" s="1"/>
  <c r="Q201" i="4" s="1"/>
  <c r="P202" i="4" a="1"/>
  <c r="P202" i="4" s="1"/>
  <c r="S202" i="4" s="1"/>
  <c r="P203" i="4" a="1"/>
  <c r="P203" i="4" s="1"/>
  <c r="S203" i="4" s="1"/>
  <c r="P204" i="4" a="1"/>
  <c r="P204" i="4" s="1"/>
  <c r="R204" i="4" s="1"/>
  <c r="P205" i="4" a="1"/>
  <c r="P205" i="4" s="1"/>
  <c r="R205" i="4" s="1"/>
  <c r="P206" i="4" a="1"/>
  <c r="P206" i="4" s="1"/>
  <c r="S206" i="4" s="1"/>
  <c r="P207" i="4" a="1"/>
  <c r="P207" i="4" s="1"/>
  <c r="S207" i="4" s="1"/>
  <c r="P208" i="4" a="1"/>
  <c r="P208" i="4" s="1"/>
  <c r="Q208" i="4" s="1"/>
  <c r="P209" i="4" a="1"/>
  <c r="P209" i="4" s="1"/>
  <c r="Q209" i="4" s="1"/>
  <c r="P210" i="4" a="1"/>
  <c r="P210" i="4" s="1"/>
  <c r="R210" i="4" s="1"/>
  <c r="P211" i="4" a="1"/>
  <c r="P211" i="4" s="1"/>
  <c r="S211" i="4" s="1"/>
  <c r="P212" i="4" a="1"/>
  <c r="P212" i="4" s="1"/>
  <c r="R212" i="4" s="1"/>
  <c r="P213" i="4" a="1"/>
  <c r="P213" i="4" s="1"/>
  <c r="R213" i="4" s="1"/>
  <c r="P214" i="4" a="1"/>
  <c r="P214" i="4" s="1"/>
  <c r="S214" i="4" s="1"/>
  <c r="P215" i="4" a="1"/>
  <c r="P215" i="4" s="1"/>
  <c r="S215" i="4" s="1"/>
  <c r="P216" i="4" a="1"/>
  <c r="P216" i="4" s="1"/>
  <c r="Q216" i="4" s="1"/>
  <c r="P217" i="4" a="1"/>
  <c r="P217" i="4" s="1"/>
  <c r="T217" i="4" s="1"/>
  <c r="P218" i="4" a="1"/>
  <c r="P218" i="4" s="1"/>
  <c r="S218" i="4" s="1"/>
  <c r="P219" i="4" a="1"/>
  <c r="P219" i="4" s="1"/>
  <c r="S219" i="4" s="1"/>
  <c r="P220" i="4" a="1"/>
  <c r="P220" i="4" s="1"/>
  <c r="R220" i="4" s="1"/>
  <c r="P221" i="4" a="1"/>
  <c r="P221" i="4" s="1"/>
  <c r="R221" i="4" s="1"/>
  <c r="P222" i="4" a="1"/>
  <c r="P222" i="4" s="1"/>
  <c r="S222" i="4" s="1"/>
  <c r="P223" i="4" a="1"/>
  <c r="P223" i="4" s="1"/>
  <c r="S223" i="4" s="1"/>
  <c r="P224" i="4" a="1"/>
  <c r="P224" i="4" s="1"/>
  <c r="Q224" i="4" s="1"/>
  <c r="P225" i="4" a="1"/>
  <c r="P225" i="4" s="1"/>
  <c r="Q225" i="4" s="1"/>
  <c r="P226" i="4" a="1"/>
  <c r="P226" i="4" s="1"/>
  <c r="S226" i="4" s="1"/>
  <c r="P227" i="4" a="1"/>
  <c r="P227" i="4" s="1"/>
  <c r="S227" i="4" s="1"/>
  <c r="P228" i="4" a="1"/>
  <c r="P228" i="4" s="1"/>
  <c r="R228" i="4" s="1"/>
  <c r="P229" i="4" a="1"/>
  <c r="P229" i="4" s="1"/>
  <c r="S229" i="4" s="1"/>
  <c r="P230" i="4" a="1"/>
  <c r="P230" i="4" s="1"/>
  <c r="S230" i="4" s="1"/>
  <c r="P231" i="4" a="1"/>
  <c r="P231" i="4" s="1"/>
  <c r="S231" i="4" s="1"/>
  <c r="P232" i="4" a="1"/>
  <c r="P232" i="4" s="1"/>
  <c r="Q232" i="4" s="1"/>
  <c r="P233" i="4" a="1"/>
  <c r="P233" i="4" s="1"/>
  <c r="T233" i="4" s="1"/>
  <c r="P234" i="4" a="1"/>
  <c r="P234" i="4" s="1"/>
  <c r="S234" i="4" s="1"/>
  <c r="P235" i="4" a="1"/>
  <c r="P235" i="4" s="1"/>
  <c r="S235" i="4" s="1"/>
  <c r="P236" i="4" a="1"/>
  <c r="P236" i="4" s="1"/>
  <c r="R236" i="4" s="1"/>
  <c r="P237" i="4" a="1"/>
  <c r="P237" i="4" s="1"/>
  <c r="R237" i="4" s="1"/>
  <c r="P238" i="4" a="1"/>
  <c r="P238" i="4" s="1"/>
  <c r="S238" i="4" s="1"/>
  <c r="P239" i="4" a="1"/>
  <c r="P239" i="4" s="1"/>
  <c r="S239" i="4" s="1"/>
  <c r="P240" i="4" a="1"/>
  <c r="P240" i="4" s="1"/>
  <c r="Q240" i="4" s="1"/>
  <c r="P241" i="4" a="1"/>
  <c r="P241" i="4" s="1"/>
  <c r="S241" i="4" s="1"/>
  <c r="P242" i="4" a="1"/>
  <c r="P242" i="4" s="1"/>
  <c r="S242" i="4" s="1"/>
  <c r="P243" i="4" a="1"/>
  <c r="P243" i="4" s="1"/>
  <c r="S243" i="4" s="1"/>
  <c r="P244" i="4" a="1"/>
  <c r="P244" i="4" s="1"/>
  <c r="R244" i="4" s="1"/>
  <c r="P245" i="4" a="1"/>
  <c r="P245" i="4" s="1"/>
  <c r="R245" i="4" s="1"/>
  <c r="P246" i="4" a="1"/>
  <c r="P246" i="4" s="1"/>
  <c r="S246" i="4" s="1"/>
  <c r="P247" i="4" a="1"/>
  <c r="P247" i="4" s="1"/>
  <c r="S247" i="4" s="1"/>
  <c r="P248" i="4" a="1"/>
  <c r="P248" i="4" s="1"/>
  <c r="Q248" i="4" s="1"/>
  <c r="P249" i="4" a="1"/>
  <c r="P249" i="4" s="1"/>
  <c r="Q249" i="4" s="1"/>
  <c r="P250" i="4" a="1"/>
  <c r="P250" i="4" s="1"/>
  <c r="S250" i="4" s="1"/>
  <c r="P251" i="4" a="1"/>
  <c r="P251" i="4" s="1"/>
  <c r="S251" i="4" s="1"/>
  <c r="P252" i="4" a="1"/>
  <c r="P252" i="4" s="1"/>
  <c r="R252" i="4" s="1"/>
  <c r="P253" i="4" a="1"/>
  <c r="P253" i="4" s="1"/>
  <c r="R253" i="4" s="1"/>
  <c r="P254" i="4" a="1"/>
  <c r="P254" i="4" s="1"/>
  <c r="S254" i="4" s="1"/>
  <c r="P255" i="4" a="1"/>
  <c r="P255" i="4" s="1"/>
  <c r="S255" i="4" s="1"/>
  <c r="P256" i="4" a="1"/>
  <c r="P256" i="4" s="1"/>
  <c r="Q256" i="4" s="1"/>
  <c r="P257" i="4" a="1"/>
  <c r="P257" i="4" s="1"/>
  <c r="Q257" i="4" s="1"/>
  <c r="P258" i="4" a="1"/>
  <c r="P258" i="4" s="1"/>
  <c r="S258" i="4" s="1"/>
  <c r="P259" i="4" a="1"/>
  <c r="P259" i="4" s="1"/>
  <c r="S259" i="4" s="1"/>
  <c r="P260" i="4" a="1"/>
  <c r="P260" i="4" s="1"/>
  <c r="R260" i="4" s="1"/>
  <c r="P261" i="4" a="1"/>
  <c r="P261" i="4" s="1"/>
  <c r="R261" i="4" s="1"/>
  <c r="P262" i="4" a="1"/>
  <c r="P262" i="4" s="1"/>
  <c r="S262" i="4" s="1"/>
  <c r="P263" i="4" a="1"/>
  <c r="P263" i="4" s="1"/>
  <c r="S263" i="4" s="1"/>
  <c r="P264" i="4" a="1"/>
  <c r="P264" i="4" s="1"/>
  <c r="Q264" i="4" s="1"/>
  <c r="P265" i="4" a="1"/>
  <c r="P265" i="4" s="1"/>
  <c r="Q265" i="4" s="1"/>
  <c r="P266" i="4" a="1"/>
  <c r="P266" i="4" s="1"/>
  <c r="S266" i="4" s="1"/>
  <c r="P267" i="4" a="1"/>
  <c r="P267" i="4" s="1"/>
  <c r="S267" i="4" s="1"/>
  <c r="P268" i="4" a="1"/>
  <c r="P268" i="4" s="1"/>
  <c r="R268" i="4" s="1"/>
  <c r="P269" i="4" a="1"/>
  <c r="P269" i="4" s="1"/>
  <c r="R269" i="4" s="1"/>
  <c r="P270" i="4" a="1"/>
  <c r="P270" i="4" s="1"/>
  <c r="S270" i="4" s="1"/>
  <c r="P271" i="4" a="1"/>
  <c r="P271" i="4" s="1"/>
  <c r="S271" i="4" s="1"/>
  <c r="P272" i="4" a="1"/>
  <c r="P272" i="4" s="1"/>
  <c r="Q272" i="4" s="1"/>
  <c r="P273" i="4" a="1"/>
  <c r="P273" i="4" s="1"/>
  <c r="S273" i="4" s="1"/>
  <c r="P274" i="4" a="1"/>
  <c r="P274" i="4" s="1"/>
  <c r="S274" i="4" s="1"/>
  <c r="P275" i="4" a="1"/>
  <c r="P275" i="4" s="1"/>
  <c r="S275" i="4" s="1"/>
  <c r="P276" i="4" a="1"/>
  <c r="P276" i="4" s="1"/>
  <c r="R276" i="4" s="1"/>
  <c r="P277" i="4" a="1"/>
  <c r="P277" i="4" s="1"/>
  <c r="R277" i="4" s="1"/>
  <c r="P278" i="4" a="1"/>
  <c r="P278" i="4" s="1"/>
  <c r="S278" i="4" s="1"/>
  <c r="P279" i="4" a="1"/>
  <c r="P279" i="4" s="1"/>
  <c r="S279" i="4" s="1"/>
  <c r="P280" i="4" a="1"/>
  <c r="P280" i="4" s="1"/>
  <c r="Q280" i="4" s="1"/>
  <c r="P281" i="4" a="1"/>
  <c r="P281" i="4" s="1"/>
  <c r="P282" i="4" a="1"/>
  <c r="P282" i="4" s="1"/>
  <c r="S282" i="4" s="1"/>
  <c r="P283" i="4" a="1"/>
  <c r="P283" i="4" s="1"/>
  <c r="S283" i="4" s="1"/>
  <c r="P284" i="4" a="1"/>
  <c r="P284" i="4" s="1"/>
  <c r="R284" i="4" s="1"/>
  <c r="P285" i="4" a="1"/>
  <c r="P285" i="4" s="1"/>
  <c r="R285" i="4" s="1"/>
  <c r="P286" i="4" a="1"/>
  <c r="P286" i="4" s="1"/>
  <c r="S286" i="4" s="1"/>
  <c r="P287" i="4" a="1"/>
  <c r="P287" i="4" s="1"/>
  <c r="S287" i="4" s="1"/>
  <c r="P288" i="4" a="1"/>
  <c r="P288" i="4" s="1"/>
  <c r="Q288" i="4" s="1"/>
  <c r="P289" i="4" a="1"/>
  <c r="P289" i="4" s="1"/>
  <c r="Q289" i="4" s="1"/>
  <c r="P290" i="4" a="1"/>
  <c r="P290" i="4" s="1"/>
  <c r="S290" i="4" s="1"/>
  <c r="P291" i="4" a="1"/>
  <c r="P291" i="4" s="1"/>
  <c r="S291" i="4" s="1"/>
  <c r="P292" i="4" a="1"/>
  <c r="P292" i="4" s="1"/>
  <c r="R292" i="4" s="1"/>
  <c r="P293" i="4" a="1"/>
  <c r="P293" i="4" s="1"/>
  <c r="S293" i="4" s="1"/>
  <c r="P294" i="4" a="1"/>
  <c r="P294" i="4" s="1"/>
  <c r="S294" i="4" s="1"/>
  <c r="P295" i="4" a="1"/>
  <c r="P295" i="4" s="1"/>
  <c r="S295" i="4" s="1"/>
  <c r="P296" i="4" a="1"/>
  <c r="P296" i="4" s="1"/>
  <c r="Q296" i="4" s="1"/>
  <c r="P297" i="4" a="1"/>
  <c r="P297" i="4" s="1"/>
  <c r="S297" i="4" s="1"/>
  <c r="P298" i="4" a="1"/>
  <c r="P298" i="4" s="1"/>
  <c r="S298" i="4" s="1"/>
  <c r="P299" i="4" a="1"/>
  <c r="P299" i="4" s="1"/>
  <c r="S299" i="4" s="1"/>
  <c r="P300" i="4" a="1"/>
  <c r="P300" i="4" s="1"/>
  <c r="R300" i="4" s="1"/>
  <c r="P301" i="4" a="1"/>
  <c r="P301" i="4" s="1"/>
  <c r="R301" i="4" s="1"/>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T298" i="4" l="1"/>
  <c r="T194" i="4"/>
  <c r="T106" i="4"/>
  <c r="T202" i="4"/>
  <c r="T122" i="4"/>
  <c r="T290" i="4"/>
  <c r="T186" i="4"/>
  <c r="T98" i="4"/>
  <c r="T266" i="4"/>
  <c r="T170" i="4"/>
  <c r="T50" i="4"/>
  <c r="T258" i="4"/>
  <c r="T162" i="4"/>
  <c r="T34" i="4"/>
  <c r="T250" i="4"/>
  <c r="T146" i="4"/>
  <c r="T26" i="4"/>
  <c r="T242" i="4"/>
  <c r="T138" i="4"/>
  <c r="T18" i="4"/>
  <c r="T218" i="4"/>
  <c r="T130" i="4"/>
  <c r="T10" i="4"/>
  <c r="T226" i="4"/>
  <c r="T297" i="4"/>
  <c r="T289" i="4"/>
  <c r="T273" i="4"/>
  <c r="T265" i="4"/>
  <c r="T257" i="4"/>
  <c r="T249" i="4"/>
  <c r="T241" i="4"/>
  <c r="T225" i="4"/>
  <c r="T201" i="4"/>
  <c r="T185" i="4"/>
  <c r="T169" i="4"/>
  <c r="T161" i="4"/>
  <c r="T153" i="4"/>
  <c r="T145" i="4"/>
  <c r="T121" i="4"/>
  <c r="T97" i="4"/>
  <c r="T81" i="4"/>
  <c r="T65" i="4"/>
  <c r="T57" i="4"/>
  <c r="T33" i="4"/>
  <c r="T25" i="4"/>
  <c r="T17" i="4"/>
  <c r="T58" i="4"/>
  <c r="T296" i="4"/>
  <c r="T288" i="4"/>
  <c r="T280" i="4"/>
  <c r="T264" i="4"/>
  <c r="T256" i="4"/>
  <c r="T248" i="4"/>
  <c r="T240" i="4"/>
  <c r="T232" i="4"/>
  <c r="T224" i="4"/>
  <c r="T216" i="4"/>
  <c r="T200" i="4"/>
  <c r="T192" i="4"/>
  <c r="T184" i="4"/>
  <c r="T176" i="4"/>
  <c r="T168" i="4"/>
  <c r="T160" i="4"/>
  <c r="T152" i="4"/>
  <c r="T136" i="4"/>
  <c r="T128" i="4"/>
  <c r="T120" i="4"/>
  <c r="T112" i="4"/>
  <c r="T104" i="4"/>
  <c r="T96" i="4"/>
  <c r="T88" i="4"/>
  <c r="T72" i="4"/>
  <c r="T64" i="4"/>
  <c r="T48" i="4"/>
  <c r="T40" i="4"/>
  <c r="T32" i="4"/>
  <c r="T24" i="4"/>
  <c r="T274" i="4"/>
  <c r="T295" i="4"/>
  <c r="T287" i="4"/>
  <c r="T279" i="4"/>
  <c r="T271" i="4"/>
  <c r="T263" i="4"/>
  <c r="T255" i="4"/>
  <c r="T247" i="4"/>
  <c r="T239" i="4"/>
  <c r="T231" i="4"/>
  <c r="T223" i="4"/>
  <c r="T215" i="4"/>
  <c r="T207" i="4"/>
  <c r="T199" i="4"/>
  <c r="T191" i="4"/>
  <c r="T183" i="4"/>
  <c r="T175" i="4"/>
  <c r="T167" i="4"/>
  <c r="T159" i="4"/>
  <c r="T151" i="4"/>
  <c r="T135" i="4"/>
  <c r="T127" i="4"/>
  <c r="T119" i="4"/>
  <c r="T111" i="4"/>
  <c r="T103" i="4"/>
  <c r="T95" i="4"/>
  <c r="T71" i="4"/>
  <c r="T63" i="4"/>
  <c r="T47" i="4"/>
  <c r="T39" i="4"/>
  <c r="T31" i="4"/>
  <c r="T23" i="4"/>
  <c r="T15" i="4"/>
  <c r="T7" i="4"/>
  <c r="T90" i="4"/>
  <c r="T294" i="4"/>
  <c r="T286" i="4"/>
  <c r="T278" i="4"/>
  <c r="T270" i="4"/>
  <c r="T262" i="4"/>
  <c r="T254" i="4"/>
  <c r="T246" i="4"/>
  <c r="T238" i="4"/>
  <c r="T230" i="4"/>
  <c r="T222" i="4"/>
  <c r="T214" i="4"/>
  <c r="T206" i="4"/>
  <c r="T198" i="4"/>
  <c r="T190" i="4"/>
  <c r="T182" i="4"/>
  <c r="T174" i="4"/>
  <c r="T166" i="4"/>
  <c r="T158" i="4"/>
  <c r="T142" i="4"/>
  <c r="T134" i="4"/>
  <c r="T126" i="4"/>
  <c r="T118" i="4"/>
  <c r="T110" i="4"/>
  <c r="T102" i="4"/>
  <c r="T94" i="4"/>
  <c r="T86" i="4"/>
  <c r="T78" i="4"/>
  <c r="T70" i="4"/>
  <c r="T62" i="4"/>
  <c r="T54" i="4"/>
  <c r="T46" i="4"/>
  <c r="T30" i="4"/>
  <c r="T22" i="4"/>
  <c r="T14" i="4"/>
  <c r="T234" i="4"/>
  <c r="T301" i="4"/>
  <c r="T293" i="4"/>
  <c r="T285" i="4"/>
  <c r="T277" i="4"/>
  <c r="T269" i="4"/>
  <c r="T261" i="4"/>
  <c r="T253" i="4"/>
  <c r="T237" i="4"/>
  <c r="T229" i="4"/>
  <c r="T221" i="4"/>
  <c r="T197" i="4"/>
  <c r="T189" i="4"/>
  <c r="T181" i="4"/>
  <c r="T173" i="4"/>
  <c r="T165" i="4"/>
  <c r="T149" i="4"/>
  <c r="T133" i="4"/>
  <c r="T125" i="4"/>
  <c r="T101" i="4"/>
  <c r="T85" i="4"/>
  <c r="T77" i="4"/>
  <c r="T69" i="4"/>
  <c r="T61" i="4"/>
  <c r="T37" i="4"/>
  <c r="T21" i="4"/>
  <c r="T13" i="4"/>
  <c r="T5" i="4"/>
  <c r="T114" i="4"/>
  <c r="T300" i="4"/>
  <c r="T292" i="4"/>
  <c r="T284" i="4"/>
  <c r="T276" i="4"/>
  <c r="T260" i="4"/>
  <c r="T236" i="4"/>
  <c r="T228" i="4"/>
  <c r="T220" i="4"/>
  <c r="T212" i="4"/>
  <c r="T204" i="4"/>
  <c r="T196" i="4"/>
  <c r="T188" i="4"/>
  <c r="T164" i="4"/>
  <c r="T156" i="4"/>
  <c r="T124" i="4"/>
  <c r="T116" i="4"/>
  <c r="T76" i="4"/>
  <c r="T52" i="4"/>
  <c r="T44" i="4"/>
  <c r="T36" i="4"/>
  <c r="T28" i="4"/>
  <c r="T12" i="4"/>
  <c r="T4" i="4"/>
  <c r="T178" i="4"/>
  <c r="T299" i="4"/>
  <c r="T291" i="4"/>
  <c r="T283" i="4"/>
  <c r="T275" i="4"/>
  <c r="T267" i="4"/>
  <c r="T259" i="4"/>
  <c r="T251" i="4"/>
  <c r="T243" i="4"/>
  <c r="T235" i="4"/>
  <c r="T227" i="4"/>
  <c r="T219" i="4"/>
  <c r="T211" i="4"/>
  <c r="T203" i="4"/>
  <c r="T195" i="4"/>
  <c r="T187" i="4"/>
  <c r="T179" i="4"/>
  <c r="T171" i="4"/>
  <c r="T163" i="4"/>
  <c r="T155" i="4"/>
  <c r="T147" i="4"/>
  <c r="T139" i="4"/>
  <c r="T131" i="4"/>
  <c r="T115" i="4"/>
  <c r="T99" i="4"/>
  <c r="T91" i="4"/>
  <c r="T83" i="4"/>
  <c r="T67" i="4"/>
  <c r="T59" i="4"/>
  <c r="T27" i="4"/>
  <c r="T19" i="4"/>
  <c r="T3" i="4"/>
  <c r="T282" i="4"/>
  <c r="T2" i="4"/>
  <c r="Q177" i="4"/>
  <c r="S177" i="4"/>
  <c r="T177" i="4" s="1"/>
  <c r="Q87" i="4"/>
  <c r="S87" i="4"/>
  <c r="Q129" i="4"/>
  <c r="R129" i="4"/>
  <c r="S129" i="4"/>
  <c r="T129" i="4" s="1"/>
  <c r="R107" i="4"/>
  <c r="S107" i="4"/>
  <c r="Q281" i="4"/>
  <c r="S281" i="4"/>
  <c r="T281" i="4" s="1"/>
  <c r="Q193" i="4"/>
  <c r="R193" i="4"/>
  <c r="S193" i="4"/>
  <c r="Q233" i="4"/>
  <c r="S233" i="4"/>
  <c r="Q217" i="4"/>
  <c r="S217" i="4"/>
  <c r="Q113" i="4"/>
  <c r="S113" i="4"/>
  <c r="T113" i="4" s="1"/>
  <c r="R113" i="4"/>
  <c r="R11" i="4"/>
  <c r="S11" i="4"/>
  <c r="T11" i="4" s="1"/>
  <c r="Q180" i="4"/>
  <c r="Q117" i="4"/>
  <c r="Q84" i="4"/>
  <c r="Q36" i="4"/>
  <c r="Q4" i="4"/>
  <c r="R161" i="4"/>
  <c r="R73" i="4"/>
  <c r="R32" i="4"/>
  <c r="S289" i="4"/>
  <c r="S265" i="4"/>
  <c r="S257" i="4"/>
  <c r="S249" i="4"/>
  <c r="S225" i="4"/>
  <c r="S209" i="4"/>
  <c r="T209" i="4" s="1"/>
  <c r="S201" i="4"/>
  <c r="S185" i="4"/>
  <c r="S169" i="4"/>
  <c r="S161" i="4"/>
  <c r="S153" i="4"/>
  <c r="S137" i="4"/>
  <c r="T137" i="4" s="1"/>
  <c r="S105" i="4"/>
  <c r="T105" i="4" s="1"/>
  <c r="S97" i="4"/>
  <c r="S89" i="4"/>
  <c r="T89" i="4" s="1"/>
  <c r="S81" i="4"/>
  <c r="S73" i="4"/>
  <c r="T73" i="4" s="1"/>
  <c r="S65" i="4"/>
  <c r="S57" i="4"/>
  <c r="S49" i="4"/>
  <c r="T49" i="4" s="1"/>
  <c r="S41" i="4"/>
  <c r="T41" i="4" s="1"/>
  <c r="S25" i="4"/>
  <c r="S17" i="4"/>
  <c r="S9" i="4"/>
  <c r="T9" i="4" s="1"/>
  <c r="Q245" i="4"/>
  <c r="Q156" i="4"/>
  <c r="Q116" i="4"/>
  <c r="Q69" i="4"/>
  <c r="Q29" i="4"/>
  <c r="R289" i="4"/>
  <c r="R160" i="4"/>
  <c r="R112" i="4"/>
  <c r="R72" i="4"/>
  <c r="R24" i="4"/>
  <c r="S296" i="4"/>
  <c r="S288" i="4"/>
  <c r="S280" i="4"/>
  <c r="S272" i="4"/>
  <c r="T272" i="4" s="1"/>
  <c r="S264" i="4"/>
  <c r="S256" i="4"/>
  <c r="S248" i="4"/>
  <c r="S240" i="4"/>
  <c r="S232" i="4"/>
  <c r="S224" i="4"/>
  <c r="S216" i="4"/>
  <c r="S208" i="4"/>
  <c r="T208" i="4" s="1"/>
  <c r="S200" i="4"/>
  <c r="S192" i="4"/>
  <c r="S184" i="4"/>
  <c r="S176" i="4"/>
  <c r="S168" i="4"/>
  <c r="S160" i="4"/>
  <c r="S152" i="4"/>
  <c r="S144" i="4"/>
  <c r="T144" i="4" s="1"/>
  <c r="S136" i="4"/>
  <c r="S128" i="4"/>
  <c r="S120" i="4"/>
  <c r="S112" i="4"/>
  <c r="S104" i="4"/>
  <c r="S96" i="4"/>
  <c r="S88" i="4"/>
  <c r="S80" i="4"/>
  <c r="T80" i="4" s="1"/>
  <c r="S72" i="4"/>
  <c r="S64" i="4"/>
  <c r="S56" i="4"/>
  <c r="T56" i="4" s="1"/>
  <c r="S48" i="4"/>
  <c r="S40" i="4"/>
  <c r="S32" i="4"/>
  <c r="S24" i="4"/>
  <c r="S16" i="4"/>
  <c r="T16" i="4" s="1"/>
  <c r="S8" i="4"/>
  <c r="T8" i="4" s="1"/>
  <c r="Q244" i="4"/>
  <c r="Q149" i="4"/>
  <c r="Q109" i="4"/>
  <c r="Q68" i="4"/>
  <c r="Q28" i="4"/>
  <c r="R288" i="4"/>
  <c r="R153" i="4"/>
  <c r="R97" i="4"/>
  <c r="R65" i="4"/>
  <c r="R16" i="4"/>
  <c r="S167" i="4"/>
  <c r="S143" i="4"/>
  <c r="T143" i="4" s="1"/>
  <c r="S135" i="4"/>
  <c r="S119" i="4"/>
  <c r="S79" i="4"/>
  <c r="T79" i="4" s="1"/>
  <c r="S63" i="4"/>
  <c r="S55" i="4"/>
  <c r="T55" i="4" s="1"/>
  <c r="Q237" i="4"/>
  <c r="Q148" i="4"/>
  <c r="Q101" i="4"/>
  <c r="Q61" i="4"/>
  <c r="Q21" i="4"/>
  <c r="R256" i="4"/>
  <c r="R144" i="4"/>
  <c r="R96" i="4"/>
  <c r="R64" i="4"/>
  <c r="R9" i="4"/>
  <c r="S174" i="4"/>
  <c r="S150" i="4"/>
  <c r="T150" i="4" s="1"/>
  <c r="S134" i="4"/>
  <c r="S118" i="4"/>
  <c r="S94" i="4"/>
  <c r="S86" i="4"/>
  <c r="S62" i="4"/>
  <c r="S54" i="4"/>
  <c r="S38" i="4"/>
  <c r="T38" i="4" s="1"/>
  <c r="S30" i="4"/>
  <c r="S6" i="4"/>
  <c r="T6" i="4" s="1"/>
  <c r="Q213" i="4"/>
  <c r="Q141" i="4"/>
  <c r="Q100" i="4"/>
  <c r="Q60" i="4"/>
  <c r="Q20" i="4"/>
  <c r="R225" i="4"/>
  <c r="R137" i="4"/>
  <c r="R89" i="4"/>
  <c r="R57" i="4"/>
  <c r="S301" i="4"/>
  <c r="S285" i="4"/>
  <c r="S277" i="4"/>
  <c r="S269" i="4"/>
  <c r="S261" i="4"/>
  <c r="S253" i="4"/>
  <c r="S245" i="4"/>
  <c r="T245" i="4" s="1"/>
  <c r="S237" i="4"/>
  <c r="S221" i="4"/>
  <c r="S213" i="4"/>
  <c r="T213" i="4" s="1"/>
  <c r="S205" i="4"/>
  <c r="T205" i="4" s="1"/>
  <c r="S197" i="4"/>
  <c r="S189" i="4"/>
  <c r="S181" i="4"/>
  <c r="S173" i="4"/>
  <c r="S165" i="4"/>
  <c r="S157" i="4"/>
  <c r="T157" i="4" s="1"/>
  <c r="S149" i="4"/>
  <c r="S141" i="4"/>
  <c r="T141" i="4" s="1"/>
  <c r="S125" i="4"/>
  <c r="S117" i="4"/>
  <c r="T117" i="4" s="1"/>
  <c r="S109" i="4"/>
  <c r="T109" i="4" s="1"/>
  <c r="S101" i="4"/>
  <c r="S93" i="4"/>
  <c r="T93" i="4" s="1"/>
  <c r="S85" i="4"/>
  <c r="S77" i="4"/>
  <c r="S69" i="4"/>
  <c r="S61" i="4"/>
  <c r="S53" i="4"/>
  <c r="T53" i="4" s="1"/>
  <c r="S45" i="4"/>
  <c r="T45" i="4" s="1"/>
  <c r="S37" i="4"/>
  <c r="S29" i="4"/>
  <c r="T29" i="4" s="1"/>
  <c r="S21" i="4"/>
  <c r="S13" i="4"/>
  <c r="S5" i="4"/>
  <c r="Q212" i="4"/>
  <c r="Q140" i="4"/>
  <c r="Q93" i="4"/>
  <c r="Q53" i="4"/>
  <c r="Q13" i="4"/>
  <c r="R224" i="4"/>
  <c r="R136" i="4"/>
  <c r="R88" i="4"/>
  <c r="R56" i="4"/>
  <c r="S300" i="4"/>
  <c r="S292" i="4"/>
  <c r="S284" i="4"/>
  <c r="S276" i="4"/>
  <c r="S268" i="4"/>
  <c r="T268" i="4" s="1"/>
  <c r="S260" i="4"/>
  <c r="S252" i="4"/>
  <c r="T252" i="4" s="1"/>
  <c r="S244" i="4"/>
  <c r="T244" i="4" s="1"/>
  <c r="S236" i="4"/>
  <c r="S228" i="4"/>
  <c r="S220" i="4"/>
  <c r="S212" i="4"/>
  <c r="S204" i="4"/>
  <c r="S196" i="4"/>
  <c r="S188" i="4"/>
  <c r="S180" i="4"/>
  <c r="T180" i="4" s="1"/>
  <c r="S172" i="4"/>
  <c r="T172" i="4" s="1"/>
  <c r="S164" i="4"/>
  <c r="S156" i="4"/>
  <c r="S148" i="4"/>
  <c r="T148" i="4" s="1"/>
  <c r="S140" i="4"/>
  <c r="T140" i="4" s="1"/>
  <c r="S132" i="4"/>
  <c r="T132" i="4" s="1"/>
  <c r="S124" i="4"/>
  <c r="S116" i="4"/>
  <c r="S108" i="4"/>
  <c r="T108" i="4" s="1"/>
  <c r="S100" i="4"/>
  <c r="T100" i="4" s="1"/>
  <c r="S92" i="4"/>
  <c r="T92" i="4" s="1"/>
  <c r="S84" i="4"/>
  <c r="T84" i="4" s="1"/>
  <c r="S76" i="4"/>
  <c r="S68" i="4"/>
  <c r="T68" i="4" s="1"/>
  <c r="S60" i="4"/>
  <c r="T60" i="4" s="1"/>
  <c r="S52" i="4"/>
  <c r="S44" i="4"/>
  <c r="S36" i="4"/>
  <c r="S28" i="4"/>
  <c r="S20" i="4"/>
  <c r="T20" i="4" s="1"/>
  <c r="S12" i="4"/>
  <c r="S4" i="4"/>
  <c r="Q188" i="4"/>
  <c r="Q125" i="4"/>
  <c r="Q92" i="4"/>
  <c r="Q52" i="4"/>
  <c r="Q12" i="4"/>
  <c r="R81" i="4"/>
  <c r="R49" i="4"/>
  <c r="S163" i="4"/>
  <c r="S147" i="4"/>
  <c r="S131" i="4"/>
  <c r="S123" i="4"/>
  <c r="T123" i="4" s="1"/>
  <c r="S99" i="4"/>
  <c r="S75" i="4"/>
  <c r="T75" i="4" s="1"/>
  <c r="S67" i="4"/>
  <c r="S51" i="4"/>
  <c r="T51" i="4" s="1"/>
  <c r="S43" i="4"/>
  <c r="T43" i="4" s="1"/>
  <c r="S35" i="4"/>
  <c r="T35" i="4" s="1"/>
  <c r="S19" i="4"/>
  <c r="S3" i="4"/>
  <c r="Q181" i="4"/>
  <c r="Q124" i="4"/>
  <c r="Q85" i="4"/>
  <c r="Q44" i="4"/>
  <c r="Q5" i="4"/>
  <c r="R168" i="4"/>
  <c r="R128" i="4"/>
  <c r="R80" i="4"/>
  <c r="R48" i="4"/>
  <c r="S210" i="4"/>
  <c r="T210" i="4" s="1"/>
  <c r="S154" i="4"/>
  <c r="T154" i="4" s="1"/>
  <c r="S130" i="4"/>
  <c r="S122" i="4"/>
  <c r="S106" i="4"/>
  <c r="S98" i="4"/>
  <c r="S82" i="4"/>
  <c r="T82" i="4" s="1"/>
  <c r="S74" i="4"/>
  <c r="T74" i="4" s="1"/>
  <c r="S66" i="4"/>
  <c r="T66" i="4" s="1"/>
  <c r="S50" i="4"/>
  <c r="S42" i="4"/>
  <c r="T42" i="4" s="1"/>
  <c r="S34" i="4"/>
  <c r="S26" i="4"/>
  <c r="S18" i="4"/>
  <c r="S10" i="4"/>
  <c r="S2" i="4"/>
  <c r="R299" i="4"/>
  <c r="Q299" i="4"/>
  <c r="Q145" i="4"/>
  <c r="R145" i="4"/>
  <c r="Q297" i="4"/>
  <c r="R297" i="4"/>
  <c r="Q215" i="4"/>
  <c r="R215" i="4"/>
  <c r="Q159" i="4"/>
  <c r="R159" i="4"/>
  <c r="R27" i="4"/>
  <c r="Q27" i="4"/>
  <c r="R229" i="4"/>
  <c r="Q229" i="4"/>
  <c r="R235" i="4"/>
  <c r="Q235" i="4"/>
  <c r="Q121" i="4"/>
  <c r="R121" i="4"/>
  <c r="Q33" i="4"/>
  <c r="R33" i="4"/>
  <c r="Q241" i="4"/>
  <c r="R241" i="4"/>
  <c r="Q127" i="4"/>
  <c r="R127" i="4"/>
  <c r="R293" i="4"/>
  <c r="Q293" i="4"/>
  <c r="Q247" i="4"/>
  <c r="R247" i="4"/>
  <c r="R133" i="4"/>
  <c r="Q133" i="4"/>
  <c r="Q273" i="4"/>
  <c r="R273" i="4"/>
  <c r="R139" i="4"/>
  <c r="Q139" i="4"/>
  <c r="R283" i="4"/>
  <c r="Q283" i="4"/>
  <c r="Q270" i="4"/>
  <c r="R270" i="4"/>
  <c r="Q263" i="4"/>
  <c r="R263" i="4"/>
  <c r="R251" i="4"/>
  <c r="Q251" i="4"/>
  <c r="R234" i="4"/>
  <c r="Q234" i="4"/>
  <c r="Q207" i="4"/>
  <c r="R207" i="4"/>
  <c r="R179" i="4"/>
  <c r="Q179" i="4"/>
  <c r="R91" i="4"/>
  <c r="Q91" i="4"/>
  <c r="Q31" i="4"/>
  <c r="R31" i="4"/>
  <c r="Q301" i="4"/>
  <c r="Q269" i="4"/>
  <c r="Q205" i="4"/>
  <c r="Q173" i="4"/>
  <c r="Q77" i="4"/>
  <c r="Q45" i="4"/>
  <c r="R281" i="4"/>
  <c r="R249" i="4"/>
  <c r="R217" i="4"/>
  <c r="R185" i="4"/>
  <c r="R25" i="4"/>
  <c r="Q151" i="4"/>
  <c r="R151" i="4"/>
  <c r="Q126" i="4"/>
  <c r="R126" i="4"/>
  <c r="Q47" i="4"/>
  <c r="R47" i="4"/>
  <c r="R282" i="4"/>
  <c r="Q282" i="4"/>
  <c r="Q158" i="4"/>
  <c r="R158" i="4"/>
  <c r="Q71" i="4"/>
  <c r="R71" i="4"/>
  <c r="R59" i="4"/>
  <c r="Q59" i="4"/>
  <c r="R192" i="4"/>
  <c r="Q295" i="4"/>
  <c r="R295" i="4"/>
  <c r="R218" i="4"/>
  <c r="Q218" i="4"/>
  <c r="Q191" i="4"/>
  <c r="R191" i="4"/>
  <c r="R274" i="4"/>
  <c r="Q274" i="4"/>
  <c r="R267" i="4"/>
  <c r="Q267" i="4"/>
  <c r="Q190" i="4"/>
  <c r="R190" i="4"/>
  <c r="Q183" i="4"/>
  <c r="R183" i="4"/>
  <c r="Q142" i="4"/>
  <c r="R142" i="4"/>
  <c r="Q111" i="4"/>
  <c r="R111" i="4"/>
  <c r="R90" i="4"/>
  <c r="Q90" i="4"/>
  <c r="Q70" i="4"/>
  <c r="R70" i="4"/>
  <c r="R58" i="4"/>
  <c r="Q58" i="4"/>
  <c r="Q23" i="4"/>
  <c r="R23" i="4"/>
  <c r="Q15" i="4"/>
  <c r="R15" i="4"/>
  <c r="Q300" i="4"/>
  <c r="Q268" i="4"/>
  <c r="Q236" i="4"/>
  <c r="Q204" i="4"/>
  <c r="Q172" i="4"/>
  <c r="Q108" i="4"/>
  <c r="Q76" i="4"/>
  <c r="R280" i="4"/>
  <c r="R248" i="4"/>
  <c r="R216" i="4"/>
  <c r="R184" i="4"/>
  <c r="R152" i="4"/>
  <c r="R120" i="4"/>
  <c r="R275" i="4"/>
  <c r="Q275" i="4"/>
  <c r="Q262" i="4"/>
  <c r="R262" i="4"/>
  <c r="R250" i="4"/>
  <c r="Q250" i="4"/>
  <c r="R226" i="4"/>
  <c r="Q226" i="4"/>
  <c r="Q198" i="4"/>
  <c r="R198" i="4"/>
  <c r="Q294" i="4"/>
  <c r="R294" i="4"/>
  <c r="Q287" i="4"/>
  <c r="R287" i="4"/>
  <c r="Q255" i="4"/>
  <c r="R255" i="4"/>
  <c r="Q238" i="4"/>
  <c r="R238" i="4"/>
  <c r="R211" i="4"/>
  <c r="Q211" i="4"/>
  <c r="R170" i="4"/>
  <c r="Q170" i="4"/>
  <c r="R243" i="4"/>
  <c r="Q243" i="4"/>
  <c r="Q231" i="4"/>
  <c r="R231" i="4"/>
  <c r="R203" i="4"/>
  <c r="Q203" i="4"/>
  <c r="R162" i="4"/>
  <c r="Q162" i="4"/>
  <c r="R155" i="4"/>
  <c r="Q155" i="4"/>
  <c r="Q110" i="4"/>
  <c r="R110" i="4"/>
  <c r="Q103" i="4"/>
  <c r="R103" i="4"/>
  <c r="R83" i="4"/>
  <c r="Q83" i="4"/>
  <c r="Q22" i="4"/>
  <c r="R22" i="4"/>
  <c r="Q14" i="4"/>
  <c r="R14" i="4"/>
  <c r="Q7" i="4"/>
  <c r="R7" i="4"/>
  <c r="Q261" i="4"/>
  <c r="Q197" i="4"/>
  <c r="Q165" i="4"/>
  <c r="Q37" i="4"/>
  <c r="R209" i="4"/>
  <c r="R177" i="4"/>
  <c r="R17" i="4"/>
  <c r="R242" i="4"/>
  <c r="Q242" i="4"/>
  <c r="Q230" i="4"/>
  <c r="R230" i="4"/>
  <c r="Q223" i="4"/>
  <c r="R223" i="4"/>
  <c r="R202" i="4"/>
  <c r="Q202" i="4"/>
  <c r="R195" i="4"/>
  <c r="Q195" i="4"/>
  <c r="Q182" i="4"/>
  <c r="R182" i="4"/>
  <c r="Q175" i="4"/>
  <c r="R175" i="4"/>
  <c r="Q102" i="4"/>
  <c r="R102" i="4"/>
  <c r="Q95" i="4"/>
  <c r="R95" i="4"/>
  <c r="Q292" i="4"/>
  <c r="Q260" i="4"/>
  <c r="Q228" i="4"/>
  <c r="Q196" i="4"/>
  <c r="Q164" i="4"/>
  <c r="Q132" i="4"/>
  <c r="R272" i="4"/>
  <c r="R240" i="4"/>
  <c r="R208" i="4"/>
  <c r="R176" i="4"/>
  <c r="R290" i="4"/>
  <c r="Q290" i="4"/>
  <c r="R186" i="4"/>
  <c r="Q186" i="4"/>
  <c r="R138" i="4"/>
  <c r="Q138" i="4"/>
  <c r="Q277" i="4"/>
  <c r="R257" i="4"/>
  <c r="Q239" i="4"/>
  <c r="R239" i="4"/>
  <c r="R227" i="4"/>
  <c r="Q227" i="4"/>
  <c r="Q206" i="4"/>
  <c r="R206" i="4"/>
  <c r="R178" i="4"/>
  <c r="Q178" i="4"/>
  <c r="R171" i="4"/>
  <c r="Q171" i="4"/>
  <c r="Q78" i="4"/>
  <c r="R78" i="4"/>
  <c r="Q46" i="4"/>
  <c r="R46" i="4"/>
  <c r="Q276" i="4"/>
  <c r="Q286" i="4"/>
  <c r="R286" i="4"/>
  <c r="Q279" i="4"/>
  <c r="R279" i="4"/>
  <c r="R266" i="4"/>
  <c r="Q266" i="4"/>
  <c r="Q254" i="4"/>
  <c r="R254" i="4"/>
  <c r="R298" i="4"/>
  <c r="Q298" i="4"/>
  <c r="R259" i="4"/>
  <c r="Q259" i="4"/>
  <c r="Q222" i="4"/>
  <c r="R222" i="4"/>
  <c r="R194" i="4"/>
  <c r="Q194" i="4"/>
  <c r="R187" i="4"/>
  <c r="Q187" i="4"/>
  <c r="R146" i="4"/>
  <c r="Q146" i="4"/>
  <c r="R115" i="4"/>
  <c r="Q115" i="4"/>
  <c r="Q285" i="4"/>
  <c r="Q253" i="4"/>
  <c r="Q221" i="4"/>
  <c r="Q189" i="4"/>
  <c r="Q157" i="4"/>
  <c r="R265" i="4"/>
  <c r="R233" i="4"/>
  <c r="R201" i="4"/>
  <c r="R169" i="4"/>
  <c r="R105" i="4"/>
  <c r="R41" i="4"/>
  <c r="Q246" i="4"/>
  <c r="R246" i="4"/>
  <c r="Q214" i="4"/>
  <c r="R214" i="4"/>
  <c r="Q199" i="4"/>
  <c r="R199" i="4"/>
  <c r="Q39" i="4"/>
  <c r="R39" i="4"/>
  <c r="R219" i="4"/>
  <c r="Q219" i="4"/>
  <c r="R291" i="4"/>
  <c r="Q291" i="4"/>
  <c r="Q278" i="4"/>
  <c r="R278" i="4"/>
  <c r="Q271" i="4"/>
  <c r="R271" i="4"/>
  <c r="R258" i="4"/>
  <c r="Q258" i="4"/>
  <c r="Q166" i="4"/>
  <c r="R166" i="4"/>
  <c r="R114" i="4"/>
  <c r="Q114" i="4"/>
  <c r="Q284" i="4"/>
  <c r="Q252" i="4"/>
  <c r="Q220" i="4"/>
  <c r="R296" i="4"/>
  <c r="R264" i="4"/>
  <c r="R232" i="4"/>
  <c r="R200" i="4"/>
  <c r="R104" i="4"/>
  <c r="R40" i="4"/>
  <c r="R8" i="4"/>
  <c r="Q163" i="4"/>
  <c r="Q147" i="4"/>
  <c r="Q131" i="4"/>
  <c r="Q123" i="4"/>
  <c r="Q107" i="4"/>
  <c r="Q99" i="4"/>
  <c r="Q75" i="4"/>
  <c r="Q67" i="4"/>
  <c r="Q51" i="4"/>
  <c r="Q43" i="4"/>
  <c r="Q35" i="4"/>
  <c r="Q19" i="4"/>
  <c r="Q11" i="4"/>
  <c r="Q3" i="4"/>
  <c r="R167" i="4"/>
  <c r="R143" i="4"/>
  <c r="R135" i="4"/>
  <c r="R119" i="4"/>
  <c r="R87" i="4"/>
  <c r="R79" i="4"/>
  <c r="R63" i="4"/>
  <c r="R55" i="4"/>
  <c r="Q210" i="4"/>
  <c r="Q154" i="4"/>
  <c r="Q130" i="4"/>
  <c r="Q122" i="4"/>
  <c r="Q106" i="4"/>
  <c r="Q98" i="4"/>
  <c r="Q82" i="4"/>
  <c r="Q74" i="4"/>
  <c r="Q66" i="4"/>
  <c r="Q50" i="4"/>
  <c r="Q42" i="4"/>
  <c r="Q34" i="4"/>
  <c r="Q26" i="4"/>
  <c r="Q18" i="4"/>
  <c r="Q10" i="4"/>
  <c r="Q2" i="4"/>
  <c r="R174" i="4"/>
  <c r="R150" i="4"/>
  <c r="R134" i="4"/>
  <c r="R118" i="4"/>
  <c r="R94" i="4"/>
  <c r="R86" i="4"/>
  <c r="R62" i="4"/>
  <c r="R54" i="4"/>
  <c r="R38" i="4"/>
  <c r="R30" i="4"/>
  <c r="R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97B055-DEBC-45B0-8953-B1B69285E4AA}" keepAlive="1" name="Query - Table15" description="Connection to the 'Table15' query in the workbook." type="5" refreshedVersion="8" background="1" saveData="1">
    <dbPr connection="Provider=Microsoft.Mashup.OleDb.1;Data Source=$Workbook$;Location=Table15;Extended Properties=&quot;&quot;" command="SELECT * FROM [Table1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<sst xmlns="http://schemas.openxmlformats.org/spreadsheetml/2006/main" count="6961" uniqueCount="667">
  <si>
    <t>Post ID</t>
  </si>
  <si>
    <t>Platform</t>
  </si>
  <si>
    <t>Date</t>
  </si>
  <si>
    <t>Content Type</t>
  </si>
  <si>
    <t>Post Text</t>
  </si>
  <si>
    <t>Likes</t>
  </si>
  <si>
    <t>Shares</t>
  </si>
  <si>
    <t>Comments</t>
  </si>
  <si>
    <t>Impressions</t>
  </si>
  <si>
    <t>Reach</t>
  </si>
  <si>
    <t>Clicks</t>
  </si>
  <si>
    <t>Hashtags Used</t>
  </si>
  <si>
    <t>Campaign_Name</t>
  </si>
  <si>
    <t>P001</t>
  </si>
  <si>
    <t>Twitter</t>
  </si>
  <si>
    <t>2024-12-23</t>
  </si>
  <si>
    <t>Reel</t>
  </si>
  <si>
    <t>Check out our latest reel on twitter!</t>
  </si>
  <si>
    <t>#LiveForNow,#AnytimeIsPepsiTime</t>
  </si>
  <si>
    <t>SummerSplash</t>
  </si>
  <si>
    <t>P002</t>
  </si>
  <si>
    <t>2025-04-03</t>
  </si>
  <si>
    <t>Text</t>
  </si>
  <si>
    <t>Check out our latest text on twitter!</t>
  </si>
  <si>
    <t>#PepsiCoRefresh,#BetterWithPepsi</t>
  </si>
  <si>
    <t>FestiveRadiance</t>
  </si>
  <si>
    <t>P003</t>
  </si>
  <si>
    <t>YouTube</t>
  </si>
  <si>
    <t>2025-05-12</t>
  </si>
  <si>
    <t>Check out our latest reel on youtube!</t>
  </si>
  <si>
    <t>#PepsiCoRefresh</t>
  </si>
  <si>
    <t>NewYearRefresh</t>
  </si>
  <si>
    <t>P004</t>
  </si>
  <si>
    <t>Instagram</t>
  </si>
  <si>
    <t>2024-08-12</t>
  </si>
  <si>
    <t>Story</t>
  </si>
  <si>
    <t>Check out our latest story on instagram!</t>
  </si>
  <si>
    <t>#ThirstyForMore</t>
  </si>
  <si>
    <t>DailyWellness</t>
  </si>
  <si>
    <t>P005</t>
  </si>
  <si>
    <t>2024-06-26</t>
  </si>
  <si>
    <t>#ThirstyForMore,#PepsiCoRefresh</t>
  </si>
  <si>
    <t>P006</t>
  </si>
  <si>
    <t>Facebook</t>
  </si>
  <si>
    <t>2024-10-31</t>
  </si>
  <si>
    <t>Carousel</t>
  </si>
  <si>
    <t>Check out our latest carousel on facebook!</t>
  </si>
  <si>
    <t>P007</t>
  </si>
  <si>
    <t>2024-06-24</t>
  </si>
  <si>
    <t>Check out our latest carousel on twitter!</t>
  </si>
  <si>
    <t>P008</t>
  </si>
  <si>
    <t>2024-07-13</t>
  </si>
  <si>
    <t>Image</t>
  </si>
  <si>
    <t>Check out our latest image on youtube!</t>
  </si>
  <si>
    <t>P009</t>
  </si>
  <si>
    <t>2024-08-30</t>
  </si>
  <si>
    <t>Check out our latest text on facebook!</t>
  </si>
  <si>
    <t>P010</t>
  </si>
  <si>
    <t>2025-03-11</t>
  </si>
  <si>
    <t>Check out our latest image on facebook!</t>
  </si>
  <si>
    <t>P011</t>
  </si>
  <si>
    <t>2025-02-02</t>
  </si>
  <si>
    <t>#LiveForNow</t>
  </si>
  <si>
    <t>P012</t>
  </si>
  <si>
    <t>2024-07-21</t>
  </si>
  <si>
    <t>Check out our latest reel on facebook!</t>
  </si>
  <si>
    <t>P013</t>
  </si>
  <si>
    <t>2024-11-18</t>
  </si>
  <si>
    <t>Check out our latest carousel on youtube!</t>
  </si>
  <si>
    <t>P014</t>
  </si>
  <si>
    <t>2025-02-16</t>
  </si>
  <si>
    <t>Check out our latest story on facebook!</t>
  </si>
  <si>
    <t>P015</t>
  </si>
  <si>
    <t>2024-10-24</t>
  </si>
  <si>
    <t>Video</t>
  </si>
  <si>
    <t>Check out our latest video on facebook!</t>
  </si>
  <si>
    <t>P016</t>
  </si>
  <si>
    <t>2024-08-26</t>
  </si>
  <si>
    <t>P017</t>
  </si>
  <si>
    <t>2025-05-05</t>
  </si>
  <si>
    <t>P018</t>
  </si>
  <si>
    <t>2024-08-19</t>
  </si>
  <si>
    <t>Check out our latest reel on instagram!</t>
  </si>
  <si>
    <t>P019</t>
  </si>
  <si>
    <t>2024-06-23</t>
  </si>
  <si>
    <t>Check out our latest video on instagram!</t>
  </si>
  <si>
    <t>P020</t>
  </si>
  <si>
    <t>2024-09-09</t>
  </si>
  <si>
    <t>Check out our latest carousel on instagram!</t>
  </si>
  <si>
    <t>P021</t>
  </si>
  <si>
    <t>2025-01-04</t>
  </si>
  <si>
    <t>P022</t>
  </si>
  <si>
    <t>2025-02-27</t>
  </si>
  <si>
    <t>P023</t>
  </si>
  <si>
    <t>2024-11-06</t>
  </si>
  <si>
    <t>#PepsiCoRefresh,#AnytimeIsPepsiTime</t>
  </si>
  <si>
    <t>P024</t>
  </si>
  <si>
    <t>2025-01-23</t>
  </si>
  <si>
    <t>P025</t>
  </si>
  <si>
    <t>2025-04-10</t>
  </si>
  <si>
    <t>P026</t>
  </si>
  <si>
    <t>2025-04-05</t>
  </si>
  <si>
    <t>P027</t>
  </si>
  <si>
    <t>2024-09-17</t>
  </si>
  <si>
    <t>Check out our latest text on youtube!</t>
  </si>
  <si>
    <t>P028</t>
  </si>
  <si>
    <t>2025-03-04</t>
  </si>
  <si>
    <t>P029</t>
  </si>
  <si>
    <t>2025-01-31</t>
  </si>
  <si>
    <t>P030</t>
  </si>
  <si>
    <t>2025-02-25</t>
  </si>
  <si>
    <t>P031</t>
  </si>
  <si>
    <t>2024-12-16</t>
  </si>
  <si>
    <t>Check out our latest text on instagram!</t>
  </si>
  <si>
    <t>P032</t>
  </si>
  <si>
    <t>2024-07-31</t>
  </si>
  <si>
    <t>P033</t>
  </si>
  <si>
    <t>2024-08-21</t>
  </si>
  <si>
    <t>P034</t>
  </si>
  <si>
    <t>2025-03-26</t>
  </si>
  <si>
    <t>P035</t>
  </si>
  <si>
    <t>2024-11-30</t>
  </si>
  <si>
    <t>P036</t>
  </si>
  <si>
    <t>2025-04-19</t>
  </si>
  <si>
    <t>P037</t>
  </si>
  <si>
    <t>2025-01-06</t>
  </si>
  <si>
    <t>P038</t>
  </si>
  <si>
    <t>2025-02-17</t>
  </si>
  <si>
    <t>P039</t>
  </si>
  <si>
    <t>2024-11-25</t>
  </si>
  <si>
    <t>P040</t>
  </si>
  <si>
    <t>2025-03-07</t>
  </si>
  <si>
    <t>Check out our latest image on twitter!</t>
  </si>
  <si>
    <t>P041</t>
  </si>
  <si>
    <t>2025-03-08</t>
  </si>
  <si>
    <t>P042</t>
  </si>
  <si>
    <t>2025-03-05</t>
  </si>
  <si>
    <t>P043</t>
  </si>
  <si>
    <t>2024-12-14</t>
  </si>
  <si>
    <t>P044</t>
  </si>
  <si>
    <t>2025-03-02</t>
  </si>
  <si>
    <t>P045</t>
  </si>
  <si>
    <t>2024-11-01</t>
  </si>
  <si>
    <t>P046</t>
  </si>
  <si>
    <t>2025-05-02</t>
  </si>
  <si>
    <t>Check out our latest video on twitter!</t>
  </si>
  <si>
    <t>P047</t>
  </si>
  <si>
    <t>2025-02-24</t>
  </si>
  <si>
    <t>P048</t>
  </si>
  <si>
    <t>Check out our latest story on twitter!</t>
  </si>
  <si>
    <t>P049</t>
  </si>
  <si>
    <t>2024-06-10</t>
  </si>
  <si>
    <t>P050</t>
  </si>
  <si>
    <t>2024-07-03</t>
  </si>
  <si>
    <t>Check out our latest story on youtube!</t>
  </si>
  <si>
    <t>P051</t>
  </si>
  <si>
    <t>2024-06-13</t>
  </si>
  <si>
    <t>P052</t>
  </si>
  <si>
    <t>2025-01-03</t>
  </si>
  <si>
    <t>P053</t>
  </si>
  <si>
    <t>#ThirstyForMore,#BetterWithPepsi</t>
  </si>
  <si>
    <t>P054</t>
  </si>
  <si>
    <t>2025-03-13</t>
  </si>
  <si>
    <t>P055</t>
  </si>
  <si>
    <t>2024-06-17</t>
  </si>
  <si>
    <t>P056</t>
  </si>
  <si>
    <t>2024-12-18</t>
  </si>
  <si>
    <t>P057</t>
  </si>
  <si>
    <t>2024-10-21</t>
  </si>
  <si>
    <t>P058</t>
  </si>
  <si>
    <t>2025-04-15</t>
  </si>
  <si>
    <t>P059</t>
  </si>
  <si>
    <t>2024-06-22</t>
  </si>
  <si>
    <t>P060</t>
  </si>
  <si>
    <t>2025-01-28</t>
  </si>
  <si>
    <t>#ThirstyForMore,#PepsiCoRefresh,#AnytimeIsPepsiTime</t>
  </si>
  <si>
    <t>P061</t>
  </si>
  <si>
    <t>2024-09-05</t>
  </si>
  <si>
    <t>P062</t>
  </si>
  <si>
    <t>2024-11-22</t>
  </si>
  <si>
    <t>P063</t>
  </si>
  <si>
    <t>P064</t>
  </si>
  <si>
    <t>2024-08-17</t>
  </si>
  <si>
    <t>P065</t>
  </si>
  <si>
    <t>2025-03-28</t>
  </si>
  <si>
    <t>P066</t>
  </si>
  <si>
    <t>2024-07-26</t>
  </si>
  <si>
    <t>P067</t>
  </si>
  <si>
    <t>2025-03-29</t>
  </si>
  <si>
    <t>P068</t>
  </si>
  <si>
    <t>2024-12-08</t>
  </si>
  <si>
    <t>P069</t>
  </si>
  <si>
    <t>P070</t>
  </si>
  <si>
    <t>2025-04-02</t>
  </si>
  <si>
    <t>P071</t>
  </si>
  <si>
    <t>2024-09-02</t>
  </si>
  <si>
    <t>P072</t>
  </si>
  <si>
    <t>2025-03-03</t>
  </si>
  <si>
    <t>P073</t>
  </si>
  <si>
    <t>2024-10-18</t>
  </si>
  <si>
    <t>P074</t>
  </si>
  <si>
    <t>2024-10-28</t>
  </si>
  <si>
    <t>P075</t>
  </si>
  <si>
    <t>2024-08-01</t>
  </si>
  <si>
    <t>P076</t>
  </si>
  <si>
    <t>2024-11-07</t>
  </si>
  <si>
    <t>P077</t>
  </si>
  <si>
    <t>P078</t>
  </si>
  <si>
    <t>P079</t>
  </si>
  <si>
    <t>2024-10-09</t>
  </si>
  <si>
    <t>P080</t>
  </si>
  <si>
    <t>P081</t>
  </si>
  <si>
    <t>2024-10-19</t>
  </si>
  <si>
    <t>P082</t>
  </si>
  <si>
    <t>2024-07-24</t>
  </si>
  <si>
    <t>Check out our latest image on instagram!</t>
  </si>
  <si>
    <t>#LiveForNow,#PepsiCoRefresh,#AnytimeIsPepsiTime</t>
  </si>
  <si>
    <t>P083</t>
  </si>
  <si>
    <t>2024-10-15</t>
  </si>
  <si>
    <t>Check out our latest video on youtube!</t>
  </si>
  <si>
    <t>P084</t>
  </si>
  <si>
    <t>2024-12-09</t>
  </si>
  <si>
    <t>P085</t>
  </si>
  <si>
    <t>P086</t>
  </si>
  <si>
    <t>2025-01-27</t>
  </si>
  <si>
    <t>P087</t>
  </si>
  <si>
    <t>2024-06-06</t>
  </si>
  <si>
    <t>P088</t>
  </si>
  <si>
    <t>2024-07-07</t>
  </si>
  <si>
    <t>P089</t>
  </si>
  <si>
    <t>2025-01-10</t>
  </si>
  <si>
    <t>P090</t>
  </si>
  <si>
    <t>2024-06-03</t>
  </si>
  <si>
    <t>P091</t>
  </si>
  <si>
    <t>2025-03-24</t>
  </si>
  <si>
    <t>P092</t>
  </si>
  <si>
    <t>P093</t>
  </si>
  <si>
    <t>2024-12-11</t>
  </si>
  <si>
    <t>P094</t>
  </si>
  <si>
    <t>P095</t>
  </si>
  <si>
    <t>2024-11-08</t>
  </si>
  <si>
    <t>P096</t>
  </si>
  <si>
    <t>2024-09-10</t>
  </si>
  <si>
    <t>P097</t>
  </si>
  <si>
    <t>2024-08-13</t>
  </si>
  <si>
    <t>P098</t>
  </si>
  <si>
    <t>P099</t>
  </si>
  <si>
    <t>2024-07-02</t>
  </si>
  <si>
    <t>P100</t>
  </si>
  <si>
    <t>2025-02-10</t>
  </si>
  <si>
    <t>P101</t>
  </si>
  <si>
    <t>P102</t>
  </si>
  <si>
    <t>2024-09-18</t>
  </si>
  <si>
    <t>P103</t>
  </si>
  <si>
    <t>2024-06-11</t>
  </si>
  <si>
    <t>P104</t>
  </si>
  <si>
    <t>2025-03-23</t>
  </si>
  <si>
    <t>P105</t>
  </si>
  <si>
    <t>2024-06-14</t>
  </si>
  <si>
    <t>P106</t>
  </si>
  <si>
    <t>2025-02-04</t>
  </si>
  <si>
    <t>P107</t>
  </si>
  <si>
    <t>2024-06-21</t>
  </si>
  <si>
    <t>P108</t>
  </si>
  <si>
    <t>2025-03-25</t>
  </si>
  <si>
    <t>P109</t>
  </si>
  <si>
    <t>2024-08-08</t>
  </si>
  <si>
    <t>P110</t>
  </si>
  <si>
    <t>2024-07-29</t>
  </si>
  <si>
    <t>P111</t>
  </si>
  <si>
    <t>2024-11-23</t>
  </si>
  <si>
    <t>P112</t>
  </si>
  <si>
    <t>2024-10-05</t>
  </si>
  <si>
    <t>P113</t>
  </si>
  <si>
    <t>2024-10-02</t>
  </si>
  <si>
    <t>P114</t>
  </si>
  <si>
    <t>2024-11-14</t>
  </si>
  <si>
    <t>P115</t>
  </si>
  <si>
    <t>2025-05-11</t>
  </si>
  <si>
    <t>P116</t>
  </si>
  <si>
    <t>2025-03-18</t>
  </si>
  <si>
    <t>P117</t>
  </si>
  <si>
    <t>2024-11-04</t>
  </si>
  <si>
    <t>P118</t>
  </si>
  <si>
    <t>P119</t>
  </si>
  <si>
    <t>2025-02-07</t>
  </si>
  <si>
    <t>P120</t>
  </si>
  <si>
    <t>P121</t>
  </si>
  <si>
    <t>P122</t>
  </si>
  <si>
    <t>P123</t>
  </si>
  <si>
    <t>P124</t>
  </si>
  <si>
    <t>2025-04-06</t>
  </si>
  <si>
    <t>P125</t>
  </si>
  <si>
    <t>2024-09-08</t>
  </si>
  <si>
    <t>P126</t>
  </si>
  <si>
    <t>P127</t>
  </si>
  <si>
    <t>P128</t>
  </si>
  <si>
    <t>P129</t>
  </si>
  <si>
    <t>P130</t>
  </si>
  <si>
    <t>2024-09-29</t>
  </si>
  <si>
    <t>P131</t>
  </si>
  <si>
    <t>P132</t>
  </si>
  <si>
    <t>P133</t>
  </si>
  <si>
    <t>2025-02-06</t>
  </si>
  <si>
    <t>P134</t>
  </si>
  <si>
    <t>2025-04-24</t>
  </si>
  <si>
    <t>P135</t>
  </si>
  <si>
    <t>2024-11-28</t>
  </si>
  <si>
    <t>P136</t>
  </si>
  <si>
    <t>2024-07-11</t>
  </si>
  <si>
    <t>P137</t>
  </si>
  <si>
    <t>P138</t>
  </si>
  <si>
    <t>P139</t>
  </si>
  <si>
    <t>2024-10-29</t>
  </si>
  <si>
    <t>P140</t>
  </si>
  <si>
    <t>2024-07-15</t>
  </si>
  <si>
    <t>#ThirstyForMore,#SmoothLikeNitroPepsi</t>
  </si>
  <si>
    <t>P141</t>
  </si>
  <si>
    <t>2024-08-31</t>
  </si>
  <si>
    <t>P142</t>
  </si>
  <si>
    <t>P143</t>
  </si>
  <si>
    <t>P144</t>
  </si>
  <si>
    <t>P145</t>
  </si>
  <si>
    <t>P146</t>
  </si>
  <si>
    <t>2024-06-05</t>
  </si>
  <si>
    <t>#ThirstyForMore,#AnytimeIsPepsiTime</t>
  </si>
  <si>
    <t>P147</t>
  </si>
  <si>
    <t>P148</t>
  </si>
  <si>
    <t>P149</t>
  </si>
  <si>
    <t>2024-06-16</t>
  </si>
  <si>
    <t>P150</t>
  </si>
  <si>
    <t>2024-08-22</t>
  </si>
  <si>
    <t>P151</t>
  </si>
  <si>
    <t>P152</t>
  </si>
  <si>
    <t>2025-04-22</t>
  </si>
  <si>
    <t>P153</t>
  </si>
  <si>
    <t>2025-01-01</t>
  </si>
  <si>
    <t>P154</t>
  </si>
  <si>
    <t>P155</t>
  </si>
  <si>
    <t>2024-12-21</t>
  </si>
  <si>
    <t>P156</t>
  </si>
  <si>
    <t>2024-10-22</t>
  </si>
  <si>
    <t>P157</t>
  </si>
  <si>
    <t>2024-07-23</t>
  </si>
  <si>
    <t>P158</t>
  </si>
  <si>
    <t>2024-08-11</t>
  </si>
  <si>
    <t>P159</t>
  </si>
  <si>
    <t>P160</t>
  </si>
  <si>
    <t>2024-08-24</t>
  </si>
  <si>
    <t>P161</t>
  </si>
  <si>
    <t>2025-02-19</t>
  </si>
  <si>
    <t>P162</t>
  </si>
  <si>
    <t>2025-04-01</t>
  </si>
  <si>
    <t>P163</t>
  </si>
  <si>
    <t>2025-04-08</t>
  </si>
  <si>
    <t>P164</t>
  </si>
  <si>
    <t>P165</t>
  </si>
  <si>
    <t>P166</t>
  </si>
  <si>
    <t>P167</t>
  </si>
  <si>
    <t>P168</t>
  </si>
  <si>
    <t>2024-11-12</t>
  </si>
  <si>
    <t>P169</t>
  </si>
  <si>
    <t>2024-12-03</t>
  </si>
  <si>
    <t>P170</t>
  </si>
  <si>
    <t>2025-04-28</t>
  </si>
  <si>
    <t>P171</t>
  </si>
  <si>
    <t>2024-12-31</t>
  </si>
  <si>
    <t>P172</t>
  </si>
  <si>
    <t>2024-08-14</t>
  </si>
  <si>
    <t>P173</t>
  </si>
  <si>
    <t>2024-12-05</t>
  </si>
  <si>
    <t>P174</t>
  </si>
  <si>
    <t>P175</t>
  </si>
  <si>
    <t>2025-01-17</t>
  </si>
  <si>
    <t>P176</t>
  </si>
  <si>
    <t>2024-06-20</t>
  </si>
  <si>
    <t>P177</t>
  </si>
  <si>
    <t>2024-07-10</t>
  </si>
  <si>
    <t>P178</t>
  </si>
  <si>
    <t>P179</t>
  </si>
  <si>
    <t>P180</t>
  </si>
  <si>
    <t>P181</t>
  </si>
  <si>
    <t>2025-03-21</t>
  </si>
  <si>
    <t>P182</t>
  </si>
  <si>
    <t>P183</t>
  </si>
  <si>
    <t>2024-12-17</t>
  </si>
  <si>
    <t>P184</t>
  </si>
  <si>
    <t>2024-07-28</t>
  </si>
  <si>
    <t>P185</t>
  </si>
  <si>
    <t>2025-01-11</t>
  </si>
  <si>
    <t>P186</t>
  </si>
  <si>
    <t>P187</t>
  </si>
  <si>
    <t>2024-12-22</t>
  </si>
  <si>
    <t>P188</t>
  </si>
  <si>
    <t>P189</t>
  </si>
  <si>
    <t>P190</t>
  </si>
  <si>
    <t>2024-10-04</t>
  </si>
  <si>
    <t>P191</t>
  </si>
  <si>
    <t>P192</t>
  </si>
  <si>
    <t>2024-11-29</t>
  </si>
  <si>
    <t>P193</t>
  </si>
  <si>
    <t>2024-09-11</t>
  </si>
  <si>
    <t>P194</t>
  </si>
  <si>
    <t>P195</t>
  </si>
  <si>
    <t>2024-08-15</t>
  </si>
  <si>
    <t>P196</t>
  </si>
  <si>
    <t>2024-12-19</t>
  </si>
  <si>
    <t>P197</t>
  </si>
  <si>
    <t>P198</t>
  </si>
  <si>
    <t>2024-09-14</t>
  </si>
  <si>
    <t>P199</t>
  </si>
  <si>
    <t>P200</t>
  </si>
  <si>
    <t>2025-04-07</t>
  </si>
  <si>
    <t>P201</t>
  </si>
  <si>
    <t>2025-01-15</t>
  </si>
  <si>
    <t>P202</t>
  </si>
  <si>
    <t>2024-06-02</t>
  </si>
  <si>
    <t>P203</t>
  </si>
  <si>
    <t>2024-11-21</t>
  </si>
  <si>
    <t>P204</t>
  </si>
  <si>
    <t>P205</t>
  </si>
  <si>
    <t>#PepsiCoRefresh,#SmoothLikeNitroPepsi</t>
  </si>
  <si>
    <t>P206</t>
  </si>
  <si>
    <t>P207</t>
  </si>
  <si>
    <t>2024-12-29</t>
  </si>
  <si>
    <t>P208</t>
  </si>
  <si>
    <t>P209</t>
  </si>
  <si>
    <t>2025-03-19</t>
  </si>
  <si>
    <t>P210</t>
  </si>
  <si>
    <t>P211</t>
  </si>
  <si>
    <t>2024-07-18</t>
  </si>
  <si>
    <t>P212</t>
  </si>
  <si>
    <t>P213</t>
  </si>
  <si>
    <t>2025-05-01</t>
  </si>
  <si>
    <t>P214</t>
  </si>
  <si>
    <t>P215</t>
  </si>
  <si>
    <t>2025-05-06</t>
  </si>
  <si>
    <t>P216</t>
  </si>
  <si>
    <t>P217</t>
  </si>
  <si>
    <t>P218</t>
  </si>
  <si>
    <t>P219</t>
  </si>
  <si>
    <t>P220</t>
  </si>
  <si>
    <t>P221</t>
  </si>
  <si>
    <t>P222</t>
  </si>
  <si>
    <t>2024-10-08</t>
  </si>
  <si>
    <t>#LiveForNow,#SmoothLikeNitroPepsi</t>
  </si>
  <si>
    <t>P223</t>
  </si>
  <si>
    <t>P224</t>
  </si>
  <si>
    <t>2025-05-13</t>
  </si>
  <si>
    <t>P225</t>
  </si>
  <si>
    <t>P226</t>
  </si>
  <si>
    <t>2024-08-07</t>
  </si>
  <si>
    <t>P227</t>
  </si>
  <si>
    <t>2024-06-12</t>
  </si>
  <si>
    <t>P228</t>
  </si>
  <si>
    <t>2024-07-01</t>
  </si>
  <si>
    <t>P229</t>
  </si>
  <si>
    <t>P230</t>
  </si>
  <si>
    <t>P231</t>
  </si>
  <si>
    <t>P232</t>
  </si>
  <si>
    <t>2025-04-29</t>
  </si>
  <si>
    <t>P233</t>
  </si>
  <si>
    <t>P234</t>
  </si>
  <si>
    <t>2024-06-01</t>
  </si>
  <si>
    <t>P235</t>
  </si>
  <si>
    <t>P236</t>
  </si>
  <si>
    <t>#LiveForNow,#AnytimeIsPepsiTime,#ThirstyForMore</t>
  </si>
  <si>
    <t>P237</t>
  </si>
  <si>
    <t>P238</t>
  </si>
  <si>
    <t>2024-07-16</t>
  </si>
  <si>
    <t>P239</t>
  </si>
  <si>
    <t>P240</t>
  </si>
  <si>
    <t>P241</t>
  </si>
  <si>
    <t>2025-01-18</t>
  </si>
  <si>
    <t>P242</t>
  </si>
  <si>
    <t>P243</t>
  </si>
  <si>
    <t>2025-03-06</t>
  </si>
  <si>
    <t>P244</t>
  </si>
  <si>
    <t>2024-10-25</t>
  </si>
  <si>
    <t>P245</t>
  </si>
  <si>
    <t>2025-01-12</t>
  </si>
  <si>
    <t>P246</t>
  </si>
  <si>
    <t>2024-10-11</t>
  </si>
  <si>
    <t>P247</t>
  </si>
  <si>
    <t>2024-08-27</t>
  </si>
  <si>
    <t>#LiveForNow,#ThirstyForMore,#BetterWithPepsi</t>
  </si>
  <si>
    <t>P248</t>
  </si>
  <si>
    <t>P249</t>
  </si>
  <si>
    <t>P250</t>
  </si>
  <si>
    <t>P251</t>
  </si>
  <si>
    <t>2025-03-27</t>
  </si>
  <si>
    <t>P252</t>
  </si>
  <si>
    <t>P253</t>
  </si>
  <si>
    <t>2024-08-03</t>
  </si>
  <si>
    <t>P254</t>
  </si>
  <si>
    <t>2025-01-14</t>
  </si>
  <si>
    <t>P255</t>
  </si>
  <si>
    <t>P256</t>
  </si>
  <si>
    <t>P257</t>
  </si>
  <si>
    <t>#ThirstyForMore,#ThirstyForMore,#BetterWithPepsi</t>
  </si>
  <si>
    <t>P258</t>
  </si>
  <si>
    <t>2024-08-05</t>
  </si>
  <si>
    <t>P259</t>
  </si>
  <si>
    <t>P260</t>
  </si>
  <si>
    <t>2025-02-12</t>
  </si>
  <si>
    <t>#PepsiCoRefresh,#ThirstyForMore,#BetterWithPepsi</t>
  </si>
  <si>
    <t>P261</t>
  </si>
  <si>
    <t>2024-10-27</t>
  </si>
  <si>
    <t>P262</t>
  </si>
  <si>
    <t>P263</t>
  </si>
  <si>
    <t>2024-08-20</t>
  </si>
  <si>
    <t>P264</t>
  </si>
  <si>
    <t>2025-01-30</t>
  </si>
  <si>
    <t>P265</t>
  </si>
  <si>
    <t>2025-02-20</t>
  </si>
  <si>
    <t>P266</t>
  </si>
  <si>
    <t>P267</t>
  </si>
  <si>
    <t>P268</t>
  </si>
  <si>
    <t>2025-04-13</t>
  </si>
  <si>
    <t>P269</t>
  </si>
  <si>
    <t>2024-11-05</t>
  </si>
  <si>
    <t>P270</t>
  </si>
  <si>
    <t>P271</t>
  </si>
  <si>
    <t>2024-10-17</t>
  </si>
  <si>
    <t>P272</t>
  </si>
  <si>
    <t>P273</t>
  </si>
  <si>
    <t>2024-10-12</t>
  </si>
  <si>
    <t>P274</t>
  </si>
  <si>
    <t>P275</t>
  </si>
  <si>
    <t>P276</t>
  </si>
  <si>
    <t>2024-06-07</t>
  </si>
  <si>
    <t>P277</t>
  </si>
  <si>
    <t>P278</t>
  </si>
  <si>
    <t>2024-11-26</t>
  </si>
  <si>
    <t>P279</t>
  </si>
  <si>
    <t>P280</t>
  </si>
  <si>
    <t>P281</t>
  </si>
  <si>
    <t>2025-03-22</t>
  </si>
  <si>
    <t>P282</t>
  </si>
  <si>
    <t>2024-10-03</t>
  </si>
  <si>
    <t>P283</t>
  </si>
  <si>
    <t>2025-05-09</t>
  </si>
  <si>
    <t>P284</t>
  </si>
  <si>
    <t>P285</t>
  </si>
  <si>
    <t>P286</t>
  </si>
  <si>
    <t>2024-09-25</t>
  </si>
  <si>
    <t>P287</t>
  </si>
  <si>
    <t>P288</t>
  </si>
  <si>
    <t>2025-04-17</t>
  </si>
  <si>
    <t>P289</t>
  </si>
  <si>
    <t>P290</t>
  </si>
  <si>
    <t>2024-12-20</t>
  </si>
  <si>
    <t>P291</t>
  </si>
  <si>
    <t>P292</t>
  </si>
  <si>
    <t>2024-11-17</t>
  </si>
  <si>
    <t>P293</t>
  </si>
  <si>
    <t>2025-05-14</t>
  </si>
  <si>
    <t>P294</t>
  </si>
  <si>
    <t>2024-06-19</t>
  </si>
  <si>
    <t>P295</t>
  </si>
  <si>
    <t>P296</t>
  </si>
  <si>
    <t>2025-02-11</t>
  </si>
  <si>
    <t>P297</t>
  </si>
  <si>
    <t>2024-12-24</t>
  </si>
  <si>
    <t>P298</t>
  </si>
  <si>
    <t>P299</t>
  </si>
  <si>
    <t>P300</t>
  </si>
  <si>
    <t>Week_Start_Date</t>
  </si>
  <si>
    <t>New_Followers</t>
  </si>
  <si>
    <t>Unfollows</t>
  </si>
  <si>
    <t>Total_Followers</t>
  </si>
  <si>
    <t>Engagement_Rate</t>
  </si>
  <si>
    <t>Ad_Spend</t>
  </si>
  <si>
    <t>2024-07-08</t>
  </si>
  <si>
    <t>2024-07-22</t>
  </si>
  <si>
    <t>2024-09-16</t>
  </si>
  <si>
    <t>2024-09-23</t>
  </si>
  <si>
    <t>2024-09-30</t>
  </si>
  <si>
    <t>2024-10-07</t>
  </si>
  <si>
    <t>2024-10-14</t>
  </si>
  <si>
    <t>2024-11-11</t>
  </si>
  <si>
    <t>2024-12-02</t>
  </si>
  <si>
    <t>2024-12-30</t>
  </si>
  <si>
    <t>2025-01-13</t>
  </si>
  <si>
    <t>2025-01-20</t>
  </si>
  <si>
    <t>2025-02-03</t>
  </si>
  <si>
    <t>2025-03-10</t>
  </si>
  <si>
    <t>2025-03-17</t>
  </si>
  <si>
    <t>2025-03-31</t>
  </si>
  <si>
    <t>2025-04-14</t>
  </si>
  <si>
    <t>2025-04-21</t>
  </si>
  <si>
    <t>Start_Date</t>
  </si>
  <si>
    <t>End_Date</t>
  </si>
  <si>
    <t>Objective</t>
  </si>
  <si>
    <t>Total_Budget</t>
  </si>
  <si>
    <t>Target_Platforms</t>
  </si>
  <si>
    <t>Primary_Hashtags</t>
  </si>
  <si>
    <t>2024-06-15</t>
  </si>
  <si>
    <t>Brand Awareness</t>
  </si>
  <si>
    <t>Instagram,Facebook</t>
  </si>
  <si>
    <t>2024-10-01</t>
  </si>
  <si>
    <t>Engagement</t>
  </si>
  <si>
    <t>Instagram,YouTube</t>
  </si>
  <si>
    <t>#AnytimeIsPepsiTime,</t>
  </si>
  <si>
    <t>2024-12-25</t>
  </si>
  <si>
    <t>Product Launch</t>
  </si>
  <si>
    <t>Facebook,Twitter</t>
  </si>
  <si>
    <t>#SmoothLikeNitroPepsi</t>
  </si>
  <si>
    <t>2025-03-01</t>
  </si>
  <si>
    <t>Traffic</t>
  </si>
  <si>
    <t>Instagram,Twitter</t>
  </si>
  <si>
    <t>#BetterWithPepsi,#LiveForNow</t>
  </si>
  <si>
    <t xml:space="preserve">Total Engagement </t>
  </si>
  <si>
    <t>Engagement Rate</t>
  </si>
  <si>
    <t>Campaign_Name2</t>
  </si>
  <si>
    <t>Start Date</t>
  </si>
  <si>
    <t>End Date</t>
  </si>
  <si>
    <t>Budget</t>
  </si>
  <si>
    <t>#AnytimeIsPepsiTime</t>
  </si>
  <si>
    <t>#BetterWithPepsi</t>
  </si>
  <si>
    <t>No Campaign</t>
  </si>
  <si>
    <t>Row Labels</t>
  </si>
  <si>
    <t>Grand Total</t>
  </si>
  <si>
    <t>Sum of Clicks</t>
  </si>
  <si>
    <t>Average of Clicks</t>
  </si>
  <si>
    <t>Sum of Shares</t>
  </si>
  <si>
    <t>Sum of Likes</t>
  </si>
  <si>
    <t>Sum of Comments</t>
  </si>
  <si>
    <t>Sum of Impressions</t>
  </si>
  <si>
    <t>Sum of Engagement Rate</t>
  </si>
  <si>
    <t>Average of Engagement Rate</t>
  </si>
  <si>
    <t>Average of Likes</t>
  </si>
  <si>
    <t>Average of Impressions</t>
  </si>
  <si>
    <t>cost per engagement</t>
  </si>
  <si>
    <t>Per-Post Budget</t>
  </si>
  <si>
    <t>Net_Growth</t>
  </si>
  <si>
    <t>Growth_Rate</t>
  </si>
  <si>
    <t>Average of Growth_Rate</t>
  </si>
  <si>
    <t>Sum of Ad_Spend</t>
  </si>
  <si>
    <t>Average of Engagement_Rate</t>
  </si>
  <si>
    <t xml:space="preserve">Hastag Performance </t>
  </si>
  <si>
    <t>Content Wise Performance</t>
  </si>
  <si>
    <t>Cost Per Engagement</t>
  </si>
  <si>
    <t>Campaign Name</t>
  </si>
  <si>
    <t>Empact</t>
  </si>
  <si>
    <t>Follower Impact</t>
  </si>
  <si>
    <t>Platform-wise Follower Growth</t>
  </si>
  <si>
    <t>Platform-wise Ad Spend</t>
  </si>
  <si>
    <t>PepsiCo Social Media Performance Dashboard</t>
  </si>
  <si>
    <t>Top Performer</t>
  </si>
  <si>
    <t>Maximum reach and brand awareness, Facebook is the top performer</t>
  </si>
  <si>
    <t>Most Successful Campaign</t>
  </si>
  <si>
    <t>Cost_Per_Engagement</t>
  </si>
  <si>
    <t xml:space="preserve">Total Growth </t>
  </si>
  <si>
    <t>Column Labels</t>
  </si>
  <si>
    <t>Sum of Net_Growth</t>
  </si>
  <si>
    <t>Total _Engagement</t>
  </si>
  <si>
    <t>Count of Hashtags Used</t>
  </si>
  <si>
    <t>Average of Shares</t>
  </si>
  <si>
    <t>Before_Period_Start_Date</t>
  </si>
  <si>
    <t>Avg_Engagement_During</t>
  </si>
  <si>
    <t>Avg_Engagement_Before</t>
  </si>
  <si>
    <t>Engagement_Uplift</t>
  </si>
  <si>
    <t>Net_Gain</t>
  </si>
  <si>
    <t>the week with the highest net follower gain is 09-09-2024 with follower gain of 4360</t>
  </si>
  <si>
    <r>
      <t xml:space="preserve">The most successful campaign is </t>
    </r>
    <r>
      <rPr>
        <b/>
        <sz val="14"/>
        <color theme="0"/>
        <rFont val="Calibri"/>
        <family val="2"/>
        <scheme val="minor"/>
      </rPr>
      <t>FestiveRadiance,</t>
    </r>
    <r>
      <rPr>
        <sz val="12"/>
        <color theme="0"/>
        <rFont val="Calibri"/>
        <family val="2"/>
        <scheme val="minor"/>
      </rPr>
      <t xml:space="preserve"> which achieved the highest number of Impressions, Likes, and Comments, along with one of the lowest Cost per Engagement. This combination of high visibility, strong audience interaction, and cost-efficiency clearly positions FestiveRadiance as the top performing campaign                                                                                                                                     ........................................                                                                                                      Note: The highest Impression, Like and Engagement rate were observed during periods with no active campaign</t>
    </r>
  </si>
  <si>
    <t>Return of Investment By Campaign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</si>
</sst>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1"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Arial"/>
      <family val="2"/>
    </font>
    <font>
      <sz val="11"/>
      <color theme="1"/>
      <name val="Calibri"/>
      <family val="2"/>
    </font>
    <font>
      <sz val="8"/>
      <name val="Calibri"/>
      <scheme val="minor"/>
    </font>
    <font>
      <sz val="26"/>
      <color theme="1"/>
      <name val="Algerian"/>
      <family val="5"/>
    </font>
    <font>
      <sz val="22"/>
      <color theme="1"/>
      <name val="Algerian"/>
      <family val="5"/>
    </font>
    <font>
      <sz val="24"/>
      <color theme="1"/>
      <name val="Algerian"/>
      <family val="5"/>
    </font>
    <font>
      <sz val="28"/>
      <color theme="1"/>
      <name val="Algerian"/>
      <family val="5"/>
    </font>
    <font>
      <sz val="36"/>
      <color theme="1"/>
      <name val="Algerian"/>
      <family val="5"/>
    </font>
    <font>
      <sz val="11"/>
      <color theme="0"/>
      <name val="Calibri"/>
      <family val="2"/>
      <scheme val="minor"/>
    </font>
    <font>
      <sz val="12"/>
      <color theme="0"/>
      <name val="Calibri"/>
      <family val="2"/>
      <scheme val="minor"/>
    </font>
    <font>
      <sz val="22"/>
      <color theme="0"/>
      <name val="Algerian"/>
      <family val="5"/>
    </font>
    <font>
      <sz val="18"/>
      <color theme="0"/>
      <name val="Algerian"/>
      <family val="5"/>
    </font>
    <font>
      <sz val="36"/>
      <color theme="0"/>
      <name val="Algerian"/>
      <family val="5"/>
    </font>
    <font>
      <b/>
      <sz val="11"/>
      <color theme="1"/>
      <name val="Calibri"/>
      <family val="2"/>
      <scheme val="minor"/>
    </font>
    <font>
      <sz val="20"/>
      <color theme="1"/>
      <name val="Calibri"/>
      <family val="2"/>
      <scheme val="minor"/>
    </font>
    <font>
      <b/>
      <sz val="14"/>
      <color theme="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6" tint="0.59999389629810485"/>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s>
  <cellStyleXfs count="1">
    <xf numFmtId="0" fontId="0" fillId="0" borderId="0"/>
  </cellStyleXfs>
  <cellXfs count="84">
    <xf numFmtId="0" fontId="0" fillId="0" borderId="0" xfId="0"/>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4" fillId="0" borderId="0" xfId="0" applyFont="1"/>
    <xf numFmtId="0" fontId="5" fillId="0" borderId="0" xfId="0" applyFont="1"/>
    <xf numFmtId="0" fontId="6" fillId="0" borderId="0" xfId="0" applyFont="1"/>
    <xf numFmtId="0" fontId="6" fillId="0" borderId="1" xfId="0" applyFont="1" applyBorder="1"/>
    <xf numFmtId="0" fontId="6" fillId="0" borderId="1" xfId="0" applyFont="1" applyBorder="1" applyAlignment="1">
      <alignment wrapText="1"/>
    </xf>
    <xf numFmtId="0" fontId="4" fillId="0" borderId="0" xfId="0" applyFont="1" applyAlignment="1">
      <alignment wrapText="1"/>
    </xf>
    <xf numFmtId="0" fontId="3" fillId="0" borderId="2" xfId="0" applyFont="1" applyBorder="1" applyAlignment="1">
      <alignment horizontal="center" vertical="top"/>
    </xf>
    <xf numFmtId="0" fontId="3" fillId="0" borderId="2" xfId="0" applyFont="1" applyBorder="1" applyAlignment="1">
      <alignment horizontal="center" vertical="top" wrapText="1"/>
    </xf>
    <xf numFmtId="14" fontId="4" fillId="0" borderId="0" xfId="0" applyNumberFormat="1" applyFont="1"/>
    <xf numFmtId="1" fontId="4" fillId="0" borderId="0" xfId="0" applyNumberFormat="1" applyFont="1"/>
    <xf numFmtId="14" fontId="6" fillId="0" borderId="0" xfId="0" applyNumberFormat="1" applyFont="1"/>
    <xf numFmtId="2" fontId="6" fillId="0" borderId="0" xfId="0" applyNumberFormat="1" applyFont="1"/>
    <xf numFmtId="1" fontId="6" fillId="0" borderId="0" xfId="0" applyNumberFormat="1" applyFont="1"/>
    <xf numFmtId="0" fontId="6" fillId="0" borderId="3" xfId="0" applyFont="1" applyBorder="1"/>
    <xf numFmtId="0" fontId="6" fillId="0" borderId="4" xfId="0" applyFont="1" applyBorder="1" applyAlignment="1">
      <alignment wrapText="1"/>
    </xf>
    <xf numFmtId="0" fontId="3" fillId="0" borderId="5" xfId="0" applyFont="1" applyBorder="1" applyAlignment="1">
      <alignment horizontal="center" vertical="top"/>
    </xf>
    <xf numFmtId="0" fontId="3" fillId="0" borderId="6" xfId="0" applyFont="1" applyBorder="1" applyAlignment="1">
      <alignment horizontal="center" vertical="top" wrapText="1"/>
    </xf>
    <xf numFmtId="0" fontId="6" fillId="0" borderId="7" xfId="0" applyFont="1" applyBorder="1"/>
    <xf numFmtId="0" fontId="6" fillId="0" borderId="8" xfId="0" applyFont="1" applyBorder="1"/>
    <xf numFmtId="0" fontId="6" fillId="0" borderId="9" xfId="0" applyFont="1" applyBorder="1" applyAlignment="1">
      <alignment wrapText="1"/>
    </xf>
    <xf numFmtId="14" fontId="6" fillId="0" borderId="1" xfId="0" applyNumberFormat="1" applyFont="1" applyBorder="1" applyAlignment="1">
      <alignment wrapText="1"/>
    </xf>
    <xf numFmtId="14" fontId="6" fillId="0" borderId="8" xfId="0" applyNumberFormat="1" applyFont="1" applyBorder="1" applyAlignment="1">
      <alignment wrapText="1"/>
    </xf>
    <xf numFmtId="14" fontId="6" fillId="0" borderId="1" xfId="0" applyNumberFormat="1" applyFont="1" applyBorder="1"/>
    <xf numFmtId="14" fontId="6" fillId="0" borderId="8" xfId="0" applyNumberFormat="1" applyFont="1" applyBorder="1"/>
    <xf numFmtId="164" fontId="6" fillId="0" borderId="1" xfId="0" applyNumberFormat="1" applyFont="1" applyBorder="1" applyAlignment="1">
      <alignment wrapText="1"/>
    </xf>
    <xf numFmtId="164" fontId="6" fillId="0" borderId="8" xfId="0" applyNumberFormat="1" applyFont="1" applyBorder="1" applyAlignment="1">
      <alignment wrapText="1"/>
    </xf>
    <xf numFmtId="164" fontId="6" fillId="0" borderId="0" xfId="0" applyNumberFormat="1" applyFont="1"/>
    <xf numFmtId="0" fontId="2" fillId="0" borderId="0" xfId="0" applyFont="1"/>
    <xf numFmtId="1" fontId="2" fillId="0" borderId="0" xfId="0" applyNumberFormat="1" applyFont="1"/>
    <xf numFmtId="10" fontId="2" fillId="0" borderId="0" xfId="0" applyNumberFormat="1" applyFont="1"/>
    <xf numFmtId="14" fontId="2" fillId="0" borderId="0" xfId="0" applyNumberFormat="1" applyFont="1"/>
    <xf numFmtId="14" fontId="0" fillId="0" borderId="0" xfId="0" applyNumberFormat="1"/>
    <xf numFmtId="164" fontId="0" fillId="0" borderId="0" xfId="0" applyNumberFormat="1"/>
    <xf numFmtId="1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0" fontId="6" fillId="0" borderId="0" xfId="0" applyNumberFormat="1" applyFont="1"/>
    <xf numFmtId="0" fontId="0" fillId="2" borderId="0" xfId="0" applyFill="1"/>
    <xf numFmtId="0" fontId="14" fillId="2" borderId="0" xfId="0" applyFont="1" applyFill="1" applyAlignment="1">
      <alignment horizontal="center" vertical="center" wrapText="1"/>
    </xf>
    <xf numFmtId="0" fontId="13" fillId="2" borderId="0" xfId="0" applyFont="1" applyFill="1" applyAlignment="1">
      <alignment horizontal="center" wrapText="1"/>
    </xf>
    <xf numFmtId="0" fontId="16" fillId="2" borderId="0" xfId="0" applyFont="1" applyFill="1"/>
    <xf numFmtId="0" fontId="0" fillId="0" borderId="13" xfId="0" applyBorder="1"/>
    <xf numFmtId="1" fontId="0" fillId="0" borderId="13" xfId="0" applyNumberFormat="1" applyBorder="1"/>
    <xf numFmtId="0" fontId="0" fillId="0" borderId="14" xfId="0" applyBorder="1"/>
    <xf numFmtId="1" fontId="0" fillId="0" borderId="14" xfId="0" applyNumberFormat="1" applyBorder="1"/>
    <xf numFmtId="0" fontId="2" fillId="0" borderId="11" xfId="0" applyFont="1" applyBorder="1"/>
    <xf numFmtId="0" fontId="2" fillId="0" borderId="12" xfId="0" applyFont="1" applyBorder="1"/>
    <xf numFmtId="1" fontId="0" fillId="0" borderId="15" xfId="0" applyNumberFormat="1" applyBorder="1"/>
    <xf numFmtId="1" fontId="0" fillId="0" borderId="10" xfId="0" applyNumberFormat="1" applyBorder="1"/>
    <xf numFmtId="0" fontId="0" fillId="0" borderId="15" xfId="0" applyBorder="1"/>
    <xf numFmtId="0" fontId="0" fillId="0" borderId="10" xfId="0" applyBorder="1"/>
    <xf numFmtId="14" fontId="0" fillId="0" borderId="0" xfId="0" applyNumberFormat="1" applyAlignment="1">
      <alignment horizontal="left"/>
    </xf>
    <xf numFmtId="0" fontId="15" fillId="2" borderId="0" xfId="0" applyFont="1" applyFill="1" applyAlignment="1">
      <alignment horizontal="center"/>
    </xf>
    <xf numFmtId="0" fontId="0" fillId="2" borderId="0" xfId="0" applyFill="1" applyAlignment="1">
      <alignment horizontal="center"/>
    </xf>
    <xf numFmtId="0" fontId="16" fillId="2" borderId="0" xfId="0" applyFont="1" applyFill="1" applyAlignment="1">
      <alignment horizontal="center"/>
    </xf>
    <xf numFmtId="0" fontId="17" fillId="2" borderId="0" xfId="0" applyFont="1" applyFill="1" applyAlignment="1">
      <alignment horizontal="center" vertical="center"/>
    </xf>
    <xf numFmtId="0" fontId="14" fillId="2" borderId="0" xfId="0" applyFont="1" applyFill="1" applyAlignment="1">
      <alignment horizontal="center" vertical="top" wrapText="1"/>
    </xf>
    <xf numFmtId="0" fontId="13" fillId="2" borderId="0" xfId="0" applyFont="1" applyFill="1" applyAlignment="1">
      <alignment horizontal="center"/>
    </xf>
    <xf numFmtId="0" fontId="8" fillId="0" borderId="0" xfId="0" applyFont="1" applyAlignment="1">
      <alignment horizontal="center" vertical="center"/>
    </xf>
    <xf numFmtId="0" fontId="9" fillId="0" borderId="0" xfId="0" applyFont="1" applyAlignment="1">
      <alignment horizontal="center"/>
    </xf>
    <xf numFmtId="0" fontId="10" fillId="0" borderId="0" xfId="0" applyFont="1" applyAlignment="1">
      <alignment horizontal="center"/>
    </xf>
    <xf numFmtId="0" fontId="12" fillId="0" borderId="0" xfId="0" applyFont="1" applyAlignment="1">
      <alignment horizontal="center"/>
    </xf>
    <xf numFmtId="0" fontId="11" fillId="0" borderId="0" xfId="0" applyFont="1" applyAlignment="1">
      <alignment horizontal="center" vertical="center"/>
    </xf>
    <xf numFmtId="0" fontId="0" fillId="0" borderId="0" xfId="0" applyNumberFormat="1"/>
    <xf numFmtId="0" fontId="19" fillId="2" borderId="0" xfId="0" applyFont="1" applyFill="1"/>
    <xf numFmtId="14" fontId="6" fillId="0" borderId="6" xfId="0" applyNumberFormat="1" applyFont="1" applyBorder="1"/>
    <xf numFmtId="14" fontId="6" fillId="0" borderId="4" xfId="0" applyNumberFormat="1" applyFont="1" applyBorder="1"/>
    <xf numFmtId="14" fontId="6" fillId="0" borderId="9" xfId="0" applyNumberFormat="1" applyFont="1" applyBorder="1"/>
    <xf numFmtId="0" fontId="3" fillId="0" borderId="16" xfId="0" applyFont="1" applyBorder="1" applyAlignment="1">
      <alignment horizontal="center" vertical="top"/>
    </xf>
    <xf numFmtId="2" fontId="6" fillId="0" borderId="13" xfId="0" applyNumberFormat="1" applyFont="1" applyBorder="1"/>
    <xf numFmtId="10" fontId="6" fillId="0" borderId="13" xfId="0" applyNumberFormat="1" applyFont="1" applyBorder="1"/>
    <xf numFmtId="0" fontId="1" fillId="0" borderId="0" xfId="0" applyFont="1"/>
    <xf numFmtId="14" fontId="0" fillId="0" borderId="0" xfId="0" applyNumberFormat="1" applyAlignment="1">
      <alignment horizontal="left" vertical="center"/>
    </xf>
    <xf numFmtId="14" fontId="18" fillId="0" borderId="0" xfId="0" applyNumberFormat="1" applyFont="1" applyAlignment="1">
      <alignment horizontal="left" vertical="center"/>
    </xf>
    <xf numFmtId="0" fontId="18" fillId="0" borderId="0" xfId="0" applyFont="1"/>
    <xf numFmtId="0" fontId="18" fillId="0" borderId="0" xfId="0" applyNumberFormat="1" applyFont="1"/>
    <xf numFmtId="0" fontId="1" fillId="3" borderId="0" xfId="0" applyFont="1" applyFill="1" applyAlignment="1">
      <alignment horizontal="center" wrapText="1"/>
    </xf>
    <xf numFmtId="0" fontId="0" fillId="3" borderId="0" xfId="0" applyFill="1" applyAlignment="1">
      <alignment horizontal="center" wrapText="1"/>
    </xf>
  </cellXfs>
  <cellStyles count="1">
    <cellStyle name="Normal" xfId="0" builtinId="0"/>
  </cellStyles>
  <dxfs count="83">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dxf>
    <dxf>
      <numFmt numFmtId="1" formatCode="0"/>
    </dxf>
    <dxf>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dd/mm/yyyy"/>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numFmt numFmtId="164" formatCode="&quot;₹&quot;\ #,##0.00"/>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numFmt numFmtId="19" formatCode="dd/mm/yyyy"/>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14" formatCode="0.00%"/>
    </dxf>
    <dxf>
      <font>
        <b val="0"/>
        <i val="0"/>
        <strike val="0"/>
        <condense val="0"/>
        <extend val="0"/>
        <outline val="0"/>
        <shadow val="0"/>
        <u val="none"/>
        <vertAlign val="baseline"/>
        <sz val="11"/>
        <color theme="1"/>
        <name val="Calibri"/>
        <family val="2"/>
        <scheme val="none"/>
      </font>
      <numFmt numFmtId="1" formatCode="0"/>
    </dxf>
    <dxf>
      <font>
        <b val="0"/>
        <i val="0"/>
        <strike val="0"/>
        <condense val="0"/>
        <extend val="0"/>
        <outline val="0"/>
        <shadow val="0"/>
        <u val="none"/>
        <vertAlign val="baseline"/>
        <sz val="11"/>
        <color theme="1"/>
        <name val="Calibri"/>
        <family val="2"/>
        <scheme val="none"/>
      </font>
      <numFmt numFmtId="164" formatCode="&quot;₹&quot;\ #,##0.00"/>
    </dxf>
    <dxf>
      <font>
        <b val="0"/>
        <i val="0"/>
        <strike val="0"/>
        <condense val="0"/>
        <extend val="0"/>
        <outline val="0"/>
        <shadow val="0"/>
        <u val="none"/>
        <vertAlign val="baseline"/>
        <sz val="11"/>
        <color theme="1"/>
        <name val="Calibri"/>
        <family val="2"/>
        <scheme val="none"/>
      </font>
      <numFmt numFmtId="2" formatCode="0.00"/>
    </dxf>
    <dxf>
      <font>
        <b val="0"/>
        <i val="0"/>
        <strike val="0"/>
        <condense val="0"/>
        <extend val="0"/>
        <outline val="0"/>
        <shadow val="0"/>
        <u val="none"/>
        <vertAlign val="baseline"/>
        <sz val="11"/>
        <color theme="1"/>
        <name val="Calibri"/>
        <family val="2"/>
        <scheme val="none"/>
      </font>
      <numFmt numFmtId="1" formatCode="0"/>
    </dxf>
    <dxf>
      <font>
        <b val="0"/>
        <i val="0"/>
        <strike val="0"/>
        <condense val="0"/>
        <extend val="0"/>
        <outline val="0"/>
        <shadow val="0"/>
        <u val="none"/>
        <vertAlign val="baseline"/>
        <sz val="11"/>
        <color theme="1"/>
        <name val="Calibri"/>
        <family val="2"/>
        <scheme val="none"/>
      </font>
      <numFmt numFmtId="1" formatCode="0"/>
    </dxf>
    <dxf>
      <font>
        <b val="0"/>
        <i val="0"/>
        <strike val="0"/>
        <condense val="0"/>
        <extend val="0"/>
        <outline val="0"/>
        <shadow val="0"/>
        <u val="none"/>
        <vertAlign val="baseline"/>
        <sz val="11"/>
        <color theme="1"/>
        <name val="Calibri"/>
        <family val="2"/>
        <scheme val="none"/>
      </font>
      <numFmt numFmtId="1" formatCode="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9" formatCode="dd/mm/yyyy"/>
    </dxf>
    <dxf>
      <border outline="0">
        <top style="thin">
          <color rgb="FF000000"/>
        </top>
      </border>
    </dxf>
    <dxf>
      <font>
        <b val="0"/>
        <i val="0"/>
        <strike val="0"/>
        <condense val="0"/>
        <extend val="0"/>
        <outline val="0"/>
        <shadow val="0"/>
        <u val="none"/>
        <vertAlign val="baseline"/>
        <sz val="11"/>
        <color theme="1"/>
        <name val="Calibri"/>
        <family val="2"/>
        <scheme val="none"/>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border diagonalUp="0" diagonalDown="0" outline="0">
        <left style="thin">
          <color rgb="FF000000"/>
        </left>
        <right style="thin">
          <color rgb="FF000000"/>
        </right>
        <top/>
        <bottom/>
      </border>
    </dxf>
    <dxf>
      <numFmt numFmtId="1" formatCode="0"/>
    </dxf>
    <dxf>
      <border>
        <bottom style="medium">
          <color indexed="64"/>
        </bottom>
      </border>
    </dxf>
    <dxf>
      <font>
        <b val="0"/>
        <i val="0"/>
        <strike val="0"/>
        <condense val="0"/>
        <extend val="0"/>
        <outline val="0"/>
        <shadow val="0"/>
        <u val="none"/>
        <vertAlign val="baseline"/>
        <sz val="11"/>
        <color theme="1"/>
        <name val="Calibri"/>
        <family val="2"/>
        <scheme val="minor"/>
      </font>
      <border diagonalUp="0" diagonalDown="0">
        <left/>
        <right/>
        <top/>
        <bottom/>
        <vertical/>
        <horizontal/>
      </border>
    </dxf>
    <dxf>
      <numFmt numFmtId="2" formatCode="0.00"/>
    </dxf>
    <dxf>
      <numFmt numFmtId="164" formatCode="&quot;₹&quot;\ #,##0.00"/>
    </dxf>
    <dxf>
      <numFmt numFmtId="19" formatCode="dd/mm/yyyy"/>
    </dxf>
    <dxf>
      <numFmt numFmtId="19" formatCode="dd/mm/yyyy"/>
    </dxf>
    <dxf>
      <numFmt numFmtId="0" formatCode="General"/>
    </dxf>
    <dxf>
      <numFmt numFmtId="14"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9" formatCode="dd/mm/yyyy"/>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outline="0">
        <top style="thin">
          <color rgb="FF000000"/>
        </top>
      </border>
    </dxf>
    <dxf>
      <font>
        <b val="0"/>
        <i val="0"/>
        <strike val="0"/>
        <condense val="0"/>
        <extend val="0"/>
        <outline val="0"/>
        <shadow val="0"/>
        <u val="none"/>
        <vertAlign val="baseline"/>
        <sz val="11"/>
        <color theme="1"/>
        <name val="Calibri"/>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[Social_Media_Analytics_Dataset.xlsx]Cost _Per_Engagement!PivotTable10</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50"/>
      <c:rotY val="40"/>
      <c:depthPercent val="15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913167104111984E-2"/>
          <c:y val="0.29995443277923595"/>
          <c:w val="0.64878477690288716"/>
          <c:h val="0.6283759842519685"/>
        </c:manualLayout>
      </c:layout>
      <c:pie3DChart>
        <c:varyColors val="1"/>
        <c:ser>
          <c:idx val="0"/>
          <c:order val="0"/>
          <c:tx>
            <c:strRef>
              <c:f>'Cost _Per_Engagement'!$B$3</c:f>
              <c:strCache>
                <c:ptCount val="1"/>
                <c:pt idx="0">
                  <c:v>Total</c:v>
                </c:pt>
              </c:strCache>
            </c:strRef>
          </c:tx>
          <c:dPt>
            <c:idx val="0"/>
            <c:bubble3D val="0"/>
            <c:explosion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A3A-454F-8725-2810C534DC29}"/>
              </c:ext>
            </c:extLst>
          </c:dPt>
          <c:dPt>
            <c:idx val="1"/>
            <c:bubble3D val="0"/>
            <c:explosion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A3A-454F-8725-2810C534DC29}"/>
              </c:ext>
            </c:extLst>
          </c:dPt>
          <c:dPt>
            <c:idx val="2"/>
            <c:bubble3D val="0"/>
            <c:explosion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A3A-454F-8725-2810C534DC2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A3A-454F-8725-2810C534DC29}"/>
              </c:ext>
            </c:extLst>
          </c:dPt>
          <c:dPt>
            <c:idx val="4"/>
            <c:bubble3D val="0"/>
            <c:explosion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A3A-454F-8725-2810C534DC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'Cost _Per_Engagement'!$A$4:$A$9</c:f>
              <c:strCache>
                <c:ptCount val="5"/>
                <c:pt idx="0">
                  <c:v>DailyWellness</c:v>
                </c:pt>
                <c:pt idx="1">
                  <c:v>FestiveRadiance</c:v>
                </c:pt>
                <c:pt idx="2">
                  <c:v>NewYearRefresh</c:v>
                </c:pt>
                <c:pt idx="3">
                  <c:v>No Campaign</c:v>
                </c:pt>
                <c:pt idx="4">
                  <c:v>SummerSplash</c:v>
                </c:pt>
              </c:strCache>
            </c:strRef>
          </c:cat>
          <c:val>
            <c:numRef>
              <c:f>'Cost _Per_Engagement'!$B$4:$B$9</c:f>
              <c:numCache>
                <c:formatCode>0.00</c:formatCode>
                <c:ptCount val="5"/>
                <c:pt idx="0">
                  <c:v>1.6977928692699491</c:v>
                </c:pt>
                <c:pt idx="1">
                  <c:v>1.4525277614368401</c:v>
                </c:pt>
                <c:pt idx="2">
                  <c:v>7.5656700157365933</c:v>
                </c:pt>
                <c:pt idx="3">
                  <c:v>0</c:v>
                </c:pt>
                <c:pt idx="4">
                  <c:v>1.4454626926079046</c:v>
                </c:pt>
              </c:numCache>
            </c:numRef>
          </c:val>
          <c:extLst>
            <c:ext xmlns:c16="http://schemas.microsoft.com/office/drawing/2014/chart" uri="{C3380CC4-5D6E-409C-BE32-E72D297353CC}">
              <c16:uniqueId val="{0000000A-BA3A-454F-8725-2810C534DC29}"/>
            </c:ext>
          </c:extLst>
        </c:ser>
        <c:dLbls>
          <c:showLegendKey val="0"/>
          <c:showVal val="0"/>
          <c:showCatName val="0"/>
          <c:showSerName val="0"/>
          <c:showPercent val="0"/>
          <c:showBubbleSize val="0"/>
          <c:showLeaderLines val="1"/>
        </c:dLbls>
      </c:pie3DChart>
      <c:spPr>
        <a:noFill/>
        <a:ln>
          <a:noFill/>
        </a:ln>
        <a:effectLst>
          <a:softEdge rad="0"/>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[Social_Media_Analytics_Dataset.xlsx]Total_Engagement!PivotTable3</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Total_Engagement!$B$3</c:f>
              <c:strCache>
                <c:ptCount val="1"/>
                <c:pt idx="0">
                  <c:v>Sum of Likes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Total_Engagement!$A$4:$A$8</c:f>
              <c:strCache>
                <c:ptCount val="4"/>
                <c:pt idx="0">
                  <c:v>Facebook</c:v>
                </c:pt>
                <c:pt idx="1">
                  <c:v>Instagram</c:v>
                </c:pt>
                <c:pt idx="2">
                  <c:v>Twitter</c:v>
                </c:pt>
                <c:pt idx="3">
                  <c:v>YouTube</c:v>
                </c:pt>
              </c:strCache>
            </c:strRef>
          </c:cat>
          <c:val>
            <c:numRef>
              <c:f>Total_Engagement!$B$4:$B$8</c:f>
              <c:numCache>
                <c:formatCode>0</c:formatCode>
                <c:ptCount val="4"/>
                <c:pt idx="0">
                  <c:v>242761</c:v>
                </c:pt>
                <c:pt idx="1">
                  <c:v>204284</c:v>
                </c:pt>
                <c:pt idx="2">
                  <c:v>201397</c:v>
                </c:pt>
                <c:pt idx="3">
                  <c:v>171549</c:v>
                </c:pt>
              </c:numCache>
            </c:numRef>
          </c:val>
          <c:extLst>
            <c:ext xmlns:c16="http://schemas.microsoft.com/office/drawing/2014/chart" uri="{C3380CC4-5D6E-409C-BE32-E72D297353CC}">
              <c16:uniqueId val="{00000000-F0A8-4143-A9BC-24419192F1B6}"/>
            </c:ext>
          </c:extLst>
        </c:ser>
        <c:ser>
          <c:idx val="1"/>
          <c:order val="1"/>
          <c:tx>
            <c:strRef>
              <c:f>Total_Engagement!$C$3</c:f>
              <c:strCache>
                <c:ptCount val="1"/>
                <c:pt idx="0">
                  <c:v>Sum of Shares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Total_Engagement!$A$4:$A$8</c:f>
              <c:strCache>
                <c:ptCount val="4"/>
                <c:pt idx="0">
                  <c:v>Facebook</c:v>
                </c:pt>
                <c:pt idx="1">
                  <c:v>Instagram</c:v>
                </c:pt>
                <c:pt idx="2">
                  <c:v>Twitter</c:v>
                </c:pt>
                <c:pt idx="3">
                  <c:v>YouTube</c:v>
                </c:pt>
              </c:strCache>
            </c:strRef>
          </c:cat>
          <c:val>
            <c:numRef>
              <c:f>Total_Engagement!$C$4:$C$8</c:f>
              <c:numCache>
                <c:formatCode>0</c:formatCode>
                <c:ptCount val="4"/>
                <c:pt idx="0">
                  <c:v>39181</c:v>
                </c:pt>
                <c:pt idx="1">
                  <c:v>41444</c:v>
                </c:pt>
                <c:pt idx="2">
                  <c:v>33728</c:v>
                </c:pt>
                <c:pt idx="3">
                  <c:v>28572</c:v>
                </c:pt>
              </c:numCache>
            </c:numRef>
          </c:val>
          <c:extLst>
            <c:ext xmlns:c16="http://schemas.microsoft.com/office/drawing/2014/chart" uri="{C3380CC4-5D6E-409C-BE32-E72D297353CC}">
              <c16:uniqueId val="{00000001-F0A8-4143-A9BC-24419192F1B6}"/>
            </c:ext>
          </c:extLst>
        </c:ser>
        <c:ser>
          <c:idx val="2"/>
          <c:order val="2"/>
          <c:tx>
            <c:strRef>
              <c:f>Total_Engagement!$D$3</c:f>
              <c:strCache>
                <c:ptCount val="1"/>
                <c:pt idx="0">
                  <c:v>Sum of Comments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Total_Engagement!$A$4:$A$8</c:f>
              <c:strCache>
                <c:ptCount val="4"/>
                <c:pt idx="0">
                  <c:v>Facebook</c:v>
                </c:pt>
                <c:pt idx="1">
                  <c:v>Instagram</c:v>
                </c:pt>
                <c:pt idx="2">
                  <c:v>Twitter</c:v>
                </c:pt>
                <c:pt idx="3">
                  <c:v>YouTube</c:v>
                </c:pt>
              </c:strCache>
            </c:strRef>
          </c:cat>
          <c:val>
            <c:numRef>
              <c:f>Total_Engagement!$D$4:$D$8</c:f>
              <c:numCache>
                <c:formatCode>0</c:formatCode>
                <c:ptCount val="4"/>
                <c:pt idx="0">
                  <c:v>23300</c:v>
                </c:pt>
                <c:pt idx="1">
                  <c:v>17851</c:v>
                </c:pt>
                <c:pt idx="2">
                  <c:v>20880</c:v>
                </c:pt>
                <c:pt idx="3">
                  <c:v>12820</c:v>
                </c:pt>
              </c:numCache>
            </c:numRef>
          </c:val>
          <c:extLst>
            <c:ext xmlns:c16="http://schemas.microsoft.com/office/drawing/2014/chart" uri="{C3380CC4-5D6E-409C-BE32-E72D297353CC}">
              <c16:uniqueId val="{00000002-F0A8-4143-A9BC-24419192F1B6}"/>
            </c:ext>
          </c:extLst>
        </c:ser>
        <c:ser>
          <c:idx val="3"/>
          <c:order val="3"/>
          <c:tx>
            <c:strRef>
              <c:f>Total_Engagement!$E$3</c:f>
              <c:strCache>
                <c:ptCount val="1"/>
                <c:pt idx="0">
                  <c:v>Total _Engagement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Total_Engagement!$A$4:$A$8</c:f>
              <c:strCache>
                <c:ptCount val="4"/>
                <c:pt idx="0">
                  <c:v>Facebook</c:v>
                </c:pt>
                <c:pt idx="1">
                  <c:v>Instagram</c:v>
                </c:pt>
                <c:pt idx="2">
                  <c:v>Twitter</c:v>
                </c:pt>
                <c:pt idx="3">
                  <c:v>YouTube</c:v>
                </c:pt>
              </c:strCache>
            </c:strRef>
          </c:cat>
          <c:val>
            <c:numRef>
              <c:f>Total_Engagement!$E$4:$E$8</c:f>
              <c:numCache>
                <c:formatCode>0</c:formatCode>
                <c:ptCount val="4"/>
                <c:pt idx="0">
                  <c:v>305242</c:v>
                </c:pt>
                <c:pt idx="1">
                  <c:v>263579</c:v>
                </c:pt>
                <c:pt idx="2">
                  <c:v>256005</c:v>
                </c:pt>
                <c:pt idx="3">
                  <c:v>212941</c:v>
                </c:pt>
              </c:numCache>
            </c:numRef>
          </c:val>
          <c:extLst>
            <c:ext xmlns:c16="http://schemas.microsoft.com/office/drawing/2014/chart" uri="{C3380CC4-5D6E-409C-BE32-E72D297353CC}">
              <c16:uniqueId val="{00000000-66F5-4B94-A9B7-C69B1A6E9410}"/>
            </c:ext>
          </c:extLst>
        </c:ser>
        <c:dLbls>
          <c:showLegendKey val="0"/>
          <c:showVal val="0"/>
          <c:showCatName val="0"/>
          <c:showSerName val="0"/>
          <c:showPercent val="0"/>
          <c:showBubbleSize val="0"/>
        </c:dLbls>
        <c:gapWidth val="100"/>
        <c:overlap val="-24"/>
        <c:axId val="603464111"/>
        <c:axId val="603452111"/>
      </c:barChart>
      <c:catAx>
        <c:axId val="603464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452111"/>
        <c:crosses val="autoZero"/>
        <c:auto val="1"/>
        <c:lblAlgn val="ctr"/>
        <c:lblOffset val="100"/>
        <c:noMultiLvlLbl val="0"/>
      </c:catAx>
      <c:valAx>
        <c:axId val="6034521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46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Followe</a:t>
            </a:r>
            <a:r>
              <a:rPr lang="en-US" baseline="0"/>
              <a:t>r Impact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Follower_Impact!$B$1</c:f>
              <c:strCache>
                <c:ptCount val="1"/>
                <c:pt idx="0">
                  <c:v>Empact</c:v>
                </c:pt>
              </c:strCache>
            </c:strRef>
          </c:tx>
          <c:spPr>
            <a:ln>
              <a:solidFill>
                <a:schemeClr val="tx2"/>
              </a:solidFill>
            </a:ln>
          </c:spPr>
          <c:dPt>
            <c:idx val="0"/>
            <c:bubble3D val="0"/>
            <c:explosion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C35-4E0E-8FEE-A1AD8881A3CF}"/>
              </c:ext>
            </c:extLst>
          </c:dPt>
          <c:dPt>
            <c:idx val="1"/>
            <c:bubble3D val="0"/>
            <c:explosion val="10"/>
            <c:spPr>
              <a:solidFill>
                <a:schemeClr val="accent3"/>
              </a:solidFill>
              <a:ln>
                <a:solidFill>
                  <a:schemeClr val="tx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C35-4E0E-8FEE-A1AD8881A3CF}"/>
              </c:ext>
            </c:extLst>
          </c:dPt>
          <c:dPt>
            <c:idx val="2"/>
            <c:bubble3D val="0"/>
            <c:explosion val="6"/>
            <c:spPr>
              <a:solidFill>
                <a:schemeClr val="accent6"/>
              </a:solidFill>
              <a:ln>
                <a:solidFill>
                  <a:schemeClr val="tx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C35-4E0E-8FEE-A1AD8881A3CF}"/>
              </c:ext>
            </c:extLst>
          </c:dPt>
          <c:dPt>
            <c:idx val="3"/>
            <c:bubble3D val="0"/>
            <c:explosion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C35-4E0E-8FEE-A1AD8881A3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1"/>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Follower_Impact!$A$2:$A$6</c15:sqref>
                  </c15:fullRef>
                </c:ext>
              </c:extLst>
              <c:f>Follower_Impact!$A$2:$A$5</c:f>
              <c:strCache>
                <c:ptCount val="4"/>
                <c:pt idx="0">
                  <c:v>SummerSplash</c:v>
                </c:pt>
                <c:pt idx="1">
                  <c:v>FestiveRadiance</c:v>
                </c:pt>
                <c:pt idx="2">
                  <c:v>NewYearRefresh</c:v>
                </c:pt>
                <c:pt idx="3">
                  <c:v>DailyWellness</c:v>
                </c:pt>
              </c:strCache>
            </c:strRef>
          </c:cat>
          <c:val>
            <c:numRef>
              <c:extLst>
                <c:ext xmlns:c15="http://schemas.microsoft.com/office/drawing/2012/chart" uri="{02D57815-91ED-43cb-92C2-25804820EDAC}">
                  <c15:fullRef>
                    <c15:sqref>Follower_Impact!$B$2:$B$6</c15:sqref>
                  </c15:fullRef>
                </c:ext>
              </c:extLst>
              <c:f>Follower_Impact!$B$2:$B$5</c:f>
              <c:numCache>
                <c:formatCode>0</c:formatCode>
                <c:ptCount val="4"/>
                <c:pt idx="0">
                  <c:v>13523</c:v>
                </c:pt>
                <c:pt idx="1">
                  <c:v>109446</c:v>
                </c:pt>
                <c:pt idx="2">
                  <c:v>10087</c:v>
                </c:pt>
                <c:pt idx="3">
                  <c:v>16078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C35-4E0E-8FEE-A1AD8881A3CF}"/>
            </c:ext>
          </c:extLst>
        </c:ser>
        <c:dLbls>
          <c:showLegendKey val="0"/>
          <c:showVal val="0"/>
          <c:showCatName val="0"/>
          <c:showSerName val="0"/>
          <c:showPercent val="0"/>
          <c:showBubbleSize val="0"/>
          <c:showLeaderLines val="1"/>
        </c:dLbls>
        <c:firstSliceAng val="107"/>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[Social_Media_Analytics_Dataset.xlsx]Content_wise_Engagement_Rate!PivotTable4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96702145222855"/>
          <c:y val="0.13739826500249891"/>
          <c:w val="0.41105815720403371"/>
          <c:h val="0.78445270791340238"/>
        </c:manualLayout>
      </c:layout>
      <c:barChart>
        <c:barDir val="bar"/>
        <c:grouping val="clustered"/>
        <c:varyColors val="0"/>
        <c:ser>
          <c:idx val="0"/>
          <c:order val="0"/>
          <c:tx>
            <c:strRef>
              <c:f>Content_wise_Engagement_Rate!$B$3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movingAvg"/>
            <c:period val="4"/>
            <c:dispRSqr val="0"/>
            <c:dispEq val="0"/>
          </c:trendline>
          <c:cat>
            <c:multiLvlStrRef>
              <c:f>Content_wise_Engagement_Rate!$A$4:$A$34</c:f>
              <c:multiLvlStrCache>
                <c:ptCount val="24"/>
                <c:lvl>
                  <c:pt idx="0">
                    <c:v>Facebook</c:v>
                  </c:pt>
                  <c:pt idx="1">
                    <c:v>Instagram</c:v>
                  </c:pt>
                  <c:pt idx="2">
                    <c:v>Twitter</c:v>
                  </c:pt>
                  <c:pt idx="3">
                    <c:v>YouTube</c:v>
                  </c:pt>
                  <c:pt idx="4">
                    <c:v>Facebook</c:v>
                  </c:pt>
                  <c:pt idx="5">
                    <c:v>Instagram</c:v>
                  </c:pt>
                  <c:pt idx="6">
                    <c:v>Twitter</c:v>
                  </c:pt>
                  <c:pt idx="7">
                    <c:v>YouTube</c:v>
                  </c:pt>
                  <c:pt idx="8">
                    <c:v>Facebook</c:v>
                  </c:pt>
                  <c:pt idx="9">
                    <c:v>Instagram</c:v>
                  </c:pt>
                  <c:pt idx="10">
                    <c:v>Twitter</c:v>
                  </c:pt>
                  <c:pt idx="11">
                    <c:v>YouTube</c:v>
                  </c:pt>
                  <c:pt idx="12">
                    <c:v>Facebook</c:v>
                  </c:pt>
                  <c:pt idx="13">
                    <c:v>Instagram</c:v>
                  </c:pt>
                  <c:pt idx="14">
                    <c:v>Twitter</c:v>
                  </c:pt>
                  <c:pt idx="15">
                    <c:v>YouTube</c:v>
                  </c:pt>
                  <c:pt idx="16">
                    <c:v>Facebook</c:v>
                  </c:pt>
                  <c:pt idx="17">
                    <c:v>Instagram</c:v>
                  </c:pt>
                  <c:pt idx="18">
                    <c:v>Twitter</c:v>
                  </c:pt>
                  <c:pt idx="19">
                    <c:v>YouTube</c:v>
                  </c:pt>
                  <c:pt idx="20">
                    <c:v>Facebook</c:v>
                  </c:pt>
                  <c:pt idx="21">
                    <c:v>Instagram</c:v>
                  </c:pt>
                  <c:pt idx="22">
                    <c:v>Twitter</c:v>
                  </c:pt>
                  <c:pt idx="23">
                    <c:v>YouTube</c:v>
                  </c:pt>
                </c:lvl>
                <c:lvl>
                  <c:pt idx="0">
                    <c:v>Carousel</c:v>
                  </c:pt>
                  <c:pt idx="4">
                    <c:v>Image</c:v>
                  </c:pt>
                  <c:pt idx="8">
                    <c:v>Reel</c:v>
                  </c:pt>
                  <c:pt idx="12">
                    <c:v>Story</c:v>
                  </c:pt>
                  <c:pt idx="16">
                    <c:v>Text</c:v>
                  </c:pt>
                  <c:pt idx="20">
                    <c:v>Video</c:v>
                  </c:pt>
                </c:lvl>
              </c:multiLvlStrCache>
            </c:multiLvlStrRef>
          </c:cat>
          <c:val>
            <c:numRef>
              <c:f>Content_wise_Engagement_Rate!$B$4:$B$34</c:f>
              <c:numCache>
                <c:formatCode>0.00%</c:formatCode>
                <c:ptCount val="24"/>
                <c:pt idx="0">
                  <c:v>0.11820589815604367</c:v>
                </c:pt>
                <c:pt idx="1">
                  <c:v>0.14439860032256024</c:v>
                </c:pt>
                <c:pt idx="2">
                  <c:v>0.15972488239914528</c:v>
                </c:pt>
                <c:pt idx="3">
                  <c:v>0.17416554369953544</c:v>
                </c:pt>
                <c:pt idx="4">
                  <c:v>0.11892682975133068</c:v>
                </c:pt>
                <c:pt idx="5">
                  <c:v>0.14929862484025289</c:v>
                </c:pt>
                <c:pt idx="6">
                  <c:v>0.14756648191377314</c:v>
                </c:pt>
                <c:pt idx="7">
                  <c:v>0.15035567844671383</c:v>
                </c:pt>
                <c:pt idx="8">
                  <c:v>0.10810248159985612</c:v>
                </c:pt>
                <c:pt idx="9">
                  <c:v>0.26004033206333965</c:v>
                </c:pt>
                <c:pt idx="10">
                  <c:v>0.12428081569427865</c:v>
                </c:pt>
                <c:pt idx="11">
                  <c:v>0.11688583584797579</c:v>
                </c:pt>
                <c:pt idx="12">
                  <c:v>0.15898977777988452</c:v>
                </c:pt>
                <c:pt idx="13">
                  <c:v>0.24558274253543633</c:v>
                </c:pt>
                <c:pt idx="14">
                  <c:v>0.18859716943319416</c:v>
                </c:pt>
                <c:pt idx="15">
                  <c:v>9.4965330348360799E-2</c:v>
                </c:pt>
                <c:pt idx="16">
                  <c:v>0.1074395128551284</c:v>
                </c:pt>
                <c:pt idx="17">
                  <c:v>0.12920449104190176</c:v>
                </c:pt>
                <c:pt idx="18">
                  <c:v>0.12088972902726507</c:v>
                </c:pt>
                <c:pt idx="19">
                  <c:v>0.11459217612964397</c:v>
                </c:pt>
                <c:pt idx="20">
                  <c:v>0.12899653614759149</c:v>
                </c:pt>
                <c:pt idx="21">
                  <c:v>0.2062396061640541</c:v>
                </c:pt>
                <c:pt idx="22">
                  <c:v>0.11980876658677887</c:v>
                </c:pt>
                <c:pt idx="23">
                  <c:v>0.12968338256813225</c:v>
                </c:pt>
              </c:numCache>
            </c:numRef>
          </c:val>
          <c:extLst>
            <c:ext xmlns:c16="http://schemas.microsoft.com/office/drawing/2014/chart" uri="{C3380CC4-5D6E-409C-BE32-E72D297353CC}">
              <c16:uniqueId val="{00000001-0826-4DBB-AF83-C1E857E1816C}"/>
            </c:ext>
          </c:extLst>
        </c:ser>
        <c:dLbls>
          <c:dLblPos val="outEnd"/>
          <c:showLegendKey val="0"/>
          <c:showVal val="1"/>
          <c:showCatName val="0"/>
          <c:showSerName val="0"/>
          <c:showPercent val="0"/>
          <c:showBubbleSize val="0"/>
        </c:dLbls>
        <c:gapWidth val="115"/>
        <c:overlap val="-20"/>
        <c:axId val="1730564367"/>
        <c:axId val="1730558127"/>
      </c:barChart>
      <c:catAx>
        <c:axId val="173056436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Platform wise  contenT</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0558127"/>
        <c:crosses val="autoZero"/>
        <c:auto val="1"/>
        <c:lblAlgn val="ctr"/>
        <c:lblOffset val="100"/>
        <c:noMultiLvlLbl val="0"/>
      </c:catAx>
      <c:valAx>
        <c:axId val="1730558127"/>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Engagement Rate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056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[Social_Media_Analytics_Dataset.xlsx]Total_Engagement!PivotTable3</c:name>
    <c:fmtId val="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Total_Engagement!$B$3</c:f>
              <c:strCache>
                <c:ptCount val="1"/>
                <c:pt idx="0">
                  <c:v>Sum of Likes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Total_Engagement!$A$4:$A$8</c:f>
              <c:strCache>
                <c:ptCount val="4"/>
                <c:pt idx="0">
                  <c:v>Facebook</c:v>
                </c:pt>
                <c:pt idx="1">
                  <c:v>Instagram</c:v>
                </c:pt>
                <c:pt idx="2">
                  <c:v>Twitter</c:v>
                </c:pt>
                <c:pt idx="3">
                  <c:v>YouTube</c:v>
                </c:pt>
              </c:strCache>
            </c:strRef>
          </c:cat>
          <c:val>
            <c:numRef>
              <c:f>Total_Engagement!$B$4:$B$8</c:f>
              <c:numCache>
                <c:formatCode>0</c:formatCode>
                <c:ptCount val="4"/>
                <c:pt idx="0">
                  <c:v>242761</c:v>
                </c:pt>
                <c:pt idx="1">
                  <c:v>204284</c:v>
                </c:pt>
                <c:pt idx="2">
                  <c:v>201397</c:v>
                </c:pt>
                <c:pt idx="3">
                  <c:v>171549</c:v>
                </c:pt>
              </c:numCache>
            </c:numRef>
          </c:val>
          <c:extLst>
            <c:ext xmlns:c16="http://schemas.microsoft.com/office/drawing/2014/chart" uri="{C3380CC4-5D6E-409C-BE32-E72D297353CC}">
              <c16:uniqueId val="{00000000-8E62-4C7F-A195-2E8B141EFBA7}"/>
            </c:ext>
          </c:extLst>
        </c:ser>
        <c:ser>
          <c:idx val="1"/>
          <c:order val="1"/>
          <c:tx>
            <c:strRef>
              <c:f>Total_Engagement!$C$3</c:f>
              <c:strCache>
                <c:ptCount val="1"/>
                <c:pt idx="0">
                  <c:v>Sum of Shares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Total_Engagement!$A$4:$A$8</c:f>
              <c:strCache>
                <c:ptCount val="4"/>
                <c:pt idx="0">
                  <c:v>Facebook</c:v>
                </c:pt>
                <c:pt idx="1">
                  <c:v>Instagram</c:v>
                </c:pt>
                <c:pt idx="2">
                  <c:v>Twitter</c:v>
                </c:pt>
                <c:pt idx="3">
                  <c:v>YouTube</c:v>
                </c:pt>
              </c:strCache>
            </c:strRef>
          </c:cat>
          <c:val>
            <c:numRef>
              <c:f>Total_Engagement!$C$4:$C$8</c:f>
              <c:numCache>
                <c:formatCode>0</c:formatCode>
                <c:ptCount val="4"/>
                <c:pt idx="0">
                  <c:v>39181</c:v>
                </c:pt>
                <c:pt idx="1">
                  <c:v>41444</c:v>
                </c:pt>
                <c:pt idx="2">
                  <c:v>33728</c:v>
                </c:pt>
                <c:pt idx="3">
                  <c:v>28572</c:v>
                </c:pt>
              </c:numCache>
            </c:numRef>
          </c:val>
          <c:extLst>
            <c:ext xmlns:c16="http://schemas.microsoft.com/office/drawing/2014/chart" uri="{C3380CC4-5D6E-409C-BE32-E72D297353CC}">
              <c16:uniqueId val="{00000001-8E62-4C7F-A195-2E8B141EFBA7}"/>
            </c:ext>
          </c:extLst>
        </c:ser>
        <c:ser>
          <c:idx val="2"/>
          <c:order val="2"/>
          <c:tx>
            <c:strRef>
              <c:f>Total_Engagement!$D$3</c:f>
              <c:strCache>
                <c:ptCount val="1"/>
                <c:pt idx="0">
                  <c:v>Sum of Comments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Total_Engagement!$A$4:$A$8</c:f>
              <c:strCache>
                <c:ptCount val="4"/>
                <c:pt idx="0">
                  <c:v>Facebook</c:v>
                </c:pt>
                <c:pt idx="1">
                  <c:v>Instagram</c:v>
                </c:pt>
                <c:pt idx="2">
                  <c:v>Twitter</c:v>
                </c:pt>
                <c:pt idx="3">
                  <c:v>YouTube</c:v>
                </c:pt>
              </c:strCache>
            </c:strRef>
          </c:cat>
          <c:val>
            <c:numRef>
              <c:f>Total_Engagement!$D$4:$D$8</c:f>
              <c:numCache>
                <c:formatCode>0</c:formatCode>
                <c:ptCount val="4"/>
                <c:pt idx="0">
                  <c:v>23300</c:v>
                </c:pt>
                <c:pt idx="1">
                  <c:v>17851</c:v>
                </c:pt>
                <c:pt idx="2">
                  <c:v>20880</c:v>
                </c:pt>
                <c:pt idx="3">
                  <c:v>12820</c:v>
                </c:pt>
              </c:numCache>
            </c:numRef>
          </c:val>
          <c:extLst>
            <c:ext xmlns:c16="http://schemas.microsoft.com/office/drawing/2014/chart" uri="{C3380CC4-5D6E-409C-BE32-E72D297353CC}">
              <c16:uniqueId val="{00000002-8E62-4C7F-A195-2E8B141EFBA7}"/>
            </c:ext>
          </c:extLst>
        </c:ser>
        <c:ser>
          <c:idx val="3"/>
          <c:order val="3"/>
          <c:tx>
            <c:strRef>
              <c:f>Total_Engagement!$E$3</c:f>
              <c:strCache>
                <c:ptCount val="1"/>
                <c:pt idx="0">
                  <c:v>Total _Engagement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Total_Engagement!$A$4:$A$8</c:f>
              <c:strCache>
                <c:ptCount val="4"/>
                <c:pt idx="0">
                  <c:v>Facebook</c:v>
                </c:pt>
                <c:pt idx="1">
                  <c:v>Instagram</c:v>
                </c:pt>
                <c:pt idx="2">
                  <c:v>Twitter</c:v>
                </c:pt>
                <c:pt idx="3">
                  <c:v>YouTube</c:v>
                </c:pt>
              </c:strCache>
            </c:strRef>
          </c:cat>
          <c:val>
            <c:numRef>
              <c:f>Total_Engagement!$E$4:$E$8</c:f>
              <c:numCache>
                <c:formatCode>0</c:formatCode>
                <c:ptCount val="4"/>
                <c:pt idx="0">
                  <c:v>305242</c:v>
                </c:pt>
                <c:pt idx="1">
                  <c:v>263579</c:v>
                </c:pt>
                <c:pt idx="2">
                  <c:v>256005</c:v>
                </c:pt>
                <c:pt idx="3">
                  <c:v>212941</c:v>
                </c:pt>
              </c:numCache>
            </c:numRef>
          </c:val>
          <c:extLst>
            <c:ext xmlns:c16="http://schemas.microsoft.com/office/drawing/2014/chart" uri="{C3380CC4-5D6E-409C-BE32-E72D297353CC}">
              <c16:uniqueId val="{00000000-9FC2-4D31-B985-87757EE39887}"/>
            </c:ext>
          </c:extLst>
        </c:ser>
        <c:dLbls>
          <c:showLegendKey val="0"/>
          <c:showVal val="0"/>
          <c:showCatName val="0"/>
          <c:showSerName val="0"/>
          <c:showPercent val="0"/>
          <c:showBubbleSize val="0"/>
        </c:dLbls>
        <c:gapWidth val="100"/>
        <c:overlap val="-24"/>
        <c:axId val="603464111"/>
        <c:axId val="603452111"/>
      </c:barChart>
      <c:catAx>
        <c:axId val="603464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452111"/>
        <c:crosses val="autoZero"/>
        <c:auto val="1"/>
        <c:lblAlgn val="ctr"/>
        <c:lblOffset val="100"/>
        <c:noMultiLvlLbl val="0"/>
      </c:catAx>
      <c:valAx>
        <c:axId val="6034521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46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[Social_Media_Analytics_Dataset.xlsx]Hashtag_Performanance!PivotTable2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Hashtag</a:t>
            </a:r>
            <a:r>
              <a:rPr lang="en-US" baseline="0"/>
              <a:t>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7606982183202"/>
          <c:y val="0.22349639501169224"/>
          <c:w val="0.47010038079581956"/>
          <c:h val="0.67772377689430041"/>
        </c:manualLayout>
      </c:layout>
      <c:pieChart>
        <c:varyColors val="1"/>
        <c:ser>
          <c:idx val="0"/>
          <c:order val="0"/>
          <c:tx>
            <c:strRef>
              <c:f>Hashtag_Performanance!$B$3</c:f>
              <c:strCache>
                <c:ptCount val="1"/>
                <c:pt idx="0">
                  <c:v>Average of Clicks</c:v>
                </c:pt>
              </c:strCache>
            </c:strRef>
          </c:tx>
          <c:explosion val="1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1D-4F7B-BA73-4104671AB0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1D-4F7B-BA73-4104671AB0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51D-4F7B-BA73-4104671AB0C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51D-4F7B-BA73-4104671AB0C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51D-4F7B-BA73-4104671AB0C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51D-4F7B-BA73-4104671AB0C9}"/>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1D-4F7B-BA73-4104671AB0C9}"/>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1D-4F7B-BA73-4104671AB0C9}"/>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1D-4F7B-BA73-4104671AB0C9}"/>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1D-4F7B-BA73-4104671AB0C9}"/>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1D-4F7B-BA73-4104671AB0C9}"/>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51D-4F7B-BA73-4104671AB0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Hashtag_Performanance!$A$4:$A$10</c:f>
              <c:strCache>
                <c:ptCount val="6"/>
                <c:pt idx="0">
                  <c:v>#AnytimeIsPepsiTime</c:v>
                </c:pt>
                <c:pt idx="1">
                  <c:v>#BetterWithPepsi</c:v>
                </c:pt>
                <c:pt idx="2">
                  <c:v>#LiveForNow</c:v>
                </c:pt>
                <c:pt idx="3">
                  <c:v>#PepsiCoRefresh</c:v>
                </c:pt>
                <c:pt idx="4">
                  <c:v>#SmoothLikeNitroPepsi</c:v>
                </c:pt>
                <c:pt idx="5">
                  <c:v>#ThirstyForMore</c:v>
                </c:pt>
              </c:strCache>
            </c:strRef>
          </c:cat>
          <c:val>
            <c:numRef>
              <c:f>Hashtag_Performanance!$B$4:$B$10</c:f>
              <c:numCache>
                <c:formatCode>0.00</c:formatCode>
                <c:ptCount val="6"/>
                <c:pt idx="0">
                  <c:v>161.19999999999999</c:v>
                </c:pt>
                <c:pt idx="1">
                  <c:v>114.85714285714286</c:v>
                </c:pt>
                <c:pt idx="2">
                  <c:v>144.03883495145632</c:v>
                </c:pt>
                <c:pt idx="3">
                  <c:v>158.65420560747663</c:v>
                </c:pt>
                <c:pt idx="4">
                  <c:v>111.8</c:v>
                </c:pt>
                <c:pt idx="5">
                  <c:v>151.52941176470588</c:v>
                </c:pt>
              </c:numCache>
            </c:numRef>
          </c:val>
          <c:extLst>
            <c:ext xmlns:c16="http://schemas.microsoft.com/office/drawing/2014/chart" uri="{C3380CC4-5D6E-409C-BE32-E72D297353CC}">
              <c16:uniqueId val="{0000000C-E51D-4F7B-BA73-4104671AB0C9}"/>
            </c:ext>
          </c:extLst>
        </c:ser>
        <c:ser>
          <c:idx val="1"/>
          <c:order val="1"/>
          <c:tx>
            <c:strRef>
              <c:f>Hashtag_Performanance!$C$3</c:f>
              <c:strCache>
                <c:ptCount val="1"/>
                <c:pt idx="0">
                  <c:v>Count of Hashtags Used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Hashtag_Performanance!$A$4:$A$10</c:f>
              <c:strCache>
                <c:ptCount val="6"/>
                <c:pt idx="0">
                  <c:v>#AnytimeIsPepsiTime</c:v>
                </c:pt>
                <c:pt idx="1">
                  <c:v>#BetterWithPepsi</c:v>
                </c:pt>
                <c:pt idx="2">
                  <c:v>#LiveForNow</c:v>
                </c:pt>
                <c:pt idx="3">
                  <c:v>#PepsiCoRefresh</c:v>
                </c:pt>
                <c:pt idx="4">
                  <c:v>#SmoothLikeNitroPepsi</c:v>
                </c:pt>
                <c:pt idx="5">
                  <c:v>#ThirstyForMore</c:v>
                </c:pt>
              </c:strCache>
            </c:strRef>
          </c:cat>
          <c:val>
            <c:numRef>
              <c:f>Hashtag_Performanance!$C$4:$C$10</c:f>
              <c:numCache>
                <c:formatCode>General</c:formatCode>
                <c:ptCount val="6"/>
                <c:pt idx="0">
                  <c:v>15</c:v>
                </c:pt>
                <c:pt idx="1">
                  <c:v>7</c:v>
                </c:pt>
                <c:pt idx="2">
                  <c:v>103</c:v>
                </c:pt>
                <c:pt idx="3">
                  <c:v>107</c:v>
                </c:pt>
                <c:pt idx="4">
                  <c:v>5</c:v>
                </c:pt>
                <c:pt idx="5">
                  <c:v>102</c:v>
                </c:pt>
              </c:numCache>
            </c:numRef>
          </c:val>
          <c:extLst>
            <c:ext xmlns:c16="http://schemas.microsoft.com/office/drawing/2014/chart" uri="{C3380CC4-5D6E-409C-BE32-E72D297353CC}">
              <c16:uniqueId val="{0000000C-BF50-4316-AA99-0258660F1A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[Social_Media_Analytics_Dataset.xlsx]Platform_wise_Growth!PivotTable1</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Platform_wise_Growth!$B$3:$B$4</c:f>
              <c:strCache>
                <c:ptCount val="1"/>
                <c:pt idx="0">
                  <c:v>Facebook</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Platform_wise_Growth!$A$5:$A$55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Platform_wise_Growth!$B$5:$B$55</c:f>
              <c:numCache>
                <c:formatCode>0</c:formatCode>
                <c:ptCount val="50"/>
                <c:pt idx="0">
                  <c:v>1002</c:v>
                </c:pt>
                <c:pt idx="1">
                  <c:v>1283</c:v>
                </c:pt>
                <c:pt idx="2">
                  <c:v>1382</c:v>
                </c:pt>
                <c:pt idx="3">
                  <c:v>1670</c:v>
                </c:pt>
                <c:pt idx="4">
                  <c:v>64</c:v>
                </c:pt>
                <c:pt idx="5">
                  <c:v>309</c:v>
                </c:pt>
                <c:pt idx="6">
                  <c:v>-164</c:v>
                </c:pt>
                <c:pt idx="7">
                  <c:v>961</c:v>
                </c:pt>
                <c:pt idx="8">
                  <c:v>-318</c:v>
                </c:pt>
                <c:pt idx="9">
                  <c:v>-197</c:v>
                </c:pt>
                <c:pt idx="10">
                  <c:v>1334</c:v>
                </c:pt>
                <c:pt idx="11">
                  <c:v>1058</c:v>
                </c:pt>
                <c:pt idx="12">
                  <c:v>37</c:v>
                </c:pt>
                <c:pt idx="13">
                  <c:v>1045</c:v>
                </c:pt>
                <c:pt idx="14">
                  <c:v>1428</c:v>
                </c:pt>
                <c:pt idx="15">
                  <c:v>98</c:v>
                </c:pt>
                <c:pt idx="16">
                  <c:v>-19</c:v>
                </c:pt>
                <c:pt idx="17">
                  <c:v>-179</c:v>
                </c:pt>
                <c:pt idx="18">
                  <c:v>1662</c:v>
                </c:pt>
                <c:pt idx="19">
                  <c:v>285</c:v>
                </c:pt>
                <c:pt idx="20">
                  <c:v>439</c:v>
                </c:pt>
                <c:pt idx="21">
                  <c:v>386</c:v>
                </c:pt>
                <c:pt idx="22">
                  <c:v>540</c:v>
                </c:pt>
                <c:pt idx="23">
                  <c:v>-106</c:v>
                </c:pt>
                <c:pt idx="24">
                  <c:v>72</c:v>
                </c:pt>
                <c:pt idx="25">
                  <c:v>1332</c:v>
                </c:pt>
                <c:pt idx="26">
                  <c:v>1706</c:v>
                </c:pt>
                <c:pt idx="27">
                  <c:v>1373</c:v>
                </c:pt>
                <c:pt idx="28">
                  <c:v>1377</c:v>
                </c:pt>
                <c:pt idx="29">
                  <c:v>730</c:v>
                </c:pt>
                <c:pt idx="30">
                  <c:v>1776</c:v>
                </c:pt>
                <c:pt idx="31">
                  <c:v>620</c:v>
                </c:pt>
                <c:pt idx="32">
                  <c:v>298</c:v>
                </c:pt>
                <c:pt idx="33">
                  <c:v>427</c:v>
                </c:pt>
                <c:pt idx="34">
                  <c:v>898</c:v>
                </c:pt>
                <c:pt idx="35">
                  <c:v>748</c:v>
                </c:pt>
                <c:pt idx="36">
                  <c:v>912</c:v>
                </c:pt>
                <c:pt idx="37">
                  <c:v>1590</c:v>
                </c:pt>
                <c:pt idx="38">
                  <c:v>1707</c:v>
                </c:pt>
                <c:pt idx="39">
                  <c:v>-119</c:v>
                </c:pt>
                <c:pt idx="40">
                  <c:v>908</c:v>
                </c:pt>
                <c:pt idx="41">
                  <c:v>1116</c:v>
                </c:pt>
                <c:pt idx="42">
                  <c:v>474</c:v>
                </c:pt>
                <c:pt idx="43">
                  <c:v>514</c:v>
                </c:pt>
                <c:pt idx="44">
                  <c:v>1029</c:v>
                </c:pt>
                <c:pt idx="45">
                  <c:v>-175</c:v>
                </c:pt>
                <c:pt idx="46">
                  <c:v>1045</c:v>
                </c:pt>
                <c:pt idx="47">
                  <c:v>453</c:v>
                </c:pt>
                <c:pt idx="48">
                  <c:v>339</c:v>
                </c:pt>
                <c:pt idx="49">
                  <c:v>407</c:v>
                </c:pt>
              </c:numCache>
            </c:numRef>
          </c:val>
          <c:smooth val="0"/>
          <c:extLst>
            <c:ext xmlns:c16="http://schemas.microsoft.com/office/drawing/2014/chart" uri="{C3380CC4-5D6E-409C-BE32-E72D297353CC}">
              <c16:uniqueId val="{00000000-A517-4646-AEBF-93A14EDE7E5D}"/>
            </c:ext>
          </c:extLst>
        </c:ser>
        <c:ser>
          <c:idx val="1"/>
          <c:order val="1"/>
          <c:tx>
            <c:strRef>
              <c:f>Platform_wise_Growth!$C$3:$C$4</c:f>
              <c:strCache>
                <c:ptCount val="1"/>
                <c:pt idx="0">
                  <c:v>Instagram</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Platform_wise_Growth!$A$5:$A$55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Platform_wise_Growth!$C$5:$C$55</c:f>
              <c:numCache>
                <c:formatCode>0</c:formatCode>
                <c:ptCount val="50"/>
                <c:pt idx="0">
                  <c:v>1047</c:v>
                </c:pt>
                <c:pt idx="1">
                  <c:v>517</c:v>
                </c:pt>
                <c:pt idx="2">
                  <c:v>893</c:v>
                </c:pt>
                <c:pt idx="3">
                  <c:v>629</c:v>
                </c:pt>
                <c:pt idx="4">
                  <c:v>-219</c:v>
                </c:pt>
                <c:pt idx="5">
                  <c:v>1672</c:v>
                </c:pt>
                <c:pt idx="6">
                  <c:v>1845</c:v>
                </c:pt>
                <c:pt idx="7">
                  <c:v>159</c:v>
                </c:pt>
                <c:pt idx="8">
                  <c:v>541</c:v>
                </c:pt>
                <c:pt idx="9">
                  <c:v>352</c:v>
                </c:pt>
                <c:pt idx="10">
                  <c:v>1325</c:v>
                </c:pt>
                <c:pt idx="11">
                  <c:v>76</c:v>
                </c:pt>
                <c:pt idx="12">
                  <c:v>1609</c:v>
                </c:pt>
                <c:pt idx="13">
                  <c:v>1247</c:v>
                </c:pt>
                <c:pt idx="14">
                  <c:v>1572</c:v>
                </c:pt>
                <c:pt idx="15">
                  <c:v>377</c:v>
                </c:pt>
                <c:pt idx="16">
                  <c:v>666</c:v>
                </c:pt>
                <c:pt idx="17">
                  <c:v>1025</c:v>
                </c:pt>
                <c:pt idx="18">
                  <c:v>1872</c:v>
                </c:pt>
                <c:pt idx="19">
                  <c:v>1224</c:v>
                </c:pt>
                <c:pt idx="20">
                  <c:v>262</c:v>
                </c:pt>
                <c:pt idx="21">
                  <c:v>576</c:v>
                </c:pt>
                <c:pt idx="22">
                  <c:v>1397</c:v>
                </c:pt>
                <c:pt idx="23">
                  <c:v>902</c:v>
                </c:pt>
                <c:pt idx="24">
                  <c:v>-49</c:v>
                </c:pt>
                <c:pt idx="25">
                  <c:v>1693</c:v>
                </c:pt>
                <c:pt idx="26">
                  <c:v>1625</c:v>
                </c:pt>
                <c:pt idx="27">
                  <c:v>1119</c:v>
                </c:pt>
                <c:pt idx="28">
                  <c:v>1432</c:v>
                </c:pt>
                <c:pt idx="29">
                  <c:v>684</c:v>
                </c:pt>
                <c:pt idx="30">
                  <c:v>1765</c:v>
                </c:pt>
                <c:pt idx="31">
                  <c:v>903</c:v>
                </c:pt>
                <c:pt idx="32">
                  <c:v>1722</c:v>
                </c:pt>
                <c:pt idx="33">
                  <c:v>1572</c:v>
                </c:pt>
                <c:pt idx="34">
                  <c:v>-166</c:v>
                </c:pt>
                <c:pt idx="35">
                  <c:v>1080</c:v>
                </c:pt>
                <c:pt idx="36">
                  <c:v>1723</c:v>
                </c:pt>
                <c:pt idx="37">
                  <c:v>965</c:v>
                </c:pt>
                <c:pt idx="38">
                  <c:v>1375</c:v>
                </c:pt>
                <c:pt idx="39">
                  <c:v>1315</c:v>
                </c:pt>
                <c:pt idx="40">
                  <c:v>212</c:v>
                </c:pt>
                <c:pt idx="41">
                  <c:v>680</c:v>
                </c:pt>
                <c:pt idx="42">
                  <c:v>461</c:v>
                </c:pt>
                <c:pt idx="43">
                  <c:v>641</c:v>
                </c:pt>
                <c:pt idx="44">
                  <c:v>167</c:v>
                </c:pt>
                <c:pt idx="45">
                  <c:v>-160</c:v>
                </c:pt>
                <c:pt idx="46">
                  <c:v>603</c:v>
                </c:pt>
                <c:pt idx="47">
                  <c:v>1539</c:v>
                </c:pt>
                <c:pt idx="48">
                  <c:v>1881</c:v>
                </c:pt>
                <c:pt idx="49">
                  <c:v>1656</c:v>
                </c:pt>
              </c:numCache>
            </c:numRef>
          </c:val>
          <c:smooth val="0"/>
          <c:extLst>
            <c:ext xmlns:c16="http://schemas.microsoft.com/office/drawing/2014/chart" uri="{C3380CC4-5D6E-409C-BE32-E72D297353CC}">
              <c16:uniqueId val="{00000013-3DA4-4DEC-B8AB-8DB1FD71D535}"/>
            </c:ext>
          </c:extLst>
        </c:ser>
        <c:ser>
          <c:idx val="2"/>
          <c:order val="2"/>
          <c:tx>
            <c:strRef>
              <c:f>Platform_wise_Growth!$D$3:$D$4</c:f>
              <c:strCache>
                <c:ptCount val="1"/>
                <c:pt idx="0">
                  <c:v>Twitter</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Platform_wise_Growth!$A$5:$A$55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Platform_wise_Growth!$D$5:$D$55</c:f>
              <c:numCache>
                <c:formatCode>0</c:formatCode>
                <c:ptCount val="50"/>
                <c:pt idx="0">
                  <c:v>415</c:v>
                </c:pt>
                <c:pt idx="1">
                  <c:v>186</c:v>
                </c:pt>
                <c:pt idx="2">
                  <c:v>1295</c:v>
                </c:pt>
                <c:pt idx="3">
                  <c:v>835</c:v>
                </c:pt>
                <c:pt idx="4">
                  <c:v>1357</c:v>
                </c:pt>
                <c:pt idx="5">
                  <c:v>547</c:v>
                </c:pt>
                <c:pt idx="6">
                  <c:v>429</c:v>
                </c:pt>
                <c:pt idx="7">
                  <c:v>1316</c:v>
                </c:pt>
                <c:pt idx="8">
                  <c:v>1495</c:v>
                </c:pt>
                <c:pt idx="9">
                  <c:v>328</c:v>
                </c:pt>
                <c:pt idx="10">
                  <c:v>37</c:v>
                </c:pt>
                <c:pt idx="11">
                  <c:v>1665</c:v>
                </c:pt>
                <c:pt idx="12">
                  <c:v>1229</c:v>
                </c:pt>
                <c:pt idx="13">
                  <c:v>197</c:v>
                </c:pt>
                <c:pt idx="14">
                  <c:v>260</c:v>
                </c:pt>
                <c:pt idx="15">
                  <c:v>1125</c:v>
                </c:pt>
                <c:pt idx="16">
                  <c:v>1680</c:v>
                </c:pt>
                <c:pt idx="17">
                  <c:v>599</c:v>
                </c:pt>
                <c:pt idx="18">
                  <c:v>107</c:v>
                </c:pt>
                <c:pt idx="19">
                  <c:v>-20</c:v>
                </c:pt>
                <c:pt idx="20">
                  <c:v>636</c:v>
                </c:pt>
                <c:pt idx="21">
                  <c:v>37</c:v>
                </c:pt>
                <c:pt idx="22">
                  <c:v>1603</c:v>
                </c:pt>
                <c:pt idx="23">
                  <c:v>1150</c:v>
                </c:pt>
                <c:pt idx="24">
                  <c:v>445</c:v>
                </c:pt>
                <c:pt idx="25">
                  <c:v>98</c:v>
                </c:pt>
                <c:pt idx="26">
                  <c:v>1173</c:v>
                </c:pt>
                <c:pt idx="27">
                  <c:v>1727</c:v>
                </c:pt>
                <c:pt idx="28">
                  <c:v>1359</c:v>
                </c:pt>
                <c:pt idx="29">
                  <c:v>911</c:v>
                </c:pt>
                <c:pt idx="30">
                  <c:v>1529</c:v>
                </c:pt>
                <c:pt idx="31">
                  <c:v>1188</c:v>
                </c:pt>
                <c:pt idx="32">
                  <c:v>-144</c:v>
                </c:pt>
                <c:pt idx="33">
                  <c:v>891</c:v>
                </c:pt>
                <c:pt idx="34">
                  <c:v>1426</c:v>
                </c:pt>
                <c:pt idx="35">
                  <c:v>569</c:v>
                </c:pt>
                <c:pt idx="36">
                  <c:v>1202</c:v>
                </c:pt>
                <c:pt idx="37">
                  <c:v>-37</c:v>
                </c:pt>
                <c:pt idx="38">
                  <c:v>708</c:v>
                </c:pt>
                <c:pt idx="39">
                  <c:v>899</c:v>
                </c:pt>
                <c:pt idx="40">
                  <c:v>1350</c:v>
                </c:pt>
                <c:pt idx="41">
                  <c:v>861</c:v>
                </c:pt>
                <c:pt idx="42">
                  <c:v>292</c:v>
                </c:pt>
                <c:pt idx="43">
                  <c:v>1676</c:v>
                </c:pt>
                <c:pt idx="44">
                  <c:v>1007</c:v>
                </c:pt>
                <c:pt idx="45">
                  <c:v>53</c:v>
                </c:pt>
                <c:pt idx="46">
                  <c:v>759</c:v>
                </c:pt>
                <c:pt idx="47">
                  <c:v>948</c:v>
                </c:pt>
                <c:pt idx="48">
                  <c:v>1510</c:v>
                </c:pt>
                <c:pt idx="49">
                  <c:v>269</c:v>
                </c:pt>
              </c:numCache>
            </c:numRef>
          </c:val>
          <c:smooth val="0"/>
          <c:extLst>
            <c:ext xmlns:c16="http://schemas.microsoft.com/office/drawing/2014/chart" uri="{C3380CC4-5D6E-409C-BE32-E72D297353CC}">
              <c16:uniqueId val="{00000014-3DA4-4DEC-B8AB-8DB1FD71D535}"/>
            </c:ext>
          </c:extLst>
        </c:ser>
        <c:ser>
          <c:idx val="3"/>
          <c:order val="3"/>
          <c:tx>
            <c:strRef>
              <c:f>Platform_wise_Growth!$E$3:$E$4</c:f>
              <c:strCache>
                <c:ptCount val="1"/>
                <c:pt idx="0">
                  <c:v>YouTube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Platform_wise_Growth!$A$5:$A$55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Platform_wise_Growth!$E$5:$E$55</c:f>
              <c:numCache>
                <c:formatCode>0</c:formatCode>
                <c:ptCount val="50"/>
                <c:pt idx="0">
                  <c:v>1090</c:v>
                </c:pt>
                <c:pt idx="1">
                  <c:v>994</c:v>
                </c:pt>
                <c:pt idx="2">
                  <c:v>337</c:v>
                </c:pt>
                <c:pt idx="3">
                  <c:v>-123</c:v>
                </c:pt>
                <c:pt idx="4">
                  <c:v>91</c:v>
                </c:pt>
                <c:pt idx="5">
                  <c:v>514</c:v>
                </c:pt>
                <c:pt idx="6">
                  <c:v>160</c:v>
                </c:pt>
                <c:pt idx="7">
                  <c:v>317</c:v>
                </c:pt>
                <c:pt idx="8">
                  <c:v>475</c:v>
                </c:pt>
                <c:pt idx="9">
                  <c:v>319</c:v>
                </c:pt>
                <c:pt idx="10">
                  <c:v>1032</c:v>
                </c:pt>
                <c:pt idx="11">
                  <c:v>190</c:v>
                </c:pt>
                <c:pt idx="12">
                  <c:v>28</c:v>
                </c:pt>
                <c:pt idx="13">
                  <c:v>333</c:v>
                </c:pt>
                <c:pt idx="14">
                  <c:v>1100</c:v>
                </c:pt>
                <c:pt idx="15">
                  <c:v>-32</c:v>
                </c:pt>
                <c:pt idx="16">
                  <c:v>1006</c:v>
                </c:pt>
                <c:pt idx="17">
                  <c:v>1706</c:v>
                </c:pt>
                <c:pt idx="18">
                  <c:v>118</c:v>
                </c:pt>
                <c:pt idx="19">
                  <c:v>367</c:v>
                </c:pt>
                <c:pt idx="20">
                  <c:v>1484</c:v>
                </c:pt>
                <c:pt idx="21">
                  <c:v>1657</c:v>
                </c:pt>
                <c:pt idx="22">
                  <c:v>1044</c:v>
                </c:pt>
                <c:pt idx="23">
                  <c:v>349</c:v>
                </c:pt>
                <c:pt idx="24">
                  <c:v>60</c:v>
                </c:pt>
                <c:pt idx="25">
                  <c:v>885</c:v>
                </c:pt>
                <c:pt idx="26">
                  <c:v>291</c:v>
                </c:pt>
                <c:pt idx="27">
                  <c:v>573</c:v>
                </c:pt>
                <c:pt idx="28">
                  <c:v>876</c:v>
                </c:pt>
                <c:pt idx="29">
                  <c:v>1589</c:v>
                </c:pt>
                <c:pt idx="30">
                  <c:v>1460</c:v>
                </c:pt>
                <c:pt idx="31">
                  <c:v>846</c:v>
                </c:pt>
                <c:pt idx="32">
                  <c:v>901</c:v>
                </c:pt>
                <c:pt idx="33">
                  <c:v>724</c:v>
                </c:pt>
                <c:pt idx="34">
                  <c:v>1225</c:v>
                </c:pt>
                <c:pt idx="35">
                  <c:v>-203</c:v>
                </c:pt>
                <c:pt idx="36">
                  <c:v>1444</c:v>
                </c:pt>
                <c:pt idx="37">
                  <c:v>1175</c:v>
                </c:pt>
                <c:pt idx="38">
                  <c:v>1016</c:v>
                </c:pt>
                <c:pt idx="39">
                  <c:v>315</c:v>
                </c:pt>
                <c:pt idx="40">
                  <c:v>1242</c:v>
                </c:pt>
                <c:pt idx="41">
                  <c:v>1385</c:v>
                </c:pt>
                <c:pt idx="42">
                  <c:v>389</c:v>
                </c:pt>
                <c:pt idx="43">
                  <c:v>1467</c:v>
                </c:pt>
                <c:pt idx="44">
                  <c:v>209</c:v>
                </c:pt>
                <c:pt idx="45">
                  <c:v>145</c:v>
                </c:pt>
                <c:pt idx="46">
                  <c:v>1633</c:v>
                </c:pt>
                <c:pt idx="47">
                  <c:v>637</c:v>
                </c:pt>
                <c:pt idx="48">
                  <c:v>864</c:v>
                </c:pt>
                <c:pt idx="49">
                  <c:v>-337</c:v>
                </c:pt>
              </c:numCache>
            </c:numRef>
          </c:val>
          <c:smooth val="0"/>
          <c:extLst>
            <c:ext xmlns:c16="http://schemas.microsoft.com/office/drawing/2014/chart" uri="{C3380CC4-5D6E-409C-BE32-E72D297353CC}">
              <c16:uniqueId val="{00000015-3DA4-4DEC-B8AB-8DB1FD71D535}"/>
            </c:ext>
          </c:extLst>
        </c:ser>
        <c:dLbls>
          <c:showLegendKey val="0"/>
          <c:showVal val="0"/>
          <c:showCatName val="0"/>
          <c:showSerName val="0"/>
          <c:showPercent val="0"/>
          <c:showBubbleSize val="0"/>
        </c:dLbls>
        <c:marker val="1"/>
        <c:smooth val="0"/>
        <c:axId val="1350352848"/>
        <c:axId val="1350353328"/>
      </c:lineChart>
      <c:catAx>
        <c:axId val="13503528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353328"/>
        <c:crosses val="autoZero"/>
        <c:auto val="1"/>
        <c:lblAlgn val="ctr"/>
        <c:lblOffset val="100"/>
        <c:noMultiLvlLbl val="0"/>
      </c:catAx>
      <c:valAx>
        <c:axId val="135035332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35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[Social_Media_Analytics_Dataset.xlsx]Ad_Spent!PivotTable7</c:name>
    <c:fmtId val="1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8346880464757476"/>
          <c:y val="0.18563783425466338"/>
          <c:w val="0.46583636458239713"/>
          <c:h val="0.6557990878318295"/>
        </c:manualLayout>
      </c:layout>
      <c:barChart>
        <c:barDir val="col"/>
        <c:grouping val="clustered"/>
        <c:varyColors val="0"/>
        <c:ser>
          <c:idx val="0"/>
          <c:order val="0"/>
          <c:tx>
            <c:strRef>
              <c:f>Ad_Spent!$B$3</c:f>
              <c:strCache>
                <c:ptCount val="1"/>
                <c:pt idx="0">
                  <c:v>Sum of Ad_Spend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plosion val="17"/>
            <c:extLst>
              <c:ext xmlns:c16="http://schemas.microsoft.com/office/drawing/2014/chart" uri="{C3380CC4-5D6E-409C-BE32-E72D297353CC}">
                <c16:uniqueId val="{00000000-3BA7-432E-8A45-BBC16FFFF874}"/>
              </c:ext>
            </c:extLst>
          </c:dPt>
          <c:dPt>
            <c:idx val="1"/>
            <c:invertIfNegative val="0"/>
            <c:bubble3D val="0"/>
            <c:explosion val="11"/>
            <c:extLst>
              <c:ext xmlns:c16="http://schemas.microsoft.com/office/drawing/2014/chart" uri="{C3380CC4-5D6E-409C-BE32-E72D297353CC}">
                <c16:uniqueId val="{00000001-3BA7-432E-8A45-BBC16FFFF874}"/>
              </c:ext>
            </c:extLst>
          </c:dPt>
          <c:dPt>
            <c:idx val="2"/>
            <c:invertIfNegative val="0"/>
            <c:bubble3D val="0"/>
            <c:explosion val="11"/>
            <c:extLst>
              <c:ext xmlns:c16="http://schemas.microsoft.com/office/drawing/2014/chart" uri="{C3380CC4-5D6E-409C-BE32-E72D297353CC}">
                <c16:uniqueId val="{00000002-3BA7-432E-8A45-BBC16FFFF874}"/>
              </c:ext>
            </c:extLst>
          </c:dPt>
          <c:dPt>
            <c:idx val="3"/>
            <c:invertIfNegative val="0"/>
            <c:bubble3D val="0"/>
            <c:explosion val="14"/>
            <c:extLst>
              <c:ext xmlns:c16="http://schemas.microsoft.com/office/drawing/2014/chart" uri="{C3380CC4-5D6E-409C-BE32-E72D297353CC}">
                <c16:uniqueId val="{00000003-3BA7-432E-8A45-BBC16FFFF874}"/>
              </c:ext>
            </c:extLst>
          </c:dPt>
          <c:cat>
            <c:strRef>
              <c:f>Ad_Spent!$A$4:$A$8</c:f>
              <c:strCache>
                <c:ptCount val="4"/>
                <c:pt idx="0">
                  <c:v>Facebook</c:v>
                </c:pt>
                <c:pt idx="1">
                  <c:v>Instagram</c:v>
                </c:pt>
                <c:pt idx="2">
                  <c:v>Twitter</c:v>
                </c:pt>
                <c:pt idx="3">
                  <c:v>YouTube</c:v>
                </c:pt>
              </c:strCache>
            </c:strRef>
          </c:cat>
          <c:val>
            <c:numRef>
              <c:f>Ad_Spent!$B$4:$B$8</c:f>
              <c:numCache>
                <c:formatCode>"₹"\ #,##0.00</c:formatCode>
                <c:ptCount val="4"/>
                <c:pt idx="0">
                  <c:v>1379539</c:v>
                </c:pt>
                <c:pt idx="1">
                  <c:v>1164373</c:v>
                </c:pt>
                <c:pt idx="2">
                  <c:v>1060357</c:v>
                </c:pt>
                <c:pt idx="3">
                  <c:v>1228647</c:v>
                </c:pt>
              </c:numCache>
            </c:numRef>
          </c:val>
          <c:extLst>
            <c:ext xmlns:c16="http://schemas.microsoft.com/office/drawing/2014/chart" uri="{C3380CC4-5D6E-409C-BE32-E72D297353CC}">
              <c16:uniqueId val="{00000004-3BA7-432E-8A45-BBC16FFFF874}"/>
            </c:ext>
          </c:extLst>
        </c:ser>
        <c:dLbls>
          <c:showLegendKey val="0"/>
          <c:showVal val="0"/>
          <c:showCatName val="0"/>
          <c:showSerName val="0"/>
          <c:showPercent val="0"/>
          <c:showBubbleSize val="0"/>
        </c:dLbls>
        <c:gapWidth val="100"/>
        <c:axId val="501771760"/>
        <c:axId val="501770800"/>
      </c:barChart>
      <c:lineChart>
        <c:grouping val="standard"/>
        <c:varyColors val="0"/>
        <c:ser>
          <c:idx val="1"/>
          <c:order val="1"/>
          <c:tx>
            <c:strRef>
              <c:f>Ad_Spent!$C$3</c:f>
              <c:strCache>
                <c:ptCount val="1"/>
                <c:pt idx="0">
                  <c:v>Average of Engagement_Rate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BA7-432E-8A45-BBC16FFFF874}"/>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BA7-432E-8A45-BBC16FFFF874}"/>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BA7-432E-8A45-BBC16FFFF874}"/>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BA7-432E-8A45-BBC16FFFF874}"/>
              </c:ext>
            </c:extLst>
          </c:dPt>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A7-432E-8A45-BBC16FFFF8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Ad_Spent!$A$4:$A$8</c:f>
              <c:strCache>
                <c:ptCount val="4"/>
                <c:pt idx="0">
                  <c:v>Facebook</c:v>
                </c:pt>
                <c:pt idx="1">
                  <c:v>Instagram</c:v>
                </c:pt>
                <c:pt idx="2">
                  <c:v>Twitter</c:v>
                </c:pt>
                <c:pt idx="3">
                  <c:v>YouTube</c:v>
                </c:pt>
              </c:strCache>
            </c:strRef>
          </c:cat>
          <c:val>
            <c:numRef>
              <c:f>Ad_Spent!$C$4:$C$8</c:f>
              <c:numCache>
                <c:formatCode>0.00</c:formatCode>
                <c:ptCount val="4"/>
                <c:pt idx="0">
                  <c:v>5.6486000000000001</c:v>
                </c:pt>
                <c:pt idx="1">
                  <c:v>5.7156000000000002</c:v>
                </c:pt>
                <c:pt idx="2">
                  <c:v>5.6558000000000002</c:v>
                </c:pt>
                <c:pt idx="3">
                  <c:v>5.5587999999999997</c:v>
                </c:pt>
              </c:numCache>
            </c:numRef>
          </c:val>
          <c:smooth val="0"/>
          <c:extLst>
            <c:ext xmlns:c16="http://schemas.microsoft.com/office/drawing/2014/chart" uri="{C3380CC4-5D6E-409C-BE32-E72D297353CC}">
              <c16:uniqueId val="{00000009-3BA7-432E-8A45-BBC16FFFF874}"/>
            </c:ext>
          </c:extLst>
        </c:ser>
        <c:dLbls>
          <c:showLegendKey val="0"/>
          <c:showVal val="0"/>
          <c:showCatName val="0"/>
          <c:showSerName val="0"/>
          <c:showPercent val="0"/>
          <c:showBubbleSize val="0"/>
        </c:dLbls>
        <c:marker val="1"/>
        <c:smooth val="0"/>
        <c:axId val="506712976"/>
        <c:axId val="506714896"/>
      </c:lineChart>
      <c:catAx>
        <c:axId val="501771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1770800"/>
        <c:crosses val="autoZero"/>
        <c:auto val="1"/>
        <c:lblAlgn val="ctr"/>
        <c:lblOffset val="100"/>
        <c:noMultiLvlLbl val="0"/>
      </c:catAx>
      <c:valAx>
        <c:axId val="50177080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1771760"/>
        <c:crosses val="autoZero"/>
        <c:crossBetween val="between"/>
      </c:valAx>
      <c:valAx>
        <c:axId val="50671489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712976"/>
        <c:crosses val="max"/>
        <c:crossBetween val="between"/>
      </c:valAx>
      <c:catAx>
        <c:axId val="506712976"/>
        <c:scaling>
          <c:orientation val="minMax"/>
        </c:scaling>
        <c:delete val="1"/>
        <c:axPos val="b"/>
        <c:numFmt formatCode="General" sourceLinked="1"/>
        <c:majorTickMark val="none"/>
        <c:minorTickMark val="none"/>
        <c:tickLblPos val="nextTo"/>
        <c:crossAx val="5067148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[Social_Media_Analytics_Dataset.xlsx]Hashtag_Performance_2!PivotTable2</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33552055993"/>
          <c:y val="0.14249781277340332"/>
          <c:w val="0.54101531058617669"/>
          <c:h val="0.50765966754155734"/>
        </c:manualLayout>
      </c:layout>
      <c:barChart>
        <c:barDir val="col"/>
        <c:grouping val="clustered"/>
        <c:varyColors val="0"/>
        <c:ser>
          <c:idx val="0"/>
          <c:order val="0"/>
          <c:tx>
            <c:strRef>
              <c:f>Hashtag_Performance_2!$B$3</c:f>
              <c:strCache>
                <c:ptCount val="1"/>
                <c:pt idx="0">
                  <c:v>Average of Likes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Hashtag_Performance_2!$A$4:$A$10</c:f>
              <c:strCache>
                <c:ptCount val="6"/>
                <c:pt idx="0">
                  <c:v>#AnytimeIsPepsiTime</c:v>
                </c:pt>
                <c:pt idx="1">
                  <c:v>#BetterWithPepsi</c:v>
                </c:pt>
                <c:pt idx="2">
                  <c:v>#LiveForNow</c:v>
                </c:pt>
                <c:pt idx="3">
                  <c:v>#PepsiCoRefresh</c:v>
                </c:pt>
                <c:pt idx="4">
                  <c:v>#SmoothLikeNitroPepsi</c:v>
                </c:pt>
                <c:pt idx="5">
                  <c:v>#ThirstyForMore</c:v>
                </c:pt>
              </c:strCache>
            </c:strRef>
          </c:cat>
          <c:val>
            <c:numRef>
              <c:f>Hashtag_Performance_2!$B$4:$B$10</c:f>
              <c:numCache>
                <c:formatCode>0.00</c:formatCode>
                <c:ptCount val="6"/>
                <c:pt idx="0">
                  <c:v>2219.6</c:v>
                </c:pt>
                <c:pt idx="1">
                  <c:v>3451.7142857142858</c:v>
                </c:pt>
                <c:pt idx="2">
                  <c:v>2634.7184466019417</c:v>
                </c:pt>
                <c:pt idx="3">
                  <c:v>2705.1028037383176</c:v>
                </c:pt>
                <c:pt idx="4">
                  <c:v>3127.8</c:v>
                </c:pt>
                <c:pt idx="5">
                  <c:v>2838.8039215686276</c:v>
                </c:pt>
              </c:numCache>
            </c:numRef>
          </c:val>
          <c:extLst>
            <c:ext xmlns:c16="http://schemas.microsoft.com/office/drawing/2014/chart" uri="{C3380CC4-5D6E-409C-BE32-E72D297353CC}">
              <c16:uniqueId val="{00000003-1F6A-4C87-B812-DFFAB6425570}"/>
            </c:ext>
          </c:extLst>
        </c:ser>
        <c:dLbls>
          <c:showLegendKey val="0"/>
          <c:showVal val="0"/>
          <c:showCatName val="0"/>
          <c:showSerName val="0"/>
          <c:showPercent val="0"/>
          <c:showBubbleSize val="0"/>
        </c:dLbls>
        <c:gapWidth val="219"/>
        <c:overlap val="-27"/>
        <c:axId val="569309936"/>
        <c:axId val="569313296"/>
      </c:barChart>
      <c:lineChart>
        <c:grouping val="standard"/>
        <c:varyColors val="0"/>
        <c:ser>
          <c:idx val="1"/>
          <c:order val="1"/>
          <c:tx>
            <c:strRef>
              <c:f>Hashtag_Performance_2!$C$3</c:f>
              <c:strCache>
                <c:ptCount val="1"/>
                <c:pt idx="0">
                  <c:v>Average of Shares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Hashtag_Performance_2!$A$4:$A$10</c:f>
              <c:strCache>
                <c:ptCount val="6"/>
                <c:pt idx="0">
                  <c:v>#AnytimeIsPepsiTime</c:v>
                </c:pt>
                <c:pt idx="1">
                  <c:v>#BetterWithPepsi</c:v>
                </c:pt>
                <c:pt idx="2">
                  <c:v>#LiveForNow</c:v>
                </c:pt>
                <c:pt idx="3">
                  <c:v>#PepsiCoRefresh</c:v>
                </c:pt>
                <c:pt idx="4">
                  <c:v>#SmoothLikeNitroPepsi</c:v>
                </c:pt>
                <c:pt idx="5">
                  <c:v>#ThirstyForMore</c:v>
                </c:pt>
              </c:strCache>
            </c:strRef>
          </c:cat>
          <c:val>
            <c:numRef>
              <c:f>Hashtag_Performance_2!$C$4:$C$10</c:f>
              <c:numCache>
                <c:formatCode>0.00</c:formatCode>
                <c:ptCount val="6"/>
                <c:pt idx="0">
                  <c:v>423.93333333333334</c:v>
                </c:pt>
                <c:pt idx="1">
                  <c:v>540.57142857142856</c:v>
                </c:pt>
                <c:pt idx="2">
                  <c:v>508.63106796116506</c:v>
                </c:pt>
                <c:pt idx="3">
                  <c:v>458.01869158878503</c:v>
                </c:pt>
                <c:pt idx="4">
                  <c:v>356.2</c:v>
                </c:pt>
                <c:pt idx="5">
                  <c:v>464.96078431372547</c:v>
                </c:pt>
              </c:numCache>
            </c:numRef>
          </c:val>
          <c:smooth val="0"/>
          <c:extLst>
            <c:ext xmlns:c16="http://schemas.microsoft.com/office/drawing/2014/chart" uri="{C3380CC4-5D6E-409C-BE32-E72D297353CC}">
              <c16:uniqueId val="{00000005-1F6A-4C87-B812-DFFAB6425570}"/>
            </c:ext>
          </c:extLst>
        </c:ser>
        <c:dLbls>
          <c:showLegendKey val="0"/>
          <c:showVal val="0"/>
          <c:showCatName val="0"/>
          <c:showSerName val="0"/>
          <c:showPercent val="0"/>
          <c:showBubbleSize val="0"/>
        </c:dLbls>
        <c:marker val="1"/>
        <c:smooth val="0"/>
        <c:axId val="569311856"/>
        <c:axId val="569310896"/>
      </c:lineChart>
      <c:catAx>
        <c:axId val="569309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313296"/>
        <c:crosses val="autoZero"/>
        <c:auto val="1"/>
        <c:lblAlgn val="ctr"/>
        <c:lblOffset val="100"/>
        <c:noMultiLvlLbl val="0"/>
      </c:catAx>
      <c:valAx>
        <c:axId val="5693132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309936"/>
        <c:crosses val="autoZero"/>
        <c:crossBetween val="between"/>
      </c:valAx>
      <c:valAx>
        <c:axId val="56931089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311856"/>
        <c:crosses val="max"/>
        <c:crossBetween val="between"/>
      </c:valAx>
      <c:catAx>
        <c:axId val="569311856"/>
        <c:scaling>
          <c:orientation val="minMax"/>
        </c:scaling>
        <c:delete val="1"/>
        <c:axPos val="b"/>
        <c:numFmt formatCode="General" sourceLinked="1"/>
        <c:majorTickMark val="none"/>
        <c:minorTickMark val="none"/>
        <c:tickLblPos val="nextTo"/>
        <c:crossAx val="569310896"/>
        <c:crosses val="autoZero"/>
        <c:auto val="1"/>
        <c:lblAlgn val="ctr"/>
        <c:lblOffset val="100"/>
        <c:noMultiLvlLbl val="0"/>
      </c:catAx>
      <c:spPr>
        <a:noFill/>
        <a:ln>
          <a:noFill/>
        </a:ln>
        <a:effectLst/>
      </c:spPr>
    </c:plotArea>
    <c:legend>
      <c:legendPos val="r"/>
      <c:layout>
        <c:manualLayout>
          <c:xMode val="edge"/>
          <c:yMode val="edge"/>
          <c:x val="0.81862423447069121"/>
          <c:y val="0.23083369787109945"/>
          <c:w val="0.16470909886264218"/>
          <c:h val="0.38092483231262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[Social_Media_Analytics_Dataset.xlsx]Hashtag_Performanance!PivotTable2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Hashtag</a:t>
            </a:r>
            <a:r>
              <a:rPr lang="en-US" baseline="0"/>
              <a:t>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7606982183202"/>
          <c:y val="0.22349639501169224"/>
          <c:w val="0.60452023208656236"/>
          <c:h val="0.67772377689430041"/>
        </c:manualLayout>
      </c:layout>
      <c:barChart>
        <c:barDir val="col"/>
        <c:grouping val="clustered"/>
        <c:varyColors val="0"/>
        <c:ser>
          <c:idx val="0"/>
          <c:order val="0"/>
          <c:tx>
            <c:strRef>
              <c:f>Hashtag_Performanance!$B$3</c:f>
              <c:strCache>
                <c:ptCount val="1"/>
                <c:pt idx="0">
                  <c:v>Average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C05-482E-A066-CBFBBC39462A}"/>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05-482E-A066-CBFBBC39462A}"/>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C05-482E-A066-CBFBBC39462A}"/>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C05-482E-A066-CBFBBC39462A}"/>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C05-482E-A066-CBFBBC39462A}"/>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C05-482E-A066-CBFBBC39462A}"/>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05-482E-A066-CBFBBC39462A}"/>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05-482E-A066-CBFBBC39462A}"/>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C05-482E-A066-CBFBBC39462A}"/>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C05-482E-A066-CBFBBC39462A}"/>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C05-482E-A066-CBFBBC39462A}"/>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C05-482E-A066-CBFBBC3946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Hashtag_Performanance!$A$4:$A$10</c:f>
              <c:strCache>
                <c:ptCount val="6"/>
                <c:pt idx="0">
                  <c:v>#AnytimeIsPepsiTime</c:v>
                </c:pt>
                <c:pt idx="1">
                  <c:v>#BetterWithPepsi</c:v>
                </c:pt>
                <c:pt idx="2">
                  <c:v>#LiveForNow</c:v>
                </c:pt>
                <c:pt idx="3">
                  <c:v>#PepsiCoRefresh</c:v>
                </c:pt>
                <c:pt idx="4">
                  <c:v>#SmoothLikeNitroPepsi</c:v>
                </c:pt>
                <c:pt idx="5">
                  <c:v>#ThirstyForMore</c:v>
                </c:pt>
              </c:strCache>
            </c:strRef>
          </c:cat>
          <c:val>
            <c:numRef>
              <c:f>Hashtag_Performanance!$B$4:$B$10</c:f>
              <c:numCache>
                <c:formatCode>0.00</c:formatCode>
                <c:ptCount val="6"/>
                <c:pt idx="0">
                  <c:v>161.19999999999999</c:v>
                </c:pt>
                <c:pt idx="1">
                  <c:v>114.85714285714286</c:v>
                </c:pt>
                <c:pt idx="2">
                  <c:v>144.03883495145632</c:v>
                </c:pt>
                <c:pt idx="3">
                  <c:v>158.65420560747663</c:v>
                </c:pt>
                <c:pt idx="4">
                  <c:v>111.8</c:v>
                </c:pt>
                <c:pt idx="5">
                  <c:v>151.52941176470588</c:v>
                </c:pt>
              </c:numCache>
            </c:numRef>
          </c:val>
          <c:extLst>
            <c:ext xmlns:c16="http://schemas.microsoft.com/office/drawing/2014/chart" uri="{C3380CC4-5D6E-409C-BE32-E72D297353CC}">
              <c16:uniqueId val="{00000000-1C05-482E-A066-CBFBBC39462A}"/>
            </c:ext>
          </c:extLst>
        </c:ser>
        <c:dLbls>
          <c:showLegendKey val="0"/>
          <c:showVal val="0"/>
          <c:showCatName val="0"/>
          <c:showSerName val="0"/>
          <c:showPercent val="0"/>
          <c:showBubbleSize val="0"/>
        </c:dLbls>
        <c:gapWidth val="100"/>
        <c:axId val="1913948256"/>
        <c:axId val="1913950656"/>
      </c:barChart>
      <c:lineChart>
        <c:grouping val="standard"/>
        <c:varyColors val="0"/>
        <c:ser>
          <c:idx val="1"/>
          <c:order val="1"/>
          <c:tx>
            <c:strRef>
              <c:f>Hashtag_Performanance!$C$3</c:f>
              <c:strCache>
                <c:ptCount val="1"/>
                <c:pt idx="0">
                  <c:v>Count of Hashtags Used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Hashtag_Performanance!$A$4:$A$10</c:f>
              <c:strCache>
                <c:ptCount val="6"/>
                <c:pt idx="0">
                  <c:v>#AnytimeIsPepsiTime</c:v>
                </c:pt>
                <c:pt idx="1">
                  <c:v>#BetterWithPepsi</c:v>
                </c:pt>
                <c:pt idx="2">
                  <c:v>#LiveForNow</c:v>
                </c:pt>
                <c:pt idx="3">
                  <c:v>#PepsiCoRefresh</c:v>
                </c:pt>
                <c:pt idx="4">
                  <c:v>#SmoothLikeNitroPepsi</c:v>
                </c:pt>
                <c:pt idx="5">
                  <c:v>#ThirstyForMore</c:v>
                </c:pt>
              </c:strCache>
            </c:strRef>
          </c:cat>
          <c:val>
            <c:numRef>
              <c:f>Hashtag_Performanance!$C$4:$C$10</c:f>
              <c:numCache>
                <c:formatCode>General</c:formatCode>
                <c:ptCount val="6"/>
                <c:pt idx="0">
                  <c:v>15</c:v>
                </c:pt>
                <c:pt idx="1">
                  <c:v>7</c:v>
                </c:pt>
                <c:pt idx="2">
                  <c:v>103</c:v>
                </c:pt>
                <c:pt idx="3">
                  <c:v>107</c:v>
                </c:pt>
                <c:pt idx="4">
                  <c:v>5</c:v>
                </c:pt>
                <c:pt idx="5">
                  <c:v>102</c:v>
                </c:pt>
              </c:numCache>
            </c:numRef>
          </c:val>
          <c:smooth val="0"/>
          <c:extLst>
            <c:ext xmlns:c16="http://schemas.microsoft.com/office/drawing/2014/chart" uri="{C3380CC4-5D6E-409C-BE32-E72D297353CC}">
              <c16:uniqueId val="{0000000C-A9CC-472A-8C17-AC63783DA342}"/>
            </c:ext>
          </c:extLst>
        </c:ser>
        <c:dLbls>
          <c:showLegendKey val="0"/>
          <c:showVal val="0"/>
          <c:showCatName val="0"/>
          <c:showSerName val="0"/>
          <c:showPercent val="0"/>
          <c:showBubbleSize val="0"/>
        </c:dLbls>
        <c:marker val="1"/>
        <c:smooth val="0"/>
        <c:axId val="1913948256"/>
        <c:axId val="1913950656"/>
      </c:lineChart>
      <c:catAx>
        <c:axId val="191394825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3950656"/>
        <c:auto val="1"/>
        <c:lblAlgn val="ctr"/>
        <c:lblOffset val="100"/>
        <c:noMultiLvlLbl val="0"/>
      </c:catAx>
      <c:valAx>
        <c:axId val="19139506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3948256"/>
        <c:crossBetween val="between"/>
      </c:valAx>
      <c:spPr>
        <a:noFill/>
        <a:ln>
          <a:noFill/>
        </a:ln>
        <a:effectLst/>
      </c:spPr>
    </c:plotArea>
    <c:legend>
      <c:legendPos val="r"/>
      <c:layout>
        <c:manualLayout>
          <c:xMode val="edge"/>
          <c:yMode val="edge"/>
          <c:x val="0.75179123392742231"/>
          <c:y val="0.46424705471495059"/>
          <c:w val="0.23299141557705511"/>
          <c:h val="0.250832947280644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[Social_Media_Analytics_Dataset.xlsx]Hashtag_Performance_2!PivotTable2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33552055993"/>
          <c:y val="0.14249781277340332"/>
          <c:w val="0.54101531058617669"/>
          <c:h val="0.50765966754155734"/>
        </c:manualLayout>
      </c:layout>
      <c:barChart>
        <c:barDir val="col"/>
        <c:grouping val="clustered"/>
        <c:varyColors val="0"/>
        <c:ser>
          <c:idx val="0"/>
          <c:order val="0"/>
          <c:tx>
            <c:strRef>
              <c:f>Hashtag_Performance_2!$B$3</c:f>
              <c:strCache>
                <c:ptCount val="1"/>
                <c:pt idx="0">
                  <c:v>Average of Likes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Hashtag_Performance_2!$A$4:$A$10</c:f>
              <c:strCache>
                <c:ptCount val="6"/>
                <c:pt idx="0">
                  <c:v>#AnytimeIsPepsiTime</c:v>
                </c:pt>
                <c:pt idx="1">
                  <c:v>#BetterWithPepsi</c:v>
                </c:pt>
                <c:pt idx="2">
                  <c:v>#LiveForNow</c:v>
                </c:pt>
                <c:pt idx="3">
                  <c:v>#PepsiCoRefresh</c:v>
                </c:pt>
                <c:pt idx="4">
                  <c:v>#SmoothLikeNitroPepsi</c:v>
                </c:pt>
                <c:pt idx="5">
                  <c:v>#ThirstyForMore</c:v>
                </c:pt>
              </c:strCache>
            </c:strRef>
          </c:cat>
          <c:val>
            <c:numRef>
              <c:f>Hashtag_Performance_2!$B$4:$B$10</c:f>
              <c:numCache>
                <c:formatCode>0.00</c:formatCode>
                <c:ptCount val="6"/>
                <c:pt idx="0">
                  <c:v>2219.6</c:v>
                </c:pt>
                <c:pt idx="1">
                  <c:v>3451.7142857142858</c:v>
                </c:pt>
                <c:pt idx="2">
                  <c:v>2634.7184466019417</c:v>
                </c:pt>
                <c:pt idx="3">
                  <c:v>2705.1028037383176</c:v>
                </c:pt>
                <c:pt idx="4">
                  <c:v>3127.8</c:v>
                </c:pt>
                <c:pt idx="5">
                  <c:v>2838.8039215686276</c:v>
                </c:pt>
              </c:numCache>
            </c:numRef>
          </c:val>
          <c:extLst>
            <c:ext xmlns:c16="http://schemas.microsoft.com/office/drawing/2014/chart" uri="{C3380CC4-5D6E-409C-BE32-E72D297353CC}">
              <c16:uniqueId val="{00000000-FCAA-4D58-ABBA-56C34BF00180}"/>
            </c:ext>
          </c:extLst>
        </c:ser>
        <c:dLbls>
          <c:showLegendKey val="0"/>
          <c:showVal val="0"/>
          <c:showCatName val="0"/>
          <c:showSerName val="0"/>
          <c:showPercent val="0"/>
          <c:showBubbleSize val="0"/>
        </c:dLbls>
        <c:gapWidth val="219"/>
        <c:overlap val="-27"/>
        <c:axId val="569309936"/>
        <c:axId val="569313296"/>
      </c:barChart>
      <c:lineChart>
        <c:grouping val="standard"/>
        <c:varyColors val="0"/>
        <c:ser>
          <c:idx val="1"/>
          <c:order val="1"/>
          <c:tx>
            <c:strRef>
              <c:f>Hashtag_Performance_2!$C$3</c:f>
              <c:strCache>
                <c:ptCount val="1"/>
                <c:pt idx="0">
                  <c:v>Average of Shares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Hashtag_Performance_2!$A$4:$A$10</c:f>
              <c:strCache>
                <c:ptCount val="6"/>
                <c:pt idx="0">
                  <c:v>#AnytimeIsPepsiTime</c:v>
                </c:pt>
                <c:pt idx="1">
                  <c:v>#BetterWithPepsi</c:v>
                </c:pt>
                <c:pt idx="2">
                  <c:v>#LiveForNow</c:v>
                </c:pt>
                <c:pt idx="3">
                  <c:v>#PepsiCoRefresh</c:v>
                </c:pt>
                <c:pt idx="4">
                  <c:v>#SmoothLikeNitroPepsi</c:v>
                </c:pt>
                <c:pt idx="5">
                  <c:v>#ThirstyForMore</c:v>
                </c:pt>
              </c:strCache>
            </c:strRef>
          </c:cat>
          <c:val>
            <c:numRef>
              <c:f>Hashtag_Performance_2!$C$4:$C$10</c:f>
              <c:numCache>
                <c:formatCode>0.00</c:formatCode>
                <c:ptCount val="6"/>
                <c:pt idx="0">
                  <c:v>423.93333333333334</c:v>
                </c:pt>
                <c:pt idx="1">
                  <c:v>540.57142857142856</c:v>
                </c:pt>
                <c:pt idx="2">
                  <c:v>508.63106796116506</c:v>
                </c:pt>
                <c:pt idx="3">
                  <c:v>458.01869158878503</c:v>
                </c:pt>
                <c:pt idx="4">
                  <c:v>356.2</c:v>
                </c:pt>
                <c:pt idx="5">
                  <c:v>464.96078431372547</c:v>
                </c:pt>
              </c:numCache>
            </c:numRef>
          </c:val>
          <c:smooth val="0"/>
          <c:extLst>
            <c:ext xmlns:c16="http://schemas.microsoft.com/office/drawing/2014/chart" uri="{C3380CC4-5D6E-409C-BE32-E72D297353CC}">
              <c16:uniqueId val="{00000001-FCAA-4D58-ABBA-56C34BF00180}"/>
            </c:ext>
          </c:extLst>
        </c:ser>
        <c:dLbls>
          <c:showLegendKey val="0"/>
          <c:showVal val="0"/>
          <c:showCatName val="0"/>
          <c:showSerName val="0"/>
          <c:showPercent val="0"/>
          <c:showBubbleSize val="0"/>
        </c:dLbls>
        <c:marker val="1"/>
        <c:smooth val="0"/>
        <c:axId val="569311856"/>
        <c:axId val="569310896"/>
      </c:lineChart>
      <c:catAx>
        <c:axId val="569309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313296"/>
        <c:crosses val="autoZero"/>
        <c:auto val="1"/>
        <c:lblAlgn val="ctr"/>
        <c:lblOffset val="100"/>
        <c:noMultiLvlLbl val="0"/>
      </c:catAx>
      <c:valAx>
        <c:axId val="5693132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309936"/>
        <c:crosses val="autoZero"/>
        <c:crossBetween val="between"/>
      </c:valAx>
      <c:valAx>
        <c:axId val="56931089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311856"/>
        <c:crosses val="max"/>
        <c:crossBetween val="between"/>
      </c:valAx>
      <c:catAx>
        <c:axId val="569311856"/>
        <c:scaling>
          <c:orientation val="minMax"/>
        </c:scaling>
        <c:delete val="1"/>
        <c:axPos val="b"/>
        <c:numFmt formatCode="General" sourceLinked="1"/>
        <c:majorTickMark val="none"/>
        <c:minorTickMark val="none"/>
        <c:tickLblPos val="nextTo"/>
        <c:crossAx val="569310896"/>
        <c:auto val="1"/>
        <c:lblAlgn val="ctr"/>
        <c:lblOffset val="100"/>
        <c:noMultiLvlLbl val="0"/>
      </c:catAx>
      <c:spPr>
        <a:noFill/>
        <a:ln>
          <a:noFill/>
        </a:ln>
        <a:effectLst/>
      </c:spPr>
    </c:plotArea>
    <c:legend>
      <c:legendPos val="r"/>
      <c:layout>
        <c:manualLayout>
          <c:xMode val="edge"/>
          <c:yMode val="edge"/>
          <c:x val="0.81862423447069121"/>
          <c:y val="0.23083369787109945"/>
          <c:w val="0.16470909886264218"/>
          <c:h val="0.38092483231262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[Social_Media_Analytics_Dataset.xlsx]Total_Engagement!PivotTable3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Total_Engagement!$B$3</c:f>
              <c:strCache>
                <c:ptCount val="1"/>
                <c:pt idx="0">
                  <c:v>Sum of Likes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Total_Engagement!$A$4:$A$8</c:f>
              <c:strCache>
                <c:ptCount val="4"/>
                <c:pt idx="0">
                  <c:v>Facebook</c:v>
                </c:pt>
                <c:pt idx="1">
                  <c:v>Instagram</c:v>
                </c:pt>
                <c:pt idx="2">
                  <c:v>Twitter</c:v>
                </c:pt>
                <c:pt idx="3">
                  <c:v>YouTube</c:v>
                </c:pt>
              </c:strCache>
            </c:strRef>
          </c:cat>
          <c:val>
            <c:numRef>
              <c:f>Total_Engagement!$B$4:$B$8</c:f>
              <c:numCache>
                <c:formatCode>0</c:formatCode>
                <c:ptCount val="4"/>
                <c:pt idx="0">
                  <c:v>242761</c:v>
                </c:pt>
                <c:pt idx="1">
                  <c:v>204284</c:v>
                </c:pt>
                <c:pt idx="2">
                  <c:v>201397</c:v>
                </c:pt>
                <c:pt idx="3">
                  <c:v>171549</c:v>
                </c:pt>
              </c:numCache>
            </c:numRef>
          </c:val>
          <c:extLst>
            <c:ext xmlns:c16="http://schemas.microsoft.com/office/drawing/2014/chart" uri="{C3380CC4-5D6E-409C-BE32-E72D297353CC}">
              <c16:uniqueId val="{00000000-41C1-43F5-A5E6-00A0E9A4FE08}"/>
            </c:ext>
          </c:extLst>
        </c:ser>
        <c:ser>
          <c:idx val="1"/>
          <c:order val="1"/>
          <c:tx>
            <c:strRef>
              <c:f>Total_Engagement!$C$3</c:f>
              <c:strCache>
                <c:ptCount val="1"/>
                <c:pt idx="0">
                  <c:v>Sum of Shares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Total_Engagement!$A$4:$A$8</c:f>
              <c:strCache>
                <c:ptCount val="4"/>
                <c:pt idx="0">
                  <c:v>Facebook</c:v>
                </c:pt>
                <c:pt idx="1">
                  <c:v>Instagram</c:v>
                </c:pt>
                <c:pt idx="2">
                  <c:v>Twitter</c:v>
                </c:pt>
                <c:pt idx="3">
                  <c:v>YouTube</c:v>
                </c:pt>
              </c:strCache>
            </c:strRef>
          </c:cat>
          <c:val>
            <c:numRef>
              <c:f>Total_Engagement!$C$4:$C$8</c:f>
              <c:numCache>
                <c:formatCode>0</c:formatCode>
                <c:ptCount val="4"/>
                <c:pt idx="0">
                  <c:v>39181</c:v>
                </c:pt>
                <c:pt idx="1">
                  <c:v>41444</c:v>
                </c:pt>
                <c:pt idx="2">
                  <c:v>33728</c:v>
                </c:pt>
                <c:pt idx="3">
                  <c:v>28572</c:v>
                </c:pt>
              </c:numCache>
            </c:numRef>
          </c:val>
          <c:extLst>
            <c:ext xmlns:c16="http://schemas.microsoft.com/office/drawing/2014/chart" uri="{C3380CC4-5D6E-409C-BE32-E72D297353CC}">
              <c16:uniqueId val="{00000001-41C1-43F5-A5E6-00A0E9A4FE08}"/>
            </c:ext>
          </c:extLst>
        </c:ser>
        <c:ser>
          <c:idx val="2"/>
          <c:order val="2"/>
          <c:tx>
            <c:strRef>
              <c:f>Total_Engagement!$D$3</c:f>
              <c:strCache>
                <c:ptCount val="1"/>
                <c:pt idx="0">
                  <c:v>Sum of Comments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Total_Engagement!$A$4:$A$8</c:f>
              <c:strCache>
                <c:ptCount val="4"/>
                <c:pt idx="0">
                  <c:v>Facebook</c:v>
                </c:pt>
                <c:pt idx="1">
                  <c:v>Instagram</c:v>
                </c:pt>
                <c:pt idx="2">
                  <c:v>Twitter</c:v>
                </c:pt>
                <c:pt idx="3">
                  <c:v>YouTube</c:v>
                </c:pt>
              </c:strCache>
            </c:strRef>
          </c:cat>
          <c:val>
            <c:numRef>
              <c:f>Total_Engagement!$D$4:$D$8</c:f>
              <c:numCache>
                <c:formatCode>0</c:formatCode>
                <c:ptCount val="4"/>
                <c:pt idx="0">
                  <c:v>23300</c:v>
                </c:pt>
                <c:pt idx="1">
                  <c:v>17851</c:v>
                </c:pt>
                <c:pt idx="2">
                  <c:v>20880</c:v>
                </c:pt>
                <c:pt idx="3">
                  <c:v>12820</c:v>
                </c:pt>
              </c:numCache>
            </c:numRef>
          </c:val>
          <c:extLst>
            <c:ext xmlns:c16="http://schemas.microsoft.com/office/drawing/2014/chart" uri="{C3380CC4-5D6E-409C-BE32-E72D297353CC}">
              <c16:uniqueId val="{00000004-41C1-43F5-A5E6-00A0E9A4FE08}"/>
            </c:ext>
          </c:extLst>
        </c:ser>
        <c:ser>
          <c:idx val="3"/>
          <c:order val="3"/>
          <c:tx>
            <c:strRef>
              <c:f>Total_Engagement!$E$3</c:f>
              <c:strCache>
                <c:ptCount val="1"/>
                <c:pt idx="0">
                  <c:v>Total _Engagement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Total_Engagement!$A$4:$A$8</c:f>
              <c:strCache>
                <c:ptCount val="4"/>
                <c:pt idx="0">
                  <c:v>Facebook</c:v>
                </c:pt>
                <c:pt idx="1">
                  <c:v>Instagram</c:v>
                </c:pt>
                <c:pt idx="2">
                  <c:v>Twitter</c:v>
                </c:pt>
                <c:pt idx="3">
                  <c:v>YouTube</c:v>
                </c:pt>
              </c:strCache>
            </c:strRef>
          </c:cat>
          <c:val>
            <c:numRef>
              <c:f>Total_Engagement!$E$4:$E$8</c:f>
              <c:numCache>
                <c:formatCode>0</c:formatCode>
                <c:ptCount val="4"/>
                <c:pt idx="0">
                  <c:v>305242</c:v>
                </c:pt>
                <c:pt idx="1">
                  <c:v>263579</c:v>
                </c:pt>
                <c:pt idx="2">
                  <c:v>256005</c:v>
                </c:pt>
                <c:pt idx="3">
                  <c:v>212941</c:v>
                </c:pt>
              </c:numCache>
            </c:numRef>
          </c:val>
          <c:extLst>
            <c:ext xmlns:c16="http://schemas.microsoft.com/office/drawing/2014/chart" uri="{C3380CC4-5D6E-409C-BE32-E72D297353CC}">
              <c16:uniqueId val="{00000000-4181-4FD6-84AB-54C28106AC52}"/>
            </c:ext>
          </c:extLst>
        </c:ser>
        <c:dLbls>
          <c:showLegendKey val="0"/>
          <c:showVal val="0"/>
          <c:showCatName val="0"/>
          <c:showSerName val="0"/>
          <c:showPercent val="0"/>
          <c:showBubbleSize val="0"/>
        </c:dLbls>
        <c:gapWidth val="100"/>
        <c:overlap val="-24"/>
        <c:axId val="603464111"/>
        <c:axId val="603452111"/>
      </c:barChart>
      <c:catAx>
        <c:axId val="603464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452111"/>
        <c:crosses val="autoZero"/>
        <c:auto val="1"/>
        <c:lblAlgn val="ctr"/>
        <c:lblOffset val="100"/>
        <c:noMultiLvlLbl val="0"/>
      </c:catAx>
      <c:valAx>
        <c:axId val="6034521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46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[Social_Media_Analytics_Dataset.xlsx]Content_wise_Engagement_Rate!PivotTable4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Content_wise_Engagement_Rate!$B$3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movingAvg"/>
            <c:period val="4"/>
            <c:dispRSqr val="0"/>
            <c:dispEq val="0"/>
          </c:trendline>
          <c:cat>
            <c:multiLvlStrRef>
              <c:f>Content_wise_Engagement_Rate!$A$4:$A$34</c:f>
              <c:multiLvlStrCache>
                <c:ptCount val="24"/>
                <c:lvl>
                  <c:pt idx="0">
                    <c:v>Facebook</c:v>
                  </c:pt>
                  <c:pt idx="1">
                    <c:v>Instagram</c:v>
                  </c:pt>
                  <c:pt idx="2">
                    <c:v>Twitter</c:v>
                  </c:pt>
                  <c:pt idx="3">
                    <c:v>YouTube</c:v>
                  </c:pt>
                  <c:pt idx="4">
                    <c:v>Facebook</c:v>
                  </c:pt>
                  <c:pt idx="5">
                    <c:v>Instagram</c:v>
                  </c:pt>
                  <c:pt idx="6">
                    <c:v>Twitter</c:v>
                  </c:pt>
                  <c:pt idx="7">
                    <c:v>YouTube</c:v>
                  </c:pt>
                  <c:pt idx="8">
                    <c:v>Facebook</c:v>
                  </c:pt>
                  <c:pt idx="9">
                    <c:v>Instagram</c:v>
                  </c:pt>
                  <c:pt idx="10">
                    <c:v>Twitter</c:v>
                  </c:pt>
                  <c:pt idx="11">
                    <c:v>YouTube</c:v>
                  </c:pt>
                  <c:pt idx="12">
                    <c:v>Facebook</c:v>
                  </c:pt>
                  <c:pt idx="13">
                    <c:v>Instagram</c:v>
                  </c:pt>
                  <c:pt idx="14">
                    <c:v>Twitter</c:v>
                  </c:pt>
                  <c:pt idx="15">
                    <c:v>YouTube</c:v>
                  </c:pt>
                  <c:pt idx="16">
                    <c:v>Facebook</c:v>
                  </c:pt>
                  <c:pt idx="17">
                    <c:v>Instagram</c:v>
                  </c:pt>
                  <c:pt idx="18">
                    <c:v>Twitter</c:v>
                  </c:pt>
                  <c:pt idx="19">
                    <c:v>YouTube</c:v>
                  </c:pt>
                  <c:pt idx="20">
                    <c:v>Facebook</c:v>
                  </c:pt>
                  <c:pt idx="21">
                    <c:v>Instagram</c:v>
                  </c:pt>
                  <c:pt idx="22">
                    <c:v>Twitter</c:v>
                  </c:pt>
                  <c:pt idx="23">
                    <c:v>YouTube</c:v>
                  </c:pt>
                </c:lvl>
                <c:lvl>
                  <c:pt idx="0">
                    <c:v>Carousel</c:v>
                  </c:pt>
                  <c:pt idx="4">
                    <c:v>Image</c:v>
                  </c:pt>
                  <c:pt idx="8">
                    <c:v>Reel</c:v>
                  </c:pt>
                  <c:pt idx="12">
                    <c:v>Story</c:v>
                  </c:pt>
                  <c:pt idx="16">
                    <c:v>Text</c:v>
                  </c:pt>
                  <c:pt idx="20">
                    <c:v>Video</c:v>
                  </c:pt>
                </c:lvl>
              </c:multiLvlStrCache>
            </c:multiLvlStrRef>
          </c:cat>
          <c:val>
            <c:numRef>
              <c:f>Content_wise_Engagement_Rate!$B$4:$B$34</c:f>
              <c:numCache>
                <c:formatCode>0.00%</c:formatCode>
                <c:ptCount val="24"/>
                <c:pt idx="0">
                  <c:v>0.11820589815604367</c:v>
                </c:pt>
                <c:pt idx="1">
                  <c:v>0.14439860032256024</c:v>
                </c:pt>
                <c:pt idx="2">
                  <c:v>0.15972488239914528</c:v>
                </c:pt>
                <c:pt idx="3">
                  <c:v>0.17416554369953544</c:v>
                </c:pt>
                <c:pt idx="4">
                  <c:v>0.11892682975133068</c:v>
                </c:pt>
                <c:pt idx="5">
                  <c:v>0.14929862484025289</c:v>
                </c:pt>
                <c:pt idx="6">
                  <c:v>0.14756648191377314</c:v>
                </c:pt>
                <c:pt idx="7">
                  <c:v>0.15035567844671383</c:v>
                </c:pt>
                <c:pt idx="8">
                  <c:v>0.10810248159985612</c:v>
                </c:pt>
                <c:pt idx="9">
                  <c:v>0.26004033206333965</c:v>
                </c:pt>
                <c:pt idx="10">
                  <c:v>0.12428081569427865</c:v>
                </c:pt>
                <c:pt idx="11">
                  <c:v>0.11688583584797579</c:v>
                </c:pt>
                <c:pt idx="12">
                  <c:v>0.15898977777988452</c:v>
                </c:pt>
                <c:pt idx="13">
                  <c:v>0.24558274253543633</c:v>
                </c:pt>
                <c:pt idx="14">
                  <c:v>0.18859716943319416</c:v>
                </c:pt>
                <c:pt idx="15">
                  <c:v>9.4965330348360799E-2</c:v>
                </c:pt>
                <c:pt idx="16">
                  <c:v>0.1074395128551284</c:v>
                </c:pt>
                <c:pt idx="17">
                  <c:v>0.12920449104190176</c:v>
                </c:pt>
                <c:pt idx="18">
                  <c:v>0.12088972902726507</c:v>
                </c:pt>
                <c:pt idx="19">
                  <c:v>0.11459217612964397</c:v>
                </c:pt>
                <c:pt idx="20">
                  <c:v>0.12899653614759149</c:v>
                </c:pt>
                <c:pt idx="21">
                  <c:v>0.2062396061640541</c:v>
                </c:pt>
                <c:pt idx="22">
                  <c:v>0.11980876658677887</c:v>
                </c:pt>
                <c:pt idx="23">
                  <c:v>0.12968338256813225</c:v>
                </c:pt>
              </c:numCache>
            </c:numRef>
          </c:val>
          <c:extLst>
            <c:ext xmlns:c16="http://schemas.microsoft.com/office/drawing/2014/chart" uri="{C3380CC4-5D6E-409C-BE32-E72D297353CC}">
              <c16:uniqueId val="{00000000-EFB3-4A4A-B67E-A9B99292E8FB}"/>
            </c:ext>
          </c:extLst>
        </c:ser>
        <c:dLbls>
          <c:dLblPos val="outEnd"/>
          <c:showLegendKey val="0"/>
          <c:showVal val="1"/>
          <c:showCatName val="0"/>
          <c:showSerName val="0"/>
          <c:showPercent val="0"/>
          <c:showBubbleSize val="0"/>
        </c:dLbls>
        <c:gapWidth val="115"/>
        <c:overlap val="-20"/>
        <c:axId val="1730564367"/>
        <c:axId val="1730558127"/>
      </c:barChart>
      <c:catAx>
        <c:axId val="173056436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Platform wise  contenT</a:t>
                </a:r>
              </a:p>
              <a:p>
                <a:pPr>
                  <a:defRPr/>
                </a:pP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0558127"/>
        <c:crosses val="autoZero"/>
        <c:auto val="1"/>
        <c:lblAlgn val="ctr"/>
        <c:lblOffset val="100"/>
        <c:noMultiLvlLbl val="0"/>
      </c:catAx>
      <c:valAx>
        <c:axId val="1730558127"/>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Engagement Rate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056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[Social_Media_Analytics_Dataset.xlsx]Cost _Per_Engagement!PivotTable10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50"/>
      <c:rotY val="40"/>
      <c:depthPercent val="15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913167104111984E-2"/>
          <c:y val="0.29995443277923595"/>
          <c:w val="0.64878477690288716"/>
          <c:h val="0.6283759842519685"/>
        </c:manualLayout>
      </c:layout>
      <c:pie3DChart>
        <c:varyColors val="1"/>
        <c:ser>
          <c:idx val="0"/>
          <c:order val="0"/>
          <c:tx>
            <c:strRef>
              <c:f>'Cost _Per_Engagement'!$B$3</c:f>
              <c:strCache>
                <c:ptCount val="1"/>
                <c:pt idx="0">
                  <c:v>Total</c:v>
                </c:pt>
              </c:strCache>
            </c:strRef>
          </c:tx>
          <c:dPt>
            <c:idx val="0"/>
            <c:bubble3D val="0"/>
            <c:explosion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39D2-4B85-8EEB-19912A676424}"/>
              </c:ext>
            </c:extLst>
          </c:dPt>
          <c:dPt>
            <c:idx val="1"/>
            <c:bubble3D val="0"/>
            <c:explosion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9D2-4B85-8EEB-19912A676424}"/>
              </c:ext>
            </c:extLst>
          </c:dPt>
          <c:dPt>
            <c:idx val="2"/>
            <c:bubble3D val="0"/>
            <c:explosion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39D2-4B85-8EEB-19912A67642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AE0-4660-B64A-6FF91986F381}"/>
              </c:ext>
            </c:extLst>
          </c:dPt>
          <c:dPt>
            <c:idx val="4"/>
            <c:bubble3D val="0"/>
            <c:explosion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9D2-4B85-8EEB-19912A6764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'Cost _Per_Engagement'!$A$4:$A$9</c:f>
              <c:strCache>
                <c:ptCount val="5"/>
                <c:pt idx="0">
                  <c:v>DailyWellness</c:v>
                </c:pt>
                <c:pt idx="1">
                  <c:v>FestiveRadiance</c:v>
                </c:pt>
                <c:pt idx="2">
                  <c:v>NewYearRefresh</c:v>
                </c:pt>
                <c:pt idx="3">
                  <c:v>No Campaign</c:v>
                </c:pt>
                <c:pt idx="4">
                  <c:v>SummerSplash</c:v>
                </c:pt>
              </c:strCache>
            </c:strRef>
          </c:cat>
          <c:val>
            <c:numRef>
              <c:f>'Cost _Per_Engagement'!$B$4:$B$9</c:f>
              <c:numCache>
                <c:formatCode>0.00</c:formatCode>
                <c:ptCount val="5"/>
                <c:pt idx="0">
                  <c:v>1.6977928692699491</c:v>
                </c:pt>
                <c:pt idx="1">
                  <c:v>1.4525277614368401</c:v>
                </c:pt>
                <c:pt idx="2">
                  <c:v>7.5656700157365933</c:v>
                </c:pt>
                <c:pt idx="3">
                  <c:v>0</c:v>
                </c:pt>
                <c:pt idx="4">
                  <c:v>1.4454626926079046</c:v>
                </c:pt>
              </c:numCache>
            </c:numRef>
          </c:val>
          <c:extLst>
            <c:ext xmlns:c16="http://schemas.microsoft.com/office/drawing/2014/chart" uri="{C3380CC4-5D6E-409C-BE32-E72D297353CC}">
              <c16:uniqueId val="{00000000-39D2-4B85-8EEB-19912A676424}"/>
            </c:ext>
          </c:extLst>
        </c:ser>
        <c:dLbls>
          <c:showLegendKey val="0"/>
          <c:showVal val="0"/>
          <c:showCatName val="0"/>
          <c:showSerName val="0"/>
          <c:showPercent val="0"/>
          <c:showBubbleSize val="0"/>
          <c:showLeaderLines val="1"/>
        </c:dLbls>
      </c:pie3DChart>
      <c:spPr>
        <a:noFill/>
        <a:ln>
          <a:noFill/>
        </a:ln>
        <a:effectLst>
          <a:softEdge rad="0"/>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[Social_Media_Analytics_Dataset.xlsx]ROI!PivotTable5</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ROI!$B$3</c:f>
              <c:strCache>
                <c:ptCount val="1"/>
                <c:pt idx="0">
                  <c:v>Sum of Impressions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80A-4139-BA48-BFBF173FBB98}"/>
              </c:ext>
            </c:extLst>
          </c:dPt>
          <c:dLbls>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80A-4139-BA48-BFBF173FBB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ROI!$A$4:$A$9</c:f>
              <c:strCache>
                <c:ptCount val="5"/>
                <c:pt idx="0">
                  <c:v>DailyWellness</c:v>
                </c:pt>
                <c:pt idx="1">
                  <c:v>FestiveRadiance</c:v>
                </c:pt>
                <c:pt idx="2">
                  <c:v>NewYearRefresh</c:v>
                </c:pt>
                <c:pt idx="3">
                  <c:v>No Campaign</c:v>
                </c:pt>
                <c:pt idx="4">
                  <c:v>SummerSplash</c:v>
                </c:pt>
              </c:strCache>
            </c:strRef>
          </c:cat>
          <c:val>
            <c:numRef>
              <c:f>ROI!$B$4:$B$9</c:f>
              <c:numCache>
                <c:formatCode>0</c:formatCode>
                <c:ptCount val="5"/>
                <c:pt idx="0">
                  <c:v>1041227</c:v>
                </c:pt>
                <c:pt idx="1">
                  <c:v>1481776</c:v>
                </c:pt>
                <c:pt idx="2">
                  <c:v>274002</c:v>
                </c:pt>
                <c:pt idx="3">
                  <c:v>6426197</c:v>
                </c:pt>
                <c:pt idx="4">
                  <c:v>1170951</c:v>
                </c:pt>
              </c:numCache>
            </c:numRef>
          </c:val>
          <c:extLst>
            <c:ext xmlns:c16="http://schemas.microsoft.com/office/drawing/2014/chart" uri="{C3380CC4-5D6E-409C-BE32-E72D297353CC}">
              <c16:uniqueId val="{00000000-880A-4139-BA48-BFBF173FBB98}"/>
            </c:ext>
          </c:extLst>
        </c:ser>
        <c:ser>
          <c:idx val="1"/>
          <c:order val="1"/>
          <c:tx>
            <c:strRef>
              <c:f>ROI!$C$3</c:f>
              <c:strCache>
                <c:ptCount val="1"/>
                <c:pt idx="0">
                  <c:v>Sum of Clicks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ROI!$A$4:$A$9</c:f>
              <c:strCache>
                <c:ptCount val="5"/>
                <c:pt idx="0">
                  <c:v>DailyWellness</c:v>
                </c:pt>
                <c:pt idx="1">
                  <c:v>FestiveRadiance</c:v>
                </c:pt>
                <c:pt idx="2">
                  <c:v>NewYearRefresh</c:v>
                </c:pt>
                <c:pt idx="3">
                  <c:v>No Campaign</c:v>
                </c:pt>
                <c:pt idx="4">
                  <c:v>SummerSplash</c:v>
                </c:pt>
              </c:strCache>
            </c:strRef>
          </c:cat>
          <c:val>
            <c:numRef>
              <c:f>ROI!$C$4:$C$9</c:f>
              <c:numCache>
                <c:formatCode>0</c:formatCode>
                <c:ptCount val="5"/>
                <c:pt idx="0">
                  <c:v>5178</c:v>
                </c:pt>
                <c:pt idx="1">
                  <c:v>4629</c:v>
                </c:pt>
                <c:pt idx="2">
                  <c:v>1056</c:v>
                </c:pt>
                <c:pt idx="3">
                  <c:v>30744</c:v>
                </c:pt>
                <c:pt idx="4">
                  <c:v>3759</c:v>
                </c:pt>
              </c:numCache>
            </c:numRef>
          </c:val>
          <c:extLst>
            <c:ext xmlns:c16="http://schemas.microsoft.com/office/drawing/2014/chart" uri="{C3380CC4-5D6E-409C-BE32-E72D297353CC}">
              <c16:uniqueId val="{00000001-880A-4139-BA48-BFBF173FBB98}"/>
            </c:ext>
          </c:extLst>
        </c:ser>
        <c:ser>
          <c:idx val="2"/>
          <c:order val="2"/>
          <c:tx>
            <c:strRef>
              <c:f>ROI!$D$3</c:f>
              <c:strCache>
                <c:ptCount val="1"/>
                <c:pt idx="0">
                  <c:v>Sum of Likes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ROI!$A$4:$A$9</c:f>
              <c:strCache>
                <c:ptCount val="5"/>
                <c:pt idx="0">
                  <c:v>DailyWellness</c:v>
                </c:pt>
                <c:pt idx="1">
                  <c:v>FestiveRadiance</c:v>
                </c:pt>
                <c:pt idx="2">
                  <c:v>NewYearRefresh</c:v>
                </c:pt>
                <c:pt idx="3">
                  <c:v>No Campaign</c:v>
                </c:pt>
                <c:pt idx="4">
                  <c:v>SummerSplash</c:v>
                </c:pt>
              </c:strCache>
            </c:strRef>
          </c:cat>
          <c:val>
            <c:numRef>
              <c:f>ROI!$D$4:$D$9</c:f>
              <c:numCache>
                <c:formatCode>0</c:formatCode>
                <c:ptCount val="5"/>
                <c:pt idx="0">
                  <c:v>80561</c:v>
                </c:pt>
                <c:pt idx="1">
                  <c:v>108706</c:v>
                </c:pt>
                <c:pt idx="2">
                  <c:v>25930</c:v>
                </c:pt>
                <c:pt idx="3">
                  <c:v>519167</c:v>
                </c:pt>
                <c:pt idx="4">
                  <c:v>85627</c:v>
                </c:pt>
              </c:numCache>
            </c:numRef>
          </c:val>
          <c:extLst>
            <c:ext xmlns:c16="http://schemas.microsoft.com/office/drawing/2014/chart" uri="{C3380CC4-5D6E-409C-BE32-E72D297353CC}">
              <c16:uniqueId val="{00000002-880A-4139-BA48-BFBF173FBB98}"/>
            </c:ext>
          </c:extLst>
        </c:ser>
        <c:ser>
          <c:idx val="3"/>
          <c:order val="3"/>
          <c:tx>
            <c:strRef>
              <c:f>ROI!$E$3</c:f>
              <c:strCache>
                <c:ptCount val="1"/>
                <c:pt idx="0">
                  <c:v>Sum of Engagement Rate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ROI!$A$4:$A$9</c:f>
              <c:strCache>
                <c:ptCount val="5"/>
                <c:pt idx="0">
                  <c:v>DailyWellness</c:v>
                </c:pt>
                <c:pt idx="1">
                  <c:v>FestiveRadiance</c:v>
                </c:pt>
                <c:pt idx="2">
                  <c:v>NewYearRefresh</c:v>
                </c:pt>
                <c:pt idx="3">
                  <c:v>No Campaign</c:v>
                </c:pt>
                <c:pt idx="4">
                  <c:v>SummerSplash</c:v>
                </c:pt>
              </c:strCache>
            </c:strRef>
          </c:cat>
          <c:val>
            <c:numRef>
              <c:f>ROI!$E$4:$E$9</c:f>
              <c:numCache>
                <c:formatCode>0.00%</c:formatCode>
                <c:ptCount val="5"/>
                <c:pt idx="0">
                  <c:v>3.878732008753377</c:v>
                </c:pt>
                <c:pt idx="1">
                  <c:v>4.6282265969239198</c:v>
                </c:pt>
                <c:pt idx="2">
                  <c:v>1.5012452603301554</c:v>
                </c:pt>
                <c:pt idx="3">
                  <c:v>31.684738739332644</c:v>
                </c:pt>
                <c:pt idx="4">
                  <c:v>2.7918748342184632</c:v>
                </c:pt>
              </c:numCache>
            </c:numRef>
          </c:val>
          <c:extLst>
            <c:ext xmlns:c16="http://schemas.microsoft.com/office/drawing/2014/chart" uri="{C3380CC4-5D6E-409C-BE32-E72D297353CC}">
              <c16:uniqueId val="{00000003-880A-4139-BA48-BFBF173FBB98}"/>
            </c:ext>
          </c:extLst>
        </c:ser>
        <c:ser>
          <c:idx val="4"/>
          <c:order val="4"/>
          <c:tx>
            <c:strRef>
              <c:f>ROI!$F$3</c:f>
              <c:strCache>
                <c:ptCount val="1"/>
                <c:pt idx="0">
                  <c:v>Average of Impressions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ROI!$A$4:$A$9</c:f>
              <c:strCache>
                <c:ptCount val="5"/>
                <c:pt idx="0">
                  <c:v>DailyWellness</c:v>
                </c:pt>
                <c:pt idx="1">
                  <c:v>FestiveRadiance</c:v>
                </c:pt>
                <c:pt idx="2">
                  <c:v>NewYearRefresh</c:v>
                </c:pt>
                <c:pt idx="3">
                  <c:v>No Campaign</c:v>
                </c:pt>
                <c:pt idx="4">
                  <c:v>SummerSplash</c:v>
                </c:pt>
              </c:strCache>
            </c:strRef>
          </c:cat>
          <c:val>
            <c:numRef>
              <c:f>ROI!$F$4:$F$9</c:f>
              <c:numCache>
                <c:formatCode>0</c:formatCode>
                <c:ptCount val="5"/>
                <c:pt idx="0">
                  <c:v>32538.34375</c:v>
                </c:pt>
                <c:pt idx="1">
                  <c:v>42336.457142857143</c:v>
                </c:pt>
                <c:pt idx="2">
                  <c:v>27400.2</c:v>
                </c:pt>
                <c:pt idx="3">
                  <c:v>32786.719387755104</c:v>
                </c:pt>
                <c:pt idx="4">
                  <c:v>43368.555555555555</c:v>
                </c:pt>
              </c:numCache>
            </c:numRef>
          </c:val>
          <c:extLst>
            <c:ext xmlns:c16="http://schemas.microsoft.com/office/drawing/2014/chart" uri="{C3380CC4-5D6E-409C-BE32-E72D297353CC}">
              <c16:uniqueId val="{00000004-880A-4139-BA48-BFBF173FBB98}"/>
            </c:ext>
          </c:extLst>
        </c:ser>
        <c:ser>
          <c:idx val="5"/>
          <c:order val="5"/>
          <c:tx>
            <c:strRef>
              <c:f>ROI!$G$3</c:f>
              <c:strCache>
                <c:ptCount val="1"/>
                <c:pt idx="0">
                  <c:v>Average of Clicks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ROI!$A$4:$A$9</c:f>
              <c:strCache>
                <c:ptCount val="5"/>
                <c:pt idx="0">
                  <c:v>DailyWellness</c:v>
                </c:pt>
                <c:pt idx="1">
                  <c:v>FestiveRadiance</c:v>
                </c:pt>
                <c:pt idx="2">
                  <c:v>NewYearRefresh</c:v>
                </c:pt>
                <c:pt idx="3">
                  <c:v>No Campaign</c:v>
                </c:pt>
                <c:pt idx="4">
                  <c:v>SummerSplash</c:v>
                </c:pt>
              </c:strCache>
            </c:strRef>
          </c:cat>
          <c:val>
            <c:numRef>
              <c:f>ROI!$G$4:$G$9</c:f>
              <c:numCache>
                <c:formatCode>0</c:formatCode>
                <c:ptCount val="5"/>
                <c:pt idx="0">
                  <c:v>161.8125</c:v>
                </c:pt>
                <c:pt idx="1">
                  <c:v>132.25714285714287</c:v>
                </c:pt>
                <c:pt idx="2">
                  <c:v>105.6</c:v>
                </c:pt>
                <c:pt idx="3">
                  <c:v>156.85714285714286</c:v>
                </c:pt>
                <c:pt idx="4">
                  <c:v>139.22222222222223</c:v>
                </c:pt>
              </c:numCache>
            </c:numRef>
          </c:val>
          <c:extLst>
            <c:ext xmlns:c16="http://schemas.microsoft.com/office/drawing/2014/chart" uri="{C3380CC4-5D6E-409C-BE32-E72D297353CC}">
              <c16:uniqueId val="{00000005-880A-4139-BA48-BFBF173FBB98}"/>
            </c:ext>
          </c:extLst>
        </c:ser>
        <c:ser>
          <c:idx val="6"/>
          <c:order val="6"/>
          <c:tx>
            <c:strRef>
              <c:f>ROI!$H$3</c:f>
              <c:strCache>
                <c:ptCount val="1"/>
                <c:pt idx="0">
                  <c:v>Average of Likes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ROI!$A$4:$A$9</c:f>
              <c:strCache>
                <c:ptCount val="5"/>
                <c:pt idx="0">
                  <c:v>DailyWellness</c:v>
                </c:pt>
                <c:pt idx="1">
                  <c:v>FestiveRadiance</c:v>
                </c:pt>
                <c:pt idx="2">
                  <c:v>NewYearRefresh</c:v>
                </c:pt>
                <c:pt idx="3">
                  <c:v>No Campaign</c:v>
                </c:pt>
                <c:pt idx="4">
                  <c:v>SummerSplash</c:v>
                </c:pt>
              </c:strCache>
            </c:strRef>
          </c:cat>
          <c:val>
            <c:numRef>
              <c:f>ROI!$H$4:$H$9</c:f>
              <c:numCache>
                <c:formatCode>0</c:formatCode>
                <c:ptCount val="5"/>
                <c:pt idx="0">
                  <c:v>2517.53125</c:v>
                </c:pt>
                <c:pt idx="1">
                  <c:v>3105.8857142857141</c:v>
                </c:pt>
                <c:pt idx="2">
                  <c:v>2593</c:v>
                </c:pt>
                <c:pt idx="3">
                  <c:v>2648.8112244897961</c:v>
                </c:pt>
                <c:pt idx="4">
                  <c:v>3171.3703703703704</c:v>
                </c:pt>
              </c:numCache>
            </c:numRef>
          </c:val>
          <c:extLst>
            <c:ext xmlns:c16="http://schemas.microsoft.com/office/drawing/2014/chart" uri="{C3380CC4-5D6E-409C-BE32-E72D297353CC}">
              <c16:uniqueId val="{00000006-880A-4139-BA48-BFBF173FBB98}"/>
            </c:ext>
          </c:extLst>
        </c:ser>
        <c:ser>
          <c:idx val="7"/>
          <c:order val="7"/>
          <c:tx>
            <c:strRef>
              <c:f>ROI!$I$3</c:f>
              <c:strCache>
                <c:ptCount val="1"/>
                <c:pt idx="0">
                  <c:v>Average of Engagement Rate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ROI!$A$4:$A$9</c:f>
              <c:strCache>
                <c:ptCount val="5"/>
                <c:pt idx="0">
                  <c:v>DailyWellness</c:v>
                </c:pt>
                <c:pt idx="1">
                  <c:v>FestiveRadiance</c:v>
                </c:pt>
                <c:pt idx="2">
                  <c:v>NewYearRefresh</c:v>
                </c:pt>
                <c:pt idx="3">
                  <c:v>No Campaign</c:v>
                </c:pt>
                <c:pt idx="4">
                  <c:v>SummerSplash</c:v>
                </c:pt>
              </c:strCache>
            </c:strRef>
          </c:cat>
          <c:val>
            <c:numRef>
              <c:f>ROI!$I$4:$I$9</c:f>
              <c:numCache>
                <c:formatCode>0.00%</c:formatCode>
                <c:ptCount val="5"/>
                <c:pt idx="0">
                  <c:v>0.12121037527354303</c:v>
                </c:pt>
                <c:pt idx="1">
                  <c:v>0.13223504562639771</c:v>
                </c:pt>
                <c:pt idx="2">
                  <c:v>0.15012452603301554</c:v>
                </c:pt>
                <c:pt idx="3">
                  <c:v>0.16165683030271757</c:v>
                </c:pt>
                <c:pt idx="4">
                  <c:v>0.10340277163772085</c:v>
                </c:pt>
              </c:numCache>
            </c:numRef>
          </c:val>
          <c:extLst>
            <c:ext xmlns:c16="http://schemas.microsoft.com/office/drawing/2014/chart" uri="{C3380CC4-5D6E-409C-BE32-E72D297353CC}">
              <c16:uniqueId val="{00000007-880A-4139-BA48-BFBF173FBB98}"/>
            </c:ext>
          </c:extLst>
        </c:ser>
        <c:ser>
          <c:idx val="8"/>
          <c:order val="8"/>
          <c:tx>
            <c:strRef>
              <c:f>ROI!$J$3</c:f>
              <c:strCache>
                <c:ptCount val="1"/>
                <c:pt idx="0">
                  <c:v>Cost_Per_Engagement</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ROI!$A$4:$A$9</c:f>
              <c:strCache>
                <c:ptCount val="5"/>
                <c:pt idx="0">
                  <c:v>DailyWellness</c:v>
                </c:pt>
                <c:pt idx="1">
                  <c:v>FestiveRadiance</c:v>
                </c:pt>
                <c:pt idx="2">
                  <c:v>NewYearRefresh</c:v>
                </c:pt>
                <c:pt idx="3">
                  <c:v>No Campaign</c:v>
                </c:pt>
                <c:pt idx="4">
                  <c:v>SummerSplash</c:v>
                </c:pt>
              </c:strCache>
            </c:strRef>
          </c:cat>
          <c:val>
            <c:numRef>
              <c:f>ROI!$J$4:$J$9</c:f>
              <c:numCache>
                <c:formatCode>0.00</c:formatCode>
                <c:ptCount val="5"/>
                <c:pt idx="0">
                  <c:v>1.6977928692699491</c:v>
                </c:pt>
                <c:pt idx="1">
                  <c:v>1.4525277614368401</c:v>
                </c:pt>
                <c:pt idx="2">
                  <c:v>7.5656700157365933</c:v>
                </c:pt>
                <c:pt idx="3">
                  <c:v>0</c:v>
                </c:pt>
                <c:pt idx="4">
                  <c:v>1.4454626926079046</c:v>
                </c:pt>
              </c:numCache>
            </c:numRef>
          </c:val>
          <c:extLst>
            <c:ext xmlns:c16="http://schemas.microsoft.com/office/drawing/2014/chart" uri="{C3380CC4-5D6E-409C-BE32-E72D297353CC}">
              <c16:uniqueId val="{00000008-880A-4139-BA48-BFBF173FBB98}"/>
            </c:ext>
          </c:extLst>
        </c:ser>
        <c:dLbls>
          <c:showLegendKey val="0"/>
          <c:showVal val="0"/>
          <c:showCatName val="0"/>
          <c:showSerName val="0"/>
          <c:showPercent val="0"/>
          <c:showBubbleSize val="0"/>
        </c:dLbls>
        <c:gapWidth val="100"/>
        <c:overlap val="-24"/>
        <c:axId val="1914631680"/>
        <c:axId val="1914636000"/>
      </c:barChart>
      <c:catAx>
        <c:axId val="1914631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636000"/>
        <c:crosses val="autoZero"/>
        <c:auto val="1"/>
        <c:lblAlgn val="ctr"/>
        <c:lblOffset val="100"/>
        <c:noMultiLvlLbl val="0"/>
      </c:catAx>
      <c:valAx>
        <c:axId val="191463600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463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'Engagement Summary (2)'!$H$1</c:f>
              <c:strCache>
                <c:ptCount val="1"/>
                <c:pt idx="0">
                  <c:v>Net_Growth</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'Engagement Summary (2)'!$G$2:$G$1000</c:f>
              <c:numCache>
                <c:formatCode>"₹"\ #,##0.00</c:formatCode>
                <c:ptCount val="999"/>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xVal>
          <c:yVal>
            <c:numRef>
              <c:f>'Engagement Summary (2)'!$H$2:$H$1000</c:f>
              <c:numCache>
                <c:formatCode>0</c:formatCode>
                <c:ptCount val="999"/>
                <c:pt idx="0">
                  <c:v>1047</c:v>
                </c:pt>
                <c:pt idx="1">
                  <c:v>1002</c:v>
                </c:pt>
                <c:pt idx="2">
                  <c:v>415</c:v>
                </c:pt>
                <c:pt idx="3">
                  <c:v>1090</c:v>
                </c:pt>
                <c:pt idx="4">
                  <c:v>517</c:v>
                </c:pt>
                <c:pt idx="5">
                  <c:v>1283</c:v>
                </c:pt>
                <c:pt idx="6">
                  <c:v>186</c:v>
                </c:pt>
                <c:pt idx="7">
                  <c:v>994</c:v>
                </c:pt>
                <c:pt idx="8">
                  <c:v>893</c:v>
                </c:pt>
                <c:pt idx="9">
                  <c:v>1382</c:v>
                </c:pt>
                <c:pt idx="10">
                  <c:v>1295</c:v>
                </c:pt>
                <c:pt idx="11">
                  <c:v>337</c:v>
                </c:pt>
                <c:pt idx="12">
                  <c:v>629</c:v>
                </c:pt>
                <c:pt idx="13">
                  <c:v>1670</c:v>
                </c:pt>
                <c:pt idx="14">
                  <c:v>835</c:v>
                </c:pt>
                <c:pt idx="15">
                  <c:v>-123</c:v>
                </c:pt>
                <c:pt idx="16">
                  <c:v>-219</c:v>
                </c:pt>
                <c:pt idx="17">
                  <c:v>64</c:v>
                </c:pt>
                <c:pt idx="18">
                  <c:v>1357</c:v>
                </c:pt>
                <c:pt idx="19">
                  <c:v>91</c:v>
                </c:pt>
                <c:pt idx="20">
                  <c:v>1672</c:v>
                </c:pt>
                <c:pt idx="21">
                  <c:v>309</c:v>
                </c:pt>
                <c:pt idx="22">
                  <c:v>547</c:v>
                </c:pt>
                <c:pt idx="23">
                  <c:v>514</c:v>
                </c:pt>
                <c:pt idx="24">
                  <c:v>1845</c:v>
                </c:pt>
                <c:pt idx="25">
                  <c:v>-164</c:v>
                </c:pt>
                <c:pt idx="26">
                  <c:v>429</c:v>
                </c:pt>
                <c:pt idx="27">
                  <c:v>160</c:v>
                </c:pt>
                <c:pt idx="28">
                  <c:v>159</c:v>
                </c:pt>
                <c:pt idx="29">
                  <c:v>961</c:v>
                </c:pt>
                <c:pt idx="30">
                  <c:v>1316</c:v>
                </c:pt>
                <c:pt idx="31">
                  <c:v>317</c:v>
                </c:pt>
                <c:pt idx="32">
                  <c:v>541</c:v>
                </c:pt>
                <c:pt idx="33">
                  <c:v>-318</c:v>
                </c:pt>
                <c:pt idx="34">
                  <c:v>1495</c:v>
                </c:pt>
                <c:pt idx="35">
                  <c:v>475</c:v>
                </c:pt>
                <c:pt idx="36">
                  <c:v>352</c:v>
                </c:pt>
                <c:pt idx="37">
                  <c:v>-197</c:v>
                </c:pt>
                <c:pt idx="38">
                  <c:v>328</c:v>
                </c:pt>
                <c:pt idx="39">
                  <c:v>319</c:v>
                </c:pt>
                <c:pt idx="40">
                  <c:v>1325</c:v>
                </c:pt>
                <c:pt idx="41">
                  <c:v>1334</c:v>
                </c:pt>
                <c:pt idx="42">
                  <c:v>37</c:v>
                </c:pt>
                <c:pt idx="43">
                  <c:v>1032</c:v>
                </c:pt>
                <c:pt idx="44">
                  <c:v>76</c:v>
                </c:pt>
                <c:pt idx="45">
                  <c:v>1058</c:v>
                </c:pt>
                <c:pt idx="46">
                  <c:v>1665</c:v>
                </c:pt>
                <c:pt idx="47">
                  <c:v>190</c:v>
                </c:pt>
                <c:pt idx="48">
                  <c:v>1609</c:v>
                </c:pt>
                <c:pt idx="49">
                  <c:v>37</c:v>
                </c:pt>
                <c:pt idx="50">
                  <c:v>1229</c:v>
                </c:pt>
                <c:pt idx="51">
                  <c:v>28</c:v>
                </c:pt>
                <c:pt idx="52">
                  <c:v>1247</c:v>
                </c:pt>
                <c:pt idx="53">
                  <c:v>1045</c:v>
                </c:pt>
                <c:pt idx="54">
                  <c:v>197</c:v>
                </c:pt>
                <c:pt idx="55">
                  <c:v>333</c:v>
                </c:pt>
                <c:pt idx="56">
                  <c:v>1572</c:v>
                </c:pt>
                <c:pt idx="57">
                  <c:v>1428</c:v>
                </c:pt>
                <c:pt idx="58">
                  <c:v>260</c:v>
                </c:pt>
                <c:pt idx="59">
                  <c:v>1100</c:v>
                </c:pt>
                <c:pt idx="60">
                  <c:v>377</c:v>
                </c:pt>
                <c:pt idx="61">
                  <c:v>98</c:v>
                </c:pt>
                <c:pt idx="62">
                  <c:v>1125</c:v>
                </c:pt>
                <c:pt idx="63">
                  <c:v>-32</c:v>
                </c:pt>
                <c:pt idx="64">
                  <c:v>666</c:v>
                </c:pt>
                <c:pt idx="65">
                  <c:v>-19</c:v>
                </c:pt>
                <c:pt idx="66">
                  <c:v>1680</c:v>
                </c:pt>
                <c:pt idx="67">
                  <c:v>1006</c:v>
                </c:pt>
                <c:pt idx="68">
                  <c:v>1025</c:v>
                </c:pt>
                <c:pt idx="69">
                  <c:v>-179</c:v>
                </c:pt>
                <c:pt idx="70">
                  <c:v>599</c:v>
                </c:pt>
                <c:pt idx="71">
                  <c:v>1706</c:v>
                </c:pt>
                <c:pt idx="72">
                  <c:v>1872</c:v>
                </c:pt>
                <c:pt idx="73">
                  <c:v>1662</c:v>
                </c:pt>
                <c:pt idx="74">
                  <c:v>107</c:v>
                </c:pt>
                <c:pt idx="75">
                  <c:v>118</c:v>
                </c:pt>
                <c:pt idx="76">
                  <c:v>1224</c:v>
                </c:pt>
                <c:pt idx="77">
                  <c:v>285</c:v>
                </c:pt>
                <c:pt idx="78">
                  <c:v>-20</c:v>
                </c:pt>
                <c:pt idx="79">
                  <c:v>367</c:v>
                </c:pt>
                <c:pt idx="80">
                  <c:v>262</c:v>
                </c:pt>
                <c:pt idx="81">
                  <c:v>439</c:v>
                </c:pt>
                <c:pt idx="82">
                  <c:v>636</c:v>
                </c:pt>
                <c:pt idx="83">
                  <c:v>1484</c:v>
                </c:pt>
                <c:pt idx="84">
                  <c:v>576</c:v>
                </c:pt>
                <c:pt idx="85">
                  <c:v>386</c:v>
                </c:pt>
                <c:pt idx="86">
                  <c:v>37</c:v>
                </c:pt>
                <c:pt idx="87">
                  <c:v>1657</c:v>
                </c:pt>
                <c:pt idx="88">
                  <c:v>1397</c:v>
                </c:pt>
                <c:pt idx="89">
                  <c:v>540</c:v>
                </c:pt>
                <c:pt idx="90">
                  <c:v>1603</c:v>
                </c:pt>
                <c:pt idx="91">
                  <c:v>1044</c:v>
                </c:pt>
                <c:pt idx="92">
                  <c:v>902</c:v>
                </c:pt>
                <c:pt idx="93">
                  <c:v>-106</c:v>
                </c:pt>
                <c:pt idx="94">
                  <c:v>1150</c:v>
                </c:pt>
                <c:pt idx="95">
                  <c:v>349</c:v>
                </c:pt>
                <c:pt idx="96">
                  <c:v>-49</c:v>
                </c:pt>
                <c:pt idx="97">
                  <c:v>72</c:v>
                </c:pt>
                <c:pt idx="98">
                  <c:v>445</c:v>
                </c:pt>
                <c:pt idx="99">
                  <c:v>60</c:v>
                </c:pt>
                <c:pt idx="100">
                  <c:v>1693</c:v>
                </c:pt>
                <c:pt idx="101">
                  <c:v>1332</c:v>
                </c:pt>
                <c:pt idx="102">
                  <c:v>98</c:v>
                </c:pt>
                <c:pt idx="103">
                  <c:v>885</c:v>
                </c:pt>
                <c:pt idx="104">
                  <c:v>1625</c:v>
                </c:pt>
                <c:pt idx="105">
                  <c:v>1706</c:v>
                </c:pt>
                <c:pt idx="106">
                  <c:v>1173</c:v>
                </c:pt>
                <c:pt idx="107">
                  <c:v>291</c:v>
                </c:pt>
                <c:pt idx="108">
                  <c:v>1119</c:v>
                </c:pt>
                <c:pt idx="109">
                  <c:v>1373</c:v>
                </c:pt>
                <c:pt idx="110">
                  <c:v>1727</c:v>
                </c:pt>
                <c:pt idx="111">
                  <c:v>573</c:v>
                </c:pt>
                <c:pt idx="112">
                  <c:v>1432</c:v>
                </c:pt>
                <c:pt idx="113">
                  <c:v>1377</c:v>
                </c:pt>
                <c:pt idx="114">
                  <c:v>1359</c:v>
                </c:pt>
                <c:pt idx="115">
                  <c:v>876</c:v>
                </c:pt>
                <c:pt idx="116">
                  <c:v>684</c:v>
                </c:pt>
                <c:pt idx="117">
                  <c:v>730</c:v>
                </c:pt>
                <c:pt idx="118">
                  <c:v>911</c:v>
                </c:pt>
                <c:pt idx="119">
                  <c:v>1589</c:v>
                </c:pt>
                <c:pt idx="120">
                  <c:v>1765</c:v>
                </c:pt>
                <c:pt idx="121">
                  <c:v>1776</c:v>
                </c:pt>
                <c:pt idx="122">
                  <c:v>1529</c:v>
                </c:pt>
                <c:pt idx="123">
                  <c:v>1460</c:v>
                </c:pt>
                <c:pt idx="124">
                  <c:v>903</c:v>
                </c:pt>
                <c:pt idx="125">
                  <c:v>620</c:v>
                </c:pt>
                <c:pt idx="126">
                  <c:v>1188</c:v>
                </c:pt>
                <c:pt idx="127">
                  <c:v>846</c:v>
                </c:pt>
                <c:pt idx="128">
                  <c:v>1722</c:v>
                </c:pt>
                <c:pt idx="129">
                  <c:v>298</c:v>
                </c:pt>
                <c:pt idx="130">
                  <c:v>-144</c:v>
                </c:pt>
                <c:pt idx="131">
                  <c:v>901</c:v>
                </c:pt>
                <c:pt idx="132">
                  <c:v>1572</c:v>
                </c:pt>
                <c:pt idx="133">
                  <c:v>427</c:v>
                </c:pt>
                <c:pt idx="134">
                  <c:v>891</c:v>
                </c:pt>
                <c:pt idx="135">
                  <c:v>724</c:v>
                </c:pt>
                <c:pt idx="136">
                  <c:v>-166</c:v>
                </c:pt>
                <c:pt idx="137">
                  <c:v>898</c:v>
                </c:pt>
                <c:pt idx="138">
                  <c:v>1426</c:v>
                </c:pt>
                <c:pt idx="139">
                  <c:v>1225</c:v>
                </c:pt>
                <c:pt idx="140">
                  <c:v>1080</c:v>
                </c:pt>
                <c:pt idx="141">
                  <c:v>748</c:v>
                </c:pt>
                <c:pt idx="142">
                  <c:v>569</c:v>
                </c:pt>
                <c:pt idx="143">
                  <c:v>-203</c:v>
                </c:pt>
                <c:pt idx="144">
                  <c:v>1723</c:v>
                </c:pt>
                <c:pt idx="145">
                  <c:v>912</c:v>
                </c:pt>
                <c:pt idx="146">
                  <c:v>1202</c:v>
                </c:pt>
                <c:pt idx="147">
                  <c:v>1444</c:v>
                </c:pt>
                <c:pt idx="148">
                  <c:v>965</c:v>
                </c:pt>
                <c:pt idx="149">
                  <c:v>1590</c:v>
                </c:pt>
                <c:pt idx="150">
                  <c:v>-37</c:v>
                </c:pt>
                <c:pt idx="151">
                  <c:v>1175</c:v>
                </c:pt>
                <c:pt idx="152">
                  <c:v>1375</c:v>
                </c:pt>
                <c:pt idx="153">
                  <c:v>1707</c:v>
                </c:pt>
                <c:pt idx="154">
                  <c:v>708</c:v>
                </c:pt>
                <c:pt idx="155">
                  <c:v>1016</c:v>
                </c:pt>
                <c:pt idx="156">
                  <c:v>1315</c:v>
                </c:pt>
                <c:pt idx="157">
                  <c:v>-119</c:v>
                </c:pt>
                <c:pt idx="158">
                  <c:v>899</c:v>
                </c:pt>
                <c:pt idx="159">
                  <c:v>315</c:v>
                </c:pt>
                <c:pt idx="160">
                  <c:v>212</c:v>
                </c:pt>
                <c:pt idx="161">
                  <c:v>908</c:v>
                </c:pt>
                <c:pt idx="162">
                  <c:v>1350</c:v>
                </c:pt>
                <c:pt idx="163">
                  <c:v>1242</c:v>
                </c:pt>
                <c:pt idx="164">
                  <c:v>680</c:v>
                </c:pt>
                <c:pt idx="165">
                  <c:v>1116</c:v>
                </c:pt>
                <c:pt idx="166">
                  <c:v>861</c:v>
                </c:pt>
                <c:pt idx="167">
                  <c:v>1385</c:v>
                </c:pt>
                <c:pt idx="168">
                  <c:v>461</c:v>
                </c:pt>
                <c:pt idx="169">
                  <c:v>474</c:v>
                </c:pt>
                <c:pt idx="170">
                  <c:v>292</c:v>
                </c:pt>
                <c:pt idx="171">
                  <c:v>389</c:v>
                </c:pt>
                <c:pt idx="172">
                  <c:v>641</c:v>
                </c:pt>
                <c:pt idx="173">
                  <c:v>514</c:v>
                </c:pt>
                <c:pt idx="174">
                  <c:v>1676</c:v>
                </c:pt>
                <c:pt idx="175">
                  <c:v>1467</c:v>
                </c:pt>
                <c:pt idx="176">
                  <c:v>167</c:v>
                </c:pt>
                <c:pt idx="177">
                  <c:v>1029</c:v>
                </c:pt>
                <c:pt idx="178">
                  <c:v>1007</c:v>
                </c:pt>
                <c:pt idx="179">
                  <c:v>209</c:v>
                </c:pt>
                <c:pt idx="180">
                  <c:v>-160</c:v>
                </c:pt>
                <c:pt idx="181">
                  <c:v>-175</c:v>
                </c:pt>
                <c:pt idx="182">
                  <c:v>53</c:v>
                </c:pt>
                <c:pt idx="183">
                  <c:v>145</c:v>
                </c:pt>
                <c:pt idx="184">
                  <c:v>603</c:v>
                </c:pt>
                <c:pt idx="185">
                  <c:v>1045</c:v>
                </c:pt>
                <c:pt idx="186">
                  <c:v>759</c:v>
                </c:pt>
                <c:pt idx="187">
                  <c:v>1633</c:v>
                </c:pt>
                <c:pt idx="188">
                  <c:v>1539</c:v>
                </c:pt>
                <c:pt idx="189">
                  <c:v>453</c:v>
                </c:pt>
                <c:pt idx="190">
                  <c:v>948</c:v>
                </c:pt>
                <c:pt idx="191">
                  <c:v>637</c:v>
                </c:pt>
                <c:pt idx="192">
                  <c:v>1881</c:v>
                </c:pt>
                <c:pt idx="193">
                  <c:v>339</c:v>
                </c:pt>
                <c:pt idx="194">
                  <c:v>1510</c:v>
                </c:pt>
                <c:pt idx="195">
                  <c:v>864</c:v>
                </c:pt>
                <c:pt idx="196">
                  <c:v>1656</c:v>
                </c:pt>
                <c:pt idx="197">
                  <c:v>407</c:v>
                </c:pt>
                <c:pt idx="198">
                  <c:v>269</c:v>
                </c:pt>
                <c:pt idx="199">
                  <c:v>-337</c:v>
                </c:pt>
              </c:numCache>
            </c:numRef>
          </c:yVal>
          <c:smooth val="0"/>
          <c:extLst>
            <c:ext xmlns:c16="http://schemas.microsoft.com/office/drawing/2014/chart" uri="{C3380CC4-5D6E-409C-BE32-E72D297353CC}">
              <c16:uniqueId val="{00000000-1260-4331-80E5-BD70144276D1}"/>
            </c:ext>
          </c:extLst>
        </c:ser>
        <c:dLbls>
          <c:showLegendKey val="0"/>
          <c:showVal val="0"/>
          <c:showCatName val="0"/>
          <c:showSerName val="0"/>
          <c:showPercent val="0"/>
          <c:showBubbleSize val="0"/>
        </c:dLbls>
        <c:axId val="1907908192"/>
        <c:axId val="1907909152"/>
      </c:scatterChart>
      <c:valAx>
        <c:axId val="190790819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7909152"/>
        <c:crosses val="autoZero"/>
        <c:crossBetween val="midCat"/>
      </c:valAx>
      <c:valAx>
        <c:axId val="190790915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7908192"/>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Week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Highest_follower_gain!$A$16</c:f>
              <c:strCache>
                <c:ptCount val="1"/>
                <c:pt idx="0">
                  <c:v>09-09-2024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Highest_follower_gain!$B$16</c:f>
              <c:numCache>
                <c:formatCode>0</c:formatCode>
                <c:ptCount val="1"/>
                <c:pt idx="0">
                  <c:v>4360</c:v>
                </c:pt>
              </c:numCache>
            </c:numRef>
          </c:val>
          <c:extLst>
            <c:ext xmlns:c16="http://schemas.microsoft.com/office/drawing/2014/chart" uri="{C3380CC4-5D6E-409C-BE32-E72D297353CC}">
              <c16:uniqueId val="{00000000-4AF6-4905-AB79-AD61392B687A}"/>
            </c:ext>
          </c:extLst>
        </c:ser>
        <c:ser>
          <c:idx val="1"/>
          <c:order val="1"/>
          <c:tx>
            <c:strRef>
              <c:f>Highest_follower_gain!$A$17</c:f>
              <c:strCache>
                <c:ptCount val="1"/>
                <c:pt idx="0">
                  <c:v>16-09-2024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Highest_follower_gain!$B$17</c:f>
            </c:numRef>
          </c:val>
          <c:extLst>
            <c:ext xmlns:c16="http://schemas.microsoft.com/office/drawing/2014/chart" uri="{C3380CC4-5D6E-409C-BE32-E72D297353CC}">
              <c16:uniqueId val="{00000001-4AF6-4905-AB79-AD61392B687A}"/>
            </c:ext>
          </c:extLst>
        </c:ser>
        <c:ser>
          <c:idx val="2"/>
          <c:order val="2"/>
          <c:tx>
            <c:strRef>
              <c:f>Highest_follower_gain!$A$18</c:f>
              <c:strCache>
                <c:ptCount val="1"/>
                <c:pt idx="0">
                  <c:v>23-09-2024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Highest_follower_gain!$B$18</c:f>
            </c:numRef>
          </c:val>
          <c:extLst>
            <c:ext xmlns:c16="http://schemas.microsoft.com/office/drawing/2014/chart" uri="{C3380CC4-5D6E-409C-BE32-E72D297353CC}">
              <c16:uniqueId val="{00000002-4AF6-4905-AB79-AD61392B687A}"/>
            </c:ext>
          </c:extLst>
        </c:ser>
        <c:ser>
          <c:idx val="3"/>
          <c:order val="3"/>
          <c:tx>
            <c:strRef>
              <c:f>Highest_follower_gain!$A$19</c:f>
              <c:strCache>
                <c:ptCount val="1"/>
                <c:pt idx="0">
                  <c:v>30-09-2024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Highest_follower_gain!$B$19</c:f>
            </c:numRef>
          </c:val>
          <c:extLst>
            <c:ext xmlns:c16="http://schemas.microsoft.com/office/drawing/2014/chart" uri="{C3380CC4-5D6E-409C-BE32-E72D297353CC}">
              <c16:uniqueId val="{00000003-4AF6-4905-AB79-AD61392B687A}"/>
            </c:ext>
          </c:extLst>
        </c:ser>
        <c:ser>
          <c:idx val="4"/>
          <c:order val="4"/>
          <c:tx>
            <c:strRef>
              <c:f>Highest_follower_gain!$A$20</c:f>
              <c:strCache>
                <c:ptCount val="1"/>
                <c:pt idx="0">
                  <c:v>07-10-2024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Highest_follower_gain!$B$20</c:f>
            </c:numRef>
          </c:val>
          <c:extLst>
            <c:ext xmlns:c16="http://schemas.microsoft.com/office/drawing/2014/chart" uri="{C3380CC4-5D6E-409C-BE32-E72D297353CC}">
              <c16:uniqueId val="{00000004-4AF6-4905-AB79-AD61392B687A}"/>
            </c:ext>
          </c:extLst>
        </c:ser>
        <c:ser>
          <c:idx val="5"/>
          <c:order val="5"/>
          <c:tx>
            <c:strRef>
              <c:f>Highest_follower_gain!$A$21</c:f>
              <c:strCache>
                <c:ptCount val="1"/>
                <c:pt idx="0">
                  <c:v>14-10-2024</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Highest_follower_gain!$B$21</c:f>
            </c:numRef>
          </c:val>
          <c:extLst>
            <c:ext xmlns:c16="http://schemas.microsoft.com/office/drawing/2014/chart" uri="{C3380CC4-5D6E-409C-BE32-E72D297353CC}">
              <c16:uniqueId val="{00000005-4AF6-4905-AB79-AD61392B687A}"/>
            </c:ext>
          </c:extLst>
        </c:ser>
        <c:ser>
          <c:idx val="6"/>
          <c:order val="6"/>
          <c:tx>
            <c:strRef>
              <c:f>Highest_follower_gain!$A$22</c:f>
              <c:strCache>
                <c:ptCount val="1"/>
                <c:pt idx="0">
                  <c:v>21-10-2024</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Highest_follower_gain!$B$22</c:f>
            </c:numRef>
          </c:val>
          <c:extLst>
            <c:ext xmlns:c16="http://schemas.microsoft.com/office/drawing/2014/chart" uri="{C3380CC4-5D6E-409C-BE32-E72D297353CC}">
              <c16:uniqueId val="{00000006-4AF6-4905-AB79-AD61392B687A}"/>
            </c:ext>
          </c:extLst>
        </c:ser>
        <c:ser>
          <c:idx val="7"/>
          <c:order val="7"/>
          <c:tx>
            <c:strRef>
              <c:f>Highest_follower_gain!$A$23</c:f>
              <c:strCache>
                <c:ptCount val="1"/>
                <c:pt idx="0">
                  <c:v>28-10-2024</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Highest_follower_gain!$B$23</c:f>
            </c:numRef>
          </c:val>
          <c:extLst>
            <c:ext xmlns:c16="http://schemas.microsoft.com/office/drawing/2014/chart" uri="{C3380CC4-5D6E-409C-BE32-E72D297353CC}">
              <c16:uniqueId val="{00000007-4AF6-4905-AB79-AD61392B687A}"/>
            </c:ext>
          </c:extLst>
        </c:ser>
        <c:ser>
          <c:idx val="8"/>
          <c:order val="8"/>
          <c:tx>
            <c:strRef>
              <c:f>Highest_follower_gain!$A$24</c:f>
              <c:strCache>
                <c:ptCount val="1"/>
                <c:pt idx="0">
                  <c:v>04-11-2024</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Highest_follower_gain!$B$24</c:f>
              <c:numCache>
                <c:formatCode>0</c:formatCode>
                <c:ptCount val="1"/>
                <c:pt idx="0">
                  <c:v>4584</c:v>
                </c:pt>
              </c:numCache>
            </c:numRef>
          </c:val>
          <c:extLst>
            <c:ext xmlns:c16="http://schemas.microsoft.com/office/drawing/2014/chart" uri="{C3380CC4-5D6E-409C-BE32-E72D297353CC}">
              <c16:uniqueId val="{00000008-4AF6-4905-AB79-AD61392B687A}"/>
            </c:ext>
          </c:extLst>
        </c:ser>
        <c:ser>
          <c:idx val="9"/>
          <c:order val="9"/>
          <c:tx>
            <c:strRef>
              <c:f>Highest_follower_gain!$A$25</c:f>
              <c:strCache>
                <c:ptCount val="1"/>
                <c:pt idx="0">
                  <c:v>11-11-2024</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Highest_follower_gain!$B$25</c:f>
            </c:numRef>
          </c:val>
          <c:extLst>
            <c:ext xmlns:c16="http://schemas.microsoft.com/office/drawing/2014/chart" uri="{C3380CC4-5D6E-409C-BE32-E72D297353CC}">
              <c16:uniqueId val="{00000009-4AF6-4905-AB79-AD61392B687A}"/>
            </c:ext>
          </c:extLst>
        </c:ser>
        <c:ser>
          <c:idx val="10"/>
          <c:order val="10"/>
          <c:tx>
            <c:strRef>
              <c:f>Highest_follower_gain!$A$26</c:f>
              <c:strCache>
                <c:ptCount val="1"/>
                <c:pt idx="0">
                  <c:v>18-11-2024</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Highest_follower_gain!$B$26</c:f>
            </c:numRef>
          </c:val>
          <c:extLst>
            <c:ext xmlns:c16="http://schemas.microsoft.com/office/drawing/2014/chart" uri="{C3380CC4-5D6E-409C-BE32-E72D297353CC}">
              <c16:uniqueId val="{0000000A-4AF6-4905-AB79-AD61392B687A}"/>
            </c:ext>
          </c:extLst>
        </c:ser>
        <c:ser>
          <c:idx val="11"/>
          <c:order val="11"/>
          <c:tx>
            <c:strRef>
              <c:f>Highest_follower_gain!$A$27</c:f>
              <c:strCache>
                <c:ptCount val="1"/>
                <c:pt idx="0">
                  <c:v>25-11-2024</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Highest_follower_gain!$B$27</c:f>
            </c:numRef>
          </c:val>
          <c:extLst>
            <c:ext xmlns:c16="http://schemas.microsoft.com/office/drawing/2014/chart" uri="{C3380CC4-5D6E-409C-BE32-E72D297353CC}">
              <c16:uniqueId val="{0000000B-4AF6-4905-AB79-AD61392B687A}"/>
            </c:ext>
          </c:extLst>
        </c:ser>
        <c:ser>
          <c:idx val="12"/>
          <c:order val="12"/>
          <c:tx>
            <c:strRef>
              <c:f>Highest_follower_gain!$A$28</c:f>
              <c:strCache>
                <c:ptCount val="1"/>
                <c:pt idx="0">
                  <c:v>02-12-2024</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Highest_follower_gain!$B$28</c:f>
              <c:numCache>
                <c:formatCode>0</c:formatCode>
                <c:ptCount val="1"/>
                <c:pt idx="0">
                  <c:v>4795</c:v>
                </c:pt>
              </c:numCache>
            </c:numRef>
          </c:val>
          <c:extLst>
            <c:ext xmlns:c16="http://schemas.microsoft.com/office/drawing/2014/chart" uri="{C3380CC4-5D6E-409C-BE32-E72D297353CC}">
              <c16:uniqueId val="{0000000C-4AF6-4905-AB79-AD61392B687A}"/>
            </c:ext>
          </c:extLst>
        </c:ser>
        <c:ser>
          <c:idx val="13"/>
          <c:order val="13"/>
          <c:tx>
            <c:strRef>
              <c:f>Highest_follower_gain!$A$29</c:f>
              <c:strCache>
                <c:ptCount val="1"/>
                <c:pt idx="0">
                  <c:v>09-12-2024</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Highest_follower_gain!$B$29</c:f>
              <c:numCache>
                <c:formatCode>0</c:formatCode>
                <c:ptCount val="1"/>
                <c:pt idx="0">
                  <c:v>4792</c:v>
                </c:pt>
              </c:numCache>
            </c:numRef>
          </c:val>
          <c:extLst>
            <c:ext xmlns:c16="http://schemas.microsoft.com/office/drawing/2014/chart" uri="{C3380CC4-5D6E-409C-BE32-E72D297353CC}">
              <c16:uniqueId val="{0000000D-4AF6-4905-AB79-AD61392B687A}"/>
            </c:ext>
          </c:extLst>
        </c:ser>
        <c:ser>
          <c:idx val="14"/>
          <c:order val="14"/>
          <c:tx>
            <c:strRef>
              <c:f>Highest_follower_gain!$A$30</c:f>
              <c:strCache>
                <c:ptCount val="1"/>
                <c:pt idx="0">
                  <c:v>16-12-2024</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Highest_follower_gain!$B$30</c:f>
              <c:numCache>
                <c:formatCode>0</c:formatCode>
                <c:ptCount val="1"/>
                <c:pt idx="0">
                  <c:v>5044</c:v>
                </c:pt>
              </c:numCache>
            </c:numRef>
          </c:val>
          <c:extLst>
            <c:ext xmlns:c16="http://schemas.microsoft.com/office/drawing/2014/chart" uri="{C3380CC4-5D6E-409C-BE32-E72D297353CC}">
              <c16:uniqueId val="{0000000E-4AF6-4905-AB79-AD61392B687A}"/>
            </c:ext>
          </c:extLst>
        </c:ser>
        <c:ser>
          <c:idx val="15"/>
          <c:order val="15"/>
          <c:tx>
            <c:strRef>
              <c:f>Highest_follower_gain!$A$31</c:f>
              <c:strCache>
                <c:ptCount val="1"/>
                <c:pt idx="0">
                  <c:v>23-12-2024</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Highest_follower_gain!$B$31</c:f>
            </c:numRef>
          </c:val>
          <c:extLst>
            <c:ext xmlns:c16="http://schemas.microsoft.com/office/drawing/2014/chart" uri="{C3380CC4-5D6E-409C-BE32-E72D297353CC}">
              <c16:uniqueId val="{0000000F-4AF6-4905-AB79-AD61392B687A}"/>
            </c:ext>
          </c:extLst>
        </c:ser>
        <c:ser>
          <c:idx val="16"/>
          <c:order val="16"/>
          <c:tx>
            <c:strRef>
              <c:f>Highest_follower_gain!$A$32</c:f>
              <c:strCache>
                <c:ptCount val="1"/>
                <c:pt idx="0">
                  <c:v>30-12-2024</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Highest_follower_gain!$B$32</c:f>
              <c:numCache>
                <c:formatCode>0</c:formatCode>
                <c:ptCount val="1"/>
                <c:pt idx="0">
                  <c:v>6530</c:v>
                </c:pt>
              </c:numCache>
            </c:numRef>
          </c:val>
          <c:extLst>
            <c:ext xmlns:c16="http://schemas.microsoft.com/office/drawing/2014/chart" uri="{C3380CC4-5D6E-409C-BE32-E72D297353CC}">
              <c16:uniqueId val="{00000010-4AF6-4905-AB79-AD61392B687A}"/>
            </c:ext>
          </c:extLst>
        </c:ser>
        <c:ser>
          <c:idx val="17"/>
          <c:order val="17"/>
          <c:tx>
            <c:strRef>
              <c:f>Highest_follower_gain!$A$33</c:f>
              <c:strCache>
                <c:ptCount val="1"/>
                <c:pt idx="0">
                  <c:v>06-01-2025</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Highest_follower_gain!$B$33</c:f>
            </c:numRef>
          </c:val>
          <c:extLst>
            <c:ext xmlns:c16="http://schemas.microsoft.com/office/drawing/2014/chart" uri="{C3380CC4-5D6E-409C-BE32-E72D297353CC}">
              <c16:uniqueId val="{00000011-4AF6-4905-AB79-AD61392B687A}"/>
            </c:ext>
          </c:extLst>
        </c:ser>
        <c:ser>
          <c:idx val="18"/>
          <c:order val="18"/>
          <c:tx>
            <c:strRef>
              <c:f>Highest_follower_gain!$A$34</c:f>
              <c:strCache>
                <c:ptCount val="1"/>
                <c:pt idx="0">
                  <c:v>13-01-2025</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Highest_follower_gain!$B$34</c:f>
            </c:numRef>
          </c:val>
          <c:extLst>
            <c:ext xmlns:c16="http://schemas.microsoft.com/office/drawing/2014/chart" uri="{C3380CC4-5D6E-409C-BE32-E72D297353CC}">
              <c16:uniqueId val="{00000012-4AF6-4905-AB79-AD61392B687A}"/>
            </c:ext>
          </c:extLst>
        </c:ser>
        <c:ser>
          <c:idx val="19"/>
          <c:order val="19"/>
          <c:tx>
            <c:strRef>
              <c:f>Highest_follower_gain!$A$35</c:f>
              <c:strCache>
                <c:ptCount val="1"/>
                <c:pt idx="0">
                  <c:v>20-01-2025</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Highest_follower_gain!$B$35</c:f>
            </c:numRef>
          </c:val>
          <c:extLst>
            <c:ext xmlns:c16="http://schemas.microsoft.com/office/drawing/2014/chart" uri="{C3380CC4-5D6E-409C-BE32-E72D297353CC}">
              <c16:uniqueId val="{00000013-4AF6-4905-AB79-AD61392B687A}"/>
            </c:ext>
          </c:extLst>
        </c:ser>
        <c:ser>
          <c:idx val="20"/>
          <c:order val="20"/>
          <c:tx>
            <c:strRef>
              <c:f>Highest_follower_gain!$A$36</c:f>
              <c:strCache>
                <c:ptCount val="1"/>
                <c:pt idx="0">
                  <c:v>27-01-2025</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Highest_follower_gain!$B$36</c:f>
            </c:numRef>
          </c:val>
          <c:extLst>
            <c:ext xmlns:c16="http://schemas.microsoft.com/office/drawing/2014/chart" uri="{C3380CC4-5D6E-409C-BE32-E72D297353CC}">
              <c16:uniqueId val="{00000014-4AF6-4905-AB79-AD61392B687A}"/>
            </c:ext>
          </c:extLst>
        </c:ser>
        <c:ser>
          <c:idx val="21"/>
          <c:order val="21"/>
          <c:tx>
            <c:strRef>
              <c:f>Highest_follower_gain!$A$37</c:f>
              <c:strCache>
                <c:ptCount val="1"/>
                <c:pt idx="0">
                  <c:v>03-02-2025</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Highest_follower_gain!$B$37</c:f>
            </c:numRef>
          </c:val>
          <c:extLst>
            <c:ext xmlns:c16="http://schemas.microsoft.com/office/drawing/2014/chart" uri="{C3380CC4-5D6E-409C-BE32-E72D297353CC}">
              <c16:uniqueId val="{00000015-4AF6-4905-AB79-AD61392B687A}"/>
            </c:ext>
          </c:extLst>
        </c:ser>
        <c:ser>
          <c:idx val="22"/>
          <c:order val="22"/>
          <c:tx>
            <c:strRef>
              <c:f>Highest_follower_gain!$A$38</c:f>
              <c:strCache>
                <c:ptCount val="1"/>
                <c:pt idx="0">
                  <c:v>10-02-2025</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Highest_follower_gain!$B$38</c:f>
              <c:numCache>
                <c:formatCode>0</c:formatCode>
                <c:ptCount val="1"/>
                <c:pt idx="0">
                  <c:v>5281</c:v>
                </c:pt>
              </c:numCache>
            </c:numRef>
          </c:val>
          <c:extLst>
            <c:ext xmlns:c16="http://schemas.microsoft.com/office/drawing/2014/chart" uri="{C3380CC4-5D6E-409C-BE32-E72D297353CC}">
              <c16:uniqueId val="{00000016-4AF6-4905-AB79-AD61392B687A}"/>
            </c:ext>
          </c:extLst>
        </c:ser>
        <c:ser>
          <c:idx val="23"/>
          <c:order val="23"/>
          <c:tx>
            <c:strRef>
              <c:f>Highest_follower_gain!$A$39</c:f>
              <c:strCache>
                <c:ptCount val="1"/>
                <c:pt idx="0">
                  <c:v>17-02-2025</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Highest_follower_gain!$B$39</c:f>
            </c:numRef>
          </c:val>
          <c:extLst>
            <c:ext xmlns:c16="http://schemas.microsoft.com/office/drawing/2014/chart" uri="{C3380CC4-5D6E-409C-BE32-E72D297353CC}">
              <c16:uniqueId val="{00000017-4AF6-4905-AB79-AD61392B687A}"/>
            </c:ext>
          </c:extLst>
        </c:ser>
        <c:ser>
          <c:idx val="24"/>
          <c:order val="24"/>
          <c:tx>
            <c:strRef>
              <c:f>Highest_follower_gain!$A$40</c:f>
              <c:strCache>
                <c:ptCount val="1"/>
                <c:pt idx="0">
                  <c:v>24-02-2025</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Highest_follower_gain!$B$40</c:f>
              <c:numCache>
                <c:formatCode>0</c:formatCode>
                <c:ptCount val="1"/>
                <c:pt idx="0">
                  <c:v>4806</c:v>
                </c:pt>
              </c:numCache>
            </c:numRef>
          </c:val>
          <c:extLst>
            <c:ext xmlns:c16="http://schemas.microsoft.com/office/drawing/2014/chart" uri="{C3380CC4-5D6E-409C-BE32-E72D297353CC}">
              <c16:uniqueId val="{00000018-4AF6-4905-AB79-AD61392B687A}"/>
            </c:ext>
          </c:extLst>
        </c:ser>
        <c:ser>
          <c:idx val="25"/>
          <c:order val="25"/>
          <c:tx>
            <c:strRef>
              <c:f>Highest_follower_gain!$A$41</c:f>
              <c:strCache>
                <c:ptCount val="1"/>
                <c:pt idx="0">
                  <c:v>03-03-2025</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Highest_follower_gain!$B$41</c:f>
            </c:numRef>
          </c:val>
          <c:extLst>
            <c:ext xmlns:c16="http://schemas.microsoft.com/office/drawing/2014/chart" uri="{C3380CC4-5D6E-409C-BE32-E72D297353CC}">
              <c16:uniqueId val="{00000019-4AF6-4905-AB79-AD61392B687A}"/>
            </c:ext>
          </c:extLst>
        </c:ser>
        <c:ser>
          <c:idx val="26"/>
          <c:order val="26"/>
          <c:tx>
            <c:strRef>
              <c:f>Highest_follower_gain!$A$42</c:f>
              <c:strCache>
                <c:ptCount val="1"/>
                <c:pt idx="0">
                  <c:v>10-03-2025</c:v>
                </c:pt>
              </c:strCache>
            </c:strRef>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Highest_follower_gain!$B$42</c:f>
            </c:numRef>
          </c:val>
          <c:extLst>
            <c:ext xmlns:c16="http://schemas.microsoft.com/office/drawing/2014/chart" uri="{C3380CC4-5D6E-409C-BE32-E72D297353CC}">
              <c16:uniqueId val="{0000001A-4AF6-4905-AB79-AD61392B687A}"/>
            </c:ext>
          </c:extLst>
        </c:ser>
        <c:ser>
          <c:idx val="27"/>
          <c:order val="27"/>
          <c:tx>
            <c:strRef>
              <c:f>Highest_follower_gain!$A$43</c:f>
              <c:strCache>
                <c:ptCount val="1"/>
                <c:pt idx="0">
                  <c:v>17-03-2025</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Highest_follower_gain!$B$43</c:f>
            </c:numRef>
          </c:val>
          <c:extLst>
            <c:ext xmlns:c16="http://schemas.microsoft.com/office/drawing/2014/chart" uri="{C3380CC4-5D6E-409C-BE32-E72D297353CC}">
              <c16:uniqueId val="{0000001B-4AF6-4905-AB79-AD61392B687A}"/>
            </c:ext>
          </c:extLst>
        </c:ser>
        <c:ser>
          <c:idx val="28"/>
          <c:order val="28"/>
          <c:tx>
            <c:strRef>
              <c:f>Highest_follower_gain!$A$44</c:f>
              <c:strCache>
                <c:ptCount val="1"/>
                <c:pt idx="0">
                  <c:v>24-03-2025</c:v>
                </c:pt>
              </c:strCache>
            </c:strRef>
          </c:tx>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Highest_follower_gain!$B$44</c:f>
            </c:numRef>
          </c:val>
          <c:extLst>
            <c:ext xmlns:c16="http://schemas.microsoft.com/office/drawing/2014/chart" uri="{C3380CC4-5D6E-409C-BE32-E72D297353CC}">
              <c16:uniqueId val="{0000001C-4AF6-4905-AB79-AD61392B687A}"/>
            </c:ext>
          </c:extLst>
        </c:ser>
        <c:ser>
          <c:idx val="29"/>
          <c:order val="29"/>
          <c:tx>
            <c:strRef>
              <c:f>Highest_follower_gain!$A$45</c:f>
              <c:strCache>
                <c:ptCount val="1"/>
                <c:pt idx="0">
                  <c:v>31-03-2025</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Highest_follower_gain!$B$45</c:f>
            </c:numRef>
          </c:val>
          <c:extLst>
            <c:ext xmlns:c16="http://schemas.microsoft.com/office/drawing/2014/chart" uri="{C3380CC4-5D6E-409C-BE32-E72D297353CC}">
              <c16:uniqueId val="{0000001D-4AF6-4905-AB79-AD61392B687A}"/>
            </c:ext>
          </c:extLst>
        </c:ser>
        <c:ser>
          <c:idx val="30"/>
          <c:order val="30"/>
          <c:tx>
            <c:strRef>
              <c:f>Highest_follower_gain!$A$46</c:f>
              <c:strCache>
                <c:ptCount val="1"/>
                <c:pt idx="0">
                  <c:v>07-04-2025</c:v>
                </c:pt>
              </c:strCache>
            </c:strRef>
          </c:tx>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Highest_follower_gain!$B$46</c:f>
            </c:numRef>
          </c:val>
          <c:extLst>
            <c:ext xmlns:c16="http://schemas.microsoft.com/office/drawing/2014/chart" uri="{C3380CC4-5D6E-409C-BE32-E72D297353CC}">
              <c16:uniqueId val="{0000001E-4AF6-4905-AB79-AD61392B687A}"/>
            </c:ext>
          </c:extLst>
        </c:ser>
        <c:ser>
          <c:idx val="31"/>
          <c:order val="31"/>
          <c:tx>
            <c:strRef>
              <c:f>Highest_follower_gain!$A$47</c:f>
              <c:strCache>
                <c:ptCount val="1"/>
                <c:pt idx="0">
                  <c:v>14-04-2025</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Highest_follower_gain!$B$47</c:f>
            </c:numRef>
          </c:val>
          <c:extLst>
            <c:ext xmlns:c16="http://schemas.microsoft.com/office/drawing/2014/chart" uri="{C3380CC4-5D6E-409C-BE32-E72D297353CC}">
              <c16:uniqueId val="{0000001F-4AF6-4905-AB79-AD61392B687A}"/>
            </c:ext>
          </c:extLst>
        </c:ser>
        <c:ser>
          <c:idx val="32"/>
          <c:order val="32"/>
          <c:tx>
            <c:strRef>
              <c:f>Highest_follower_gain!$A$48</c:f>
              <c:strCache>
                <c:ptCount val="1"/>
                <c:pt idx="0">
                  <c:v>21-04-2025</c:v>
                </c:pt>
              </c:strCache>
            </c:strRef>
          </c:tx>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Highest_follower_gain!$B$48</c:f>
            </c:numRef>
          </c:val>
          <c:extLst>
            <c:ext xmlns:c16="http://schemas.microsoft.com/office/drawing/2014/chart" uri="{C3380CC4-5D6E-409C-BE32-E72D297353CC}">
              <c16:uniqueId val="{00000020-4AF6-4905-AB79-AD61392B687A}"/>
            </c:ext>
          </c:extLst>
        </c:ser>
        <c:ser>
          <c:idx val="33"/>
          <c:order val="33"/>
          <c:tx>
            <c:strRef>
              <c:f>Highest_follower_gain!$A$49</c:f>
              <c:strCache>
                <c:ptCount val="1"/>
                <c:pt idx="0">
                  <c:v>28-04-2025</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Highest_follower_gain!$B$49</c:f>
            </c:numRef>
          </c:val>
          <c:extLst>
            <c:ext xmlns:c16="http://schemas.microsoft.com/office/drawing/2014/chart" uri="{C3380CC4-5D6E-409C-BE32-E72D297353CC}">
              <c16:uniqueId val="{00000021-4AF6-4905-AB79-AD61392B687A}"/>
            </c:ext>
          </c:extLst>
        </c:ser>
        <c:ser>
          <c:idx val="34"/>
          <c:order val="34"/>
          <c:tx>
            <c:strRef>
              <c:f>Highest_follower_gain!$A$50</c:f>
              <c:strCache>
                <c:ptCount val="1"/>
                <c:pt idx="0">
                  <c:v>05-05-2025</c:v>
                </c:pt>
              </c:strCache>
            </c:strRef>
          </c:tx>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Highest_follower_gain!$B$50</c:f>
              <c:numCache>
                <c:formatCode>0</c:formatCode>
                <c:ptCount val="1"/>
                <c:pt idx="0">
                  <c:v>4594</c:v>
                </c:pt>
              </c:numCache>
            </c:numRef>
          </c:val>
          <c:extLst>
            <c:ext xmlns:c16="http://schemas.microsoft.com/office/drawing/2014/chart" uri="{C3380CC4-5D6E-409C-BE32-E72D297353CC}">
              <c16:uniqueId val="{00000022-4AF6-4905-AB79-AD61392B687A}"/>
            </c:ext>
          </c:extLst>
        </c:ser>
        <c:dLbls>
          <c:showLegendKey val="0"/>
          <c:showVal val="0"/>
          <c:showCatName val="0"/>
          <c:showSerName val="0"/>
          <c:showPercent val="0"/>
          <c:showBubbleSize val="0"/>
        </c:dLbls>
        <c:gapWidth val="100"/>
        <c:overlap val="-24"/>
        <c:axId val="824370672"/>
        <c:axId val="824370192"/>
      </c:barChart>
      <c:catAx>
        <c:axId val="824370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4370192"/>
        <c:crosses val="autoZero"/>
        <c:auto val="1"/>
        <c:lblAlgn val="ctr"/>
        <c:lblOffset val="100"/>
        <c:noMultiLvlLbl val="0"/>
      </c:catAx>
      <c:valAx>
        <c:axId val="82437019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4370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[Social_Media_Analytics_Dataset.xlsx]Platform_wise_Growth!PivotTable1</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Platform_wise_Growth!$B$3:$B$4</c:f>
              <c:strCache>
                <c:ptCount val="1"/>
                <c:pt idx="0">
                  <c:v>Facebook</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Platform_wise_Growth!$A$5:$A$55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Platform_wise_Growth!$B$5:$B$55</c:f>
              <c:numCache>
                <c:formatCode>0</c:formatCode>
                <c:ptCount val="50"/>
                <c:pt idx="0">
                  <c:v>1002</c:v>
                </c:pt>
                <c:pt idx="1">
                  <c:v>1283</c:v>
                </c:pt>
                <c:pt idx="2">
                  <c:v>1382</c:v>
                </c:pt>
                <c:pt idx="3">
                  <c:v>1670</c:v>
                </c:pt>
                <c:pt idx="4">
                  <c:v>64</c:v>
                </c:pt>
                <c:pt idx="5">
                  <c:v>309</c:v>
                </c:pt>
                <c:pt idx="6">
                  <c:v>-164</c:v>
                </c:pt>
                <c:pt idx="7">
                  <c:v>961</c:v>
                </c:pt>
                <c:pt idx="8">
                  <c:v>-318</c:v>
                </c:pt>
                <c:pt idx="9">
                  <c:v>-197</c:v>
                </c:pt>
                <c:pt idx="10">
                  <c:v>1334</c:v>
                </c:pt>
                <c:pt idx="11">
                  <c:v>1058</c:v>
                </c:pt>
                <c:pt idx="12">
                  <c:v>37</c:v>
                </c:pt>
                <c:pt idx="13">
                  <c:v>1045</c:v>
                </c:pt>
                <c:pt idx="14">
                  <c:v>1428</c:v>
                </c:pt>
                <c:pt idx="15">
                  <c:v>98</c:v>
                </c:pt>
                <c:pt idx="16">
                  <c:v>-19</c:v>
                </c:pt>
                <c:pt idx="17">
                  <c:v>-179</c:v>
                </c:pt>
                <c:pt idx="18">
                  <c:v>1662</c:v>
                </c:pt>
                <c:pt idx="19">
                  <c:v>285</c:v>
                </c:pt>
                <c:pt idx="20">
                  <c:v>439</c:v>
                </c:pt>
                <c:pt idx="21">
                  <c:v>386</c:v>
                </c:pt>
                <c:pt idx="22">
                  <c:v>540</c:v>
                </c:pt>
                <c:pt idx="23">
                  <c:v>-106</c:v>
                </c:pt>
                <c:pt idx="24">
                  <c:v>72</c:v>
                </c:pt>
                <c:pt idx="25">
                  <c:v>1332</c:v>
                </c:pt>
                <c:pt idx="26">
                  <c:v>1706</c:v>
                </c:pt>
                <c:pt idx="27">
                  <c:v>1373</c:v>
                </c:pt>
                <c:pt idx="28">
                  <c:v>1377</c:v>
                </c:pt>
                <c:pt idx="29">
                  <c:v>730</c:v>
                </c:pt>
                <c:pt idx="30">
                  <c:v>1776</c:v>
                </c:pt>
                <c:pt idx="31">
                  <c:v>620</c:v>
                </c:pt>
                <c:pt idx="32">
                  <c:v>298</c:v>
                </c:pt>
                <c:pt idx="33">
                  <c:v>427</c:v>
                </c:pt>
                <c:pt idx="34">
                  <c:v>898</c:v>
                </c:pt>
                <c:pt idx="35">
                  <c:v>748</c:v>
                </c:pt>
                <c:pt idx="36">
                  <c:v>912</c:v>
                </c:pt>
                <c:pt idx="37">
                  <c:v>1590</c:v>
                </c:pt>
                <c:pt idx="38">
                  <c:v>1707</c:v>
                </c:pt>
                <c:pt idx="39">
                  <c:v>-119</c:v>
                </c:pt>
                <c:pt idx="40">
                  <c:v>908</c:v>
                </c:pt>
                <c:pt idx="41">
                  <c:v>1116</c:v>
                </c:pt>
                <c:pt idx="42">
                  <c:v>474</c:v>
                </c:pt>
                <c:pt idx="43">
                  <c:v>514</c:v>
                </c:pt>
                <c:pt idx="44">
                  <c:v>1029</c:v>
                </c:pt>
                <c:pt idx="45">
                  <c:v>-175</c:v>
                </c:pt>
                <c:pt idx="46">
                  <c:v>1045</c:v>
                </c:pt>
                <c:pt idx="47">
                  <c:v>453</c:v>
                </c:pt>
                <c:pt idx="48">
                  <c:v>339</c:v>
                </c:pt>
                <c:pt idx="49">
                  <c:v>407</c:v>
                </c:pt>
              </c:numCache>
            </c:numRef>
          </c:val>
          <c:smooth val="0"/>
          <c:extLst>
            <c:ext xmlns:c16="http://schemas.microsoft.com/office/drawing/2014/chart" uri="{C3380CC4-5D6E-409C-BE32-E72D297353CC}">
              <c16:uniqueId val="{00000000-0B3E-429C-B0BF-7BE83D69ED69}"/>
            </c:ext>
          </c:extLst>
        </c:ser>
        <c:ser>
          <c:idx val="1"/>
          <c:order val="1"/>
          <c:tx>
            <c:strRef>
              <c:f>Platform_wise_Growth!$C$3:$C$4</c:f>
              <c:strCache>
                <c:ptCount val="1"/>
                <c:pt idx="0">
                  <c:v>Instagram</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Platform_wise_Growth!$A$5:$A$55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Platform_wise_Growth!$C$5:$C$55</c:f>
              <c:numCache>
                <c:formatCode>0</c:formatCode>
                <c:ptCount val="50"/>
                <c:pt idx="0">
                  <c:v>1047</c:v>
                </c:pt>
                <c:pt idx="1">
                  <c:v>517</c:v>
                </c:pt>
                <c:pt idx="2">
                  <c:v>893</c:v>
                </c:pt>
                <c:pt idx="3">
                  <c:v>629</c:v>
                </c:pt>
                <c:pt idx="4">
                  <c:v>-219</c:v>
                </c:pt>
                <c:pt idx="5">
                  <c:v>1672</c:v>
                </c:pt>
                <c:pt idx="6">
                  <c:v>1845</c:v>
                </c:pt>
                <c:pt idx="7">
                  <c:v>159</c:v>
                </c:pt>
                <c:pt idx="8">
                  <c:v>541</c:v>
                </c:pt>
                <c:pt idx="9">
                  <c:v>352</c:v>
                </c:pt>
                <c:pt idx="10">
                  <c:v>1325</c:v>
                </c:pt>
                <c:pt idx="11">
                  <c:v>76</c:v>
                </c:pt>
                <c:pt idx="12">
                  <c:v>1609</c:v>
                </c:pt>
                <c:pt idx="13">
                  <c:v>1247</c:v>
                </c:pt>
                <c:pt idx="14">
                  <c:v>1572</c:v>
                </c:pt>
                <c:pt idx="15">
                  <c:v>377</c:v>
                </c:pt>
                <c:pt idx="16">
                  <c:v>666</c:v>
                </c:pt>
                <c:pt idx="17">
                  <c:v>1025</c:v>
                </c:pt>
                <c:pt idx="18">
                  <c:v>1872</c:v>
                </c:pt>
                <c:pt idx="19">
                  <c:v>1224</c:v>
                </c:pt>
                <c:pt idx="20">
                  <c:v>262</c:v>
                </c:pt>
                <c:pt idx="21">
                  <c:v>576</c:v>
                </c:pt>
                <c:pt idx="22">
                  <c:v>1397</c:v>
                </c:pt>
                <c:pt idx="23">
                  <c:v>902</c:v>
                </c:pt>
                <c:pt idx="24">
                  <c:v>-49</c:v>
                </c:pt>
                <c:pt idx="25">
                  <c:v>1693</c:v>
                </c:pt>
                <c:pt idx="26">
                  <c:v>1625</c:v>
                </c:pt>
                <c:pt idx="27">
                  <c:v>1119</c:v>
                </c:pt>
                <c:pt idx="28">
                  <c:v>1432</c:v>
                </c:pt>
                <c:pt idx="29">
                  <c:v>684</c:v>
                </c:pt>
                <c:pt idx="30">
                  <c:v>1765</c:v>
                </c:pt>
                <c:pt idx="31">
                  <c:v>903</c:v>
                </c:pt>
                <c:pt idx="32">
                  <c:v>1722</c:v>
                </c:pt>
                <c:pt idx="33">
                  <c:v>1572</c:v>
                </c:pt>
                <c:pt idx="34">
                  <c:v>-166</c:v>
                </c:pt>
                <c:pt idx="35">
                  <c:v>1080</c:v>
                </c:pt>
                <c:pt idx="36">
                  <c:v>1723</c:v>
                </c:pt>
                <c:pt idx="37">
                  <c:v>965</c:v>
                </c:pt>
                <c:pt idx="38">
                  <c:v>1375</c:v>
                </c:pt>
                <c:pt idx="39">
                  <c:v>1315</c:v>
                </c:pt>
                <c:pt idx="40">
                  <c:v>212</c:v>
                </c:pt>
                <c:pt idx="41">
                  <c:v>680</c:v>
                </c:pt>
                <c:pt idx="42">
                  <c:v>461</c:v>
                </c:pt>
                <c:pt idx="43">
                  <c:v>641</c:v>
                </c:pt>
                <c:pt idx="44">
                  <c:v>167</c:v>
                </c:pt>
                <c:pt idx="45">
                  <c:v>-160</c:v>
                </c:pt>
                <c:pt idx="46">
                  <c:v>603</c:v>
                </c:pt>
                <c:pt idx="47">
                  <c:v>1539</c:v>
                </c:pt>
                <c:pt idx="48">
                  <c:v>1881</c:v>
                </c:pt>
                <c:pt idx="49">
                  <c:v>1656</c:v>
                </c:pt>
              </c:numCache>
            </c:numRef>
          </c:val>
          <c:smooth val="0"/>
          <c:extLst>
            <c:ext xmlns:c16="http://schemas.microsoft.com/office/drawing/2014/chart" uri="{C3380CC4-5D6E-409C-BE32-E72D297353CC}">
              <c16:uniqueId val="{00000017-EEE0-4A07-966D-4D087ECA0485}"/>
            </c:ext>
          </c:extLst>
        </c:ser>
        <c:ser>
          <c:idx val="2"/>
          <c:order val="2"/>
          <c:tx>
            <c:strRef>
              <c:f>Platform_wise_Growth!$D$3:$D$4</c:f>
              <c:strCache>
                <c:ptCount val="1"/>
                <c:pt idx="0">
                  <c:v>Twitter</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Platform_wise_Growth!$A$5:$A$55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Platform_wise_Growth!$D$5:$D$55</c:f>
              <c:numCache>
                <c:formatCode>0</c:formatCode>
                <c:ptCount val="50"/>
                <c:pt idx="0">
                  <c:v>415</c:v>
                </c:pt>
                <c:pt idx="1">
                  <c:v>186</c:v>
                </c:pt>
                <c:pt idx="2">
                  <c:v>1295</c:v>
                </c:pt>
                <c:pt idx="3">
                  <c:v>835</c:v>
                </c:pt>
                <c:pt idx="4">
                  <c:v>1357</c:v>
                </c:pt>
                <c:pt idx="5">
                  <c:v>547</c:v>
                </c:pt>
                <c:pt idx="6">
                  <c:v>429</c:v>
                </c:pt>
                <c:pt idx="7">
                  <c:v>1316</c:v>
                </c:pt>
                <c:pt idx="8">
                  <c:v>1495</c:v>
                </c:pt>
                <c:pt idx="9">
                  <c:v>328</c:v>
                </c:pt>
                <c:pt idx="10">
                  <c:v>37</c:v>
                </c:pt>
                <c:pt idx="11">
                  <c:v>1665</c:v>
                </c:pt>
                <c:pt idx="12">
                  <c:v>1229</c:v>
                </c:pt>
                <c:pt idx="13">
                  <c:v>197</c:v>
                </c:pt>
                <c:pt idx="14">
                  <c:v>260</c:v>
                </c:pt>
                <c:pt idx="15">
                  <c:v>1125</c:v>
                </c:pt>
                <c:pt idx="16">
                  <c:v>1680</c:v>
                </c:pt>
                <c:pt idx="17">
                  <c:v>599</c:v>
                </c:pt>
                <c:pt idx="18">
                  <c:v>107</c:v>
                </c:pt>
                <c:pt idx="19">
                  <c:v>-20</c:v>
                </c:pt>
                <c:pt idx="20">
                  <c:v>636</c:v>
                </c:pt>
                <c:pt idx="21">
                  <c:v>37</c:v>
                </c:pt>
                <c:pt idx="22">
                  <c:v>1603</c:v>
                </c:pt>
                <c:pt idx="23">
                  <c:v>1150</c:v>
                </c:pt>
                <c:pt idx="24">
                  <c:v>445</c:v>
                </c:pt>
                <c:pt idx="25">
                  <c:v>98</c:v>
                </c:pt>
                <c:pt idx="26">
                  <c:v>1173</c:v>
                </c:pt>
                <c:pt idx="27">
                  <c:v>1727</c:v>
                </c:pt>
                <c:pt idx="28">
                  <c:v>1359</c:v>
                </c:pt>
                <c:pt idx="29">
                  <c:v>911</c:v>
                </c:pt>
                <c:pt idx="30">
                  <c:v>1529</c:v>
                </c:pt>
                <c:pt idx="31">
                  <c:v>1188</c:v>
                </c:pt>
                <c:pt idx="32">
                  <c:v>-144</c:v>
                </c:pt>
                <c:pt idx="33">
                  <c:v>891</c:v>
                </c:pt>
                <c:pt idx="34">
                  <c:v>1426</c:v>
                </c:pt>
                <c:pt idx="35">
                  <c:v>569</c:v>
                </c:pt>
                <c:pt idx="36">
                  <c:v>1202</c:v>
                </c:pt>
                <c:pt idx="37">
                  <c:v>-37</c:v>
                </c:pt>
                <c:pt idx="38">
                  <c:v>708</c:v>
                </c:pt>
                <c:pt idx="39">
                  <c:v>899</c:v>
                </c:pt>
                <c:pt idx="40">
                  <c:v>1350</c:v>
                </c:pt>
                <c:pt idx="41">
                  <c:v>861</c:v>
                </c:pt>
                <c:pt idx="42">
                  <c:v>292</c:v>
                </c:pt>
                <c:pt idx="43">
                  <c:v>1676</c:v>
                </c:pt>
                <c:pt idx="44">
                  <c:v>1007</c:v>
                </c:pt>
                <c:pt idx="45">
                  <c:v>53</c:v>
                </c:pt>
                <c:pt idx="46">
                  <c:v>759</c:v>
                </c:pt>
                <c:pt idx="47">
                  <c:v>948</c:v>
                </c:pt>
                <c:pt idx="48">
                  <c:v>1510</c:v>
                </c:pt>
                <c:pt idx="49">
                  <c:v>269</c:v>
                </c:pt>
              </c:numCache>
            </c:numRef>
          </c:val>
          <c:smooth val="0"/>
          <c:extLst>
            <c:ext xmlns:c16="http://schemas.microsoft.com/office/drawing/2014/chart" uri="{C3380CC4-5D6E-409C-BE32-E72D297353CC}">
              <c16:uniqueId val="{00000018-EEE0-4A07-966D-4D087ECA0485}"/>
            </c:ext>
          </c:extLst>
        </c:ser>
        <c:ser>
          <c:idx val="3"/>
          <c:order val="3"/>
          <c:tx>
            <c:strRef>
              <c:f>Platform_wise_Growth!$E$3:$E$4</c:f>
              <c:strCache>
                <c:ptCount val="1"/>
                <c:pt idx="0">
                  <c:v>YouTube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Platform_wise_Growth!$A$5:$A$55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Platform_wise_Growth!$E$5:$E$55</c:f>
              <c:numCache>
                <c:formatCode>0</c:formatCode>
                <c:ptCount val="50"/>
                <c:pt idx="0">
                  <c:v>1090</c:v>
                </c:pt>
                <c:pt idx="1">
                  <c:v>994</c:v>
                </c:pt>
                <c:pt idx="2">
                  <c:v>337</c:v>
                </c:pt>
                <c:pt idx="3">
                  <c:v>-123</c:v>
                </c:pt>
                <c:pt idx="4">
                  <c:v>91</c:v>
                </c:pt>
                <c:pt idx="5">
                  <c:v>514</c:v>
                </c:pt>
                <c:pt idx="6">
                  <c:v>160</c:v>
                </c:pt>
                <c:pt idx="7">
                  <c:v>317</c:v>
                </c:pt>
                <c:pt idx="8">
                  <c:v>475</c:v>
                </c:pt>
                <c:pt idx="9">
                  <c:v>319</c:v>
                </c:pt>
                <c:pt idx="10">
                  <c:v>1032</c:v>
                </c:pt>
                <c:pt idx="11">
                  <c:v>190</c:v>
                </c:pt>
                <c:pt idx="12">
                  <c:v>28</c:v>
                </c:pt>
                <c:pt idx="13">
                  <c:v>333</c:v>
                </c:pt>
                <c:pt idx="14">
                  <c:v>1100</c:v>
                </c:pt>
                <c:pt idx="15">
                  <c:v>-32</c:v>
                </c:pt>
                <c:pt idx="16">
                  <c:v>1006</c:v>
                </c:pt>
                <c:pt idx="17">
                  <c:v>1706</c:v>
                </c:pt>
                <c:pt idx="18">
                  <c:v>118</c:v>
                </c:pt>
                <c:pt idx="19">
                  <c:v>367</c:v>
                </c:pt>
                <c:pt idx="20">
                  <c:v>1484</c:v>
                </c:pt>
                <c:pt idx="21">
                  <c:v>1657</c:v>
                </c:pt>
                <c:pt idx="22">
                  <c:v>1044</c:v>
                </c:pt>
                <c:pt idx="23">
                  <c:v>349</c:v>
                </c:pt>
                <c:pt idx="24">
                  <c:v>60</c:v>
                </c:pt>
                <c:pt idx="25">
                  <c:v>885</c:v>
                </c:pt>
                <c:pt idx="26">
                  <c:v>291</c:v>
                </c:pt>
                <c:pt idx="27">
                  <c:v>573</c:v>
                </c:pt>
                <c:pt idx="28">
                  <c:v>876</c:v>
                </c:pt>
                <c:pt idx="29">
                  <c:v>1589</c:v>
                </c:pt>
                <c:pt idx="30">
                  <c:v>1460</c:v>
                </c:pt>
                <c:pt idx="31">
                  <c:v>846</c:v>
                </c:pt>
                <c:pt idx="32">
                  <c:v>901</c:v>
                </c:pt>
                <c:pt idx="33">
                  <c:v>724</c:v>
                </c:pt>
                <c:pt idx="34">
                  <c:v>1225</c:v>
                </c:pt>
                <c:pt idx="35">
                  <c:v>-203</c:v>
                </c:pt>
                <c:pt idx="36">
                  <c:v>1444</c:v>
                </c:pt>
                <c:pt idx="37">
                  <c:v>1175</c:v>
                </c:pt>
                <c:pt idx="38">
                  <c:v>1016</c:v>
                </c:pt>
                <c:pt idx="39">
                  <c:v>315</c:v>
                </c:pt>
                <c:pt idx="40">
                  <c:v>1242</c:v>
                </c:pt>
                <c:pt idx="41">
                  <c:v>1385</c:v>
                </c:pt>
                <c:pt idx="42">
                  <c:v>389</c:v>
                </c:pt>
                <c:pt idx="43">
                  <c:v>1467</c:v>
                </c:pt>
                <c:pt idx="44">
                  <c:v>209</c:v>
                </c:pt>
                <c:pt idx="45">
                  <c:v>145</c:v>
                </c:pt>
                <c:pt idx="46">
                  <c:v>1633</c:v>
                </c:pt>
                <c:pt idx="47">
                  <c:v>637</c:v>
                </c:pt>
                <c:pt idx="48">
                  <c:v>864</c:v>
                </c:pt>
                <c:pt idx="49">
                  <c:v>-337</c:v>
                </c:pt>
              </c:numCache>
            </c:numRef>
          </c:val>
          <c:smooth val="0"/>
          <c:extLst>
            <c:ext xmlns:c16="http://schemas.microsoft.com/office/drawing/2014/chart" uri="{C3380CC4-5D6E-409C-BE32-E72D297353CC}">
              <c16:uniqueId val="{00000019-EEE0-4A07-966D-4D087ECA0485}"/>
            </c:ext>
          </c:extLst>
        </c:ser>
        <c:dLbls>
          <c:showLegendKey val="0"/>
          <c:showVal val="0"/>
          <c:showCatName val="0"/>
          <c:showSerName val="0"/>
          <c:showPercent val="0"/>
          <c:showBubbleSize val="0"/>
        </c:dLbls>
        <c:marker val="1"/>
        <c:smooth val="0"/>
        <c:axId val="1350352848"/>
        <c:axId val="1350353328"/>
      </c:lineChart>
      <c:catAx>
        <c:axId val="13503528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353328"/>
        <c:crosses val="autoZero"/>
        <c:auto val="1"/>
        <c:lblAlgn val="ctr"/>
        <c:lblOffset val="100"/>
        <c:noMultiLvlLbl val="0"/>
      </c:catAx>
      <c:valAx>
        <c:axId val="135035332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35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Followe</a:t>
            </a:r>
            <a:r>
              <a:rPr lang="en-US" baseline="0"/>
              <a:t>r Impact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Follower_Impact!$B$1</c:f>
              <c:strCache>
                <c:ptCount val="1"/>
                <c:pt idx="0">
                  <c:v>Empact</c:v>
                </c:pt>
              </c:strCache>
            </c:strRef>
          </c:tx>
          <c:spPr>
            <a:ln>
              <a:solidFill>
                <a:schemeClr val="tx2"/>
              </a:solidFill>
            </a:ln>
          </c:spPr>
          <c:dPt>
            <c:idx val="0"/>
            <c:bubble3D val="0"/>
            <c:explosion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565-462C-9AED-ABD3D8C78A02}"/>
              </c:ext>
            </c:extLst>
          </c:dPt>
          <c:dPt>
            <c:idx val="1"/>
            <c:bubble3D val="0"/>
            <c:explosion val="10"/>
            <c:spPr>
              <a:solidFill>
                <a:schemeClr val="accent3"/>
              </a:solidFill>
              <a:ln>
                <a:solidFill>
                  <a:schemeClr val="tx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565-462C-9AED-ABD3D8C78A02}"/>
              </c:ext>
            </c:extLst>
          </c:dPt>
          <c:dPt>
            <c:idx val="2"/>
            <c:bubble3D val="0"/>
            <c:explosion val="6"/>
            <c:spPr>
              <a:solidFill>
                <a:schemeClr val="accent6"/>
              </a:solidFill>
              <a:ln>
                <a:solidFill>
                  <a:schemeClr val="tx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565-462C-9AED-ABD3D8C78A02}"/>
              </c:ext>
            </c:extLst>
          </c:dPt>
          <c:dPt>
            <c:idx val="3"/>
            <c:bubble3D val="0"/>
            <c:explosion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565-462C-9AED-ABD3D8C78A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1"/>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Follower_Impact!$A$2:$A$6</c15:sqref>
                  </c15:fullRef>
                </c:ext>
              </c:extLst>
              <c:f>Follower_Impact!$A$2:$A$5</c:f>
              <c:strCache>
                <c:ptCount val="4"/>
                <c:pt idx="0">
                  <c:v>SummerSplash</c:v>
                </c:pt>
                <c:pt idx="1">
                  <c:v>FestiveRadiance</c:v>
                </c:pt>
                <c:pt idx="2">
                  <c:v>NewYearRefresh</c:v>
                </c:pt>
                <c:pt idx="3">
                  <c:v>DailyWellness</c:v>
                </c:pt>
              </c:strCache>
            </c:strRef>
          </c:cat>
          <c:val>
            <c:numRef>
              <c:extLst>
                <c:ext xmlns:c15="http://schemas.microsoft.com/office/drawing/2012/chart" uri="{02D57815-91ED-43cb-92C2-25804820EDAC}">
                  <c15:fullRef>
                    <c15:sqref>Follower_Impact!$B$2:$B$6</c15:sqref>
                  </c15:fullRef>
                </c:ext>
              </c:extLst>
              <c:f>Follower_Impact!$B$2:$B$5</c:f>
              <c:numCache>
                <c:formatCode>0</c:formatCode>
                <c:ptCount val="4"/>
                <c:pt idx="0">
                  <c:v>13523</c:v>
                </c:pt>
                <c:pt idx="1">
                  <c:v>109446</c:v>
                </c:pt>
                <c:pt idx="2">
                  <c:v>10087</c:v>
                </c:pt>
                <c:pt idx="3">
                  <c:v>16078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5565-462C-9AED-ABD3D8C78A02}"/>
            </c:ext>
          </c:extLst>
        </c:ser>
        <c:dLbls>
          <c:showLegendKey val="0"/>
          <c:showVal val="0"/>
          <c:showCatName val="0"/>
          <c:showSerName val="0"/>
          <c:showPercent val="0"/>
          <c:showBubbleSize val="0"/>
          <c:showLeaderLines val="1"/>
        </c:dLbls>
        <c:firstSliceAng val="107"/>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[Social_Media_Analytics_Dataset.xlsx]Growth_Rate!PivotTable6</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Growth_Rate!$B$3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Growth_Rate!$A$4:$A$8</c:f>
              <c:strCache>
                <c:ptCount val="4"/>
                <c:pt idx="0">
                  <c:v>Facebook</c:v>
                </c:pt>
                <c:pt idx="1">
                  <c:v>Instagram</c:v>
                </c:pt>
                <c:pt idx="2">
                  <c:v>Twitter</c:v>
                </c:pt>
                <c:pt idx="3">
                  <c:v>YouTube</c:v>
                </c:pt>
              </c:strCache>
            </c:strRef>
          </c:cat>
          <c:val>
            <c:numRef>
              <c:f>Growth_Rate!$B$4:$B$8</c:f>
              <c:numCache>
                <c:formatCode>0.00%</c:formatCode>
                <c:ptCount val="4"/>
                <c:pt idx="0">
                  <c:v>5.6172953917649152E-3</c:v>
                </c:pt>
                <c:pt idx="1">
                  <c:v>5.8423705678845419E-3</c:v>
                </c:pt>
                <c:pt idx="2">
                  <c:v>9.8462444971903259E-3</c:v>
                </c:pt>
                <c:pt idx="3">
                  <c:v>9.4326224481468494E-3</c:v>
                </c:pt>
              </c:numCache>
            </c:numRef>
          </c:val>
          <c:extLst>
            <c:ext xmlns:c16="http://schemas.microsoft.com/office/drawing/2014/chart" uri="{C3380CC4-5D6E-409C-BE32-E72D297353CC}">
              <c16:uniqueId val="{00000000-AF4F-4F24-AA77-5478A69D54B5}"/>
            </c:ext>
          </c:extLst>
        </c:ser>
        <c:dLbls>
          <c:showLegendKey val="0"/>
          <c:showVal val="0"/>
          <c:showCatName val="0"/>
          <c:showSerName val="0"/>
          <c:showPercent val="0"/>
          <c:showBubbleSize val="0"/>
        </c:dLbls>
        <c:gapWidth val="100"/>
        <c:overlap val="-24"/>
        <c:axId val="603294959"/>
        <c:axId val="603293999"/>
      </c:barChart>
      <c:catAx>
        <c:axId val="603294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293999"/>
        <c:crosses val="autoZero"/>
        <c:auto val="1"/>
        <c:lblAlgn val="ctr"/>
        <c:lblOffset val="100"/>
        <c:noMultiLvlLbl val="0"/>
      </c:catAx>
      <c:valAx>
        <c:axId val="6032939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29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[Social_Media_Analytics_Dataset.xlsx]Ad_Spent!PivotTable7</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8346880464757476"/>
          <c:y val="0.18563783425466338"/>
          <c:w val="0.46583636458239713"/>
          <c:h val="0.6557990878318295"/>
        </c:manualLayout>
      </c:layout>
      <c:barChart>
        <c:barDir val="col"/>
        <c:grouping val="clustered"/>
        <c:varyColors val="0"/>
        <c:ser>
          <c:idx val="0"/>
          <c:order val="0"/>
          <c:tx>
            <c:strRef>
              <c:f>Ad_Spent!$B$3</c:f>
              <c:strCache>
                <c:ptCount val="1"/>
                <c:pt idx="0">
                  <c:v>Sum of Ad_Spend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plosion val="17"/>
            <c:extLst>
              <c:ext xmlns:c16="http://schemas.microsoft.com/office/drawing/2014/chart" uri="{C3380CC4-5D6E-409C-BE32-E72D297353CC}">
                <c16:uniqueId val="{00000003-09E7-4CAC-9070-66E41903EF16}"/>
              </c:ext>
            </c:extLst>
          </c:dPt>
          <c:dPt>
            <c:idx val="1"/>
            <c:invertIfNegative val="0"/>
            <c:bubble3D val="0"/>
            <c:explosion val="11"/>
            <c:extLst>
              <c:ext xmlns:c16="http://schemas.microsoft.com/office/drawing/2014/chart" uri="{C3380CC4-5D6E-409C-BE32-E72D297353CC}">
                <c16:uniqueId val="{00000004-09E7-4CAC-9070-66E41903EF16}"/>
              </c:ext>
            </c:extLst>
          </c:dPt>
          <c:dPt>
            <c:idx val="2"/>
            <c:invertIfNegative val="0"/>
            <c:bubble3D val="0"/>
            <c:explosion val="11"/>
            <c:extLst>
              <c:ext xmlns:c16="http://schemas.microsoft.com/office/drawing/2014/chart" uri="{C3380CC4-5D6E-409C-BE32-E72D297353CC}">
                <c16:uniqueId val="{00000005-09E7-4CAC-9070-66E41903EF16}"/>
              </c:ext>
            </c:extLst>
          </c:dPt>
          <c:dPt>
            <c:idx val="3"/>
            <c:invertIfNegative val="0"/>
            <c:bubble3D val="0"/>
            <c:explosion val="14"/>
            <c:extLst>
              <c:ext xmlns:c16="http://schemas.microsoft.com/office/drawing/2014/chart" uri="{C3380CC4-5D6E-409C-BE32-E72D297353CC}">
                <c16:uniqueId val="{00000007-09E7-4CAC-9070-66E41903EF16}"/>
              </c:ext>
            </c:extLst>
          </c:dPt>
          <c:cat>
            <c:strRef>
              <c:f>Ad_Spent!$A$4:$A$8</c:f>
              <c:strCache>
                <c:ptCount val="4"/>
                <c:pt idx="0">
                  <c:v>Facebook</c:v>
                </c:pt>
                <c:pt idx="1">
                  <c:v>Instagram</c:v>
                </c:pt>
                <c:pt idx="2">
                  <c:v>Twitter</c:v>
                </c:pt>
                <c:pt idx="3">
                  <c:v>YouTube</c:v>
                </c:pt>
              </c:strCache>
            </c:strRef>
          </c:cat>
          <c:val>
            <c:numRef>
              <c:f>Ad_Spent!$B$4:$B$8</c:f>
              <c:numCache>
                <c:formatCode>"₹"\ #,##0.00</c:formatCode>
                <c:ptCount val="4"/>
                <c:pt idx="0">
                  <c:v>1379539</c:v>
                </c:pt>
                <c:pt idx="1">
                  <c:v>1164373</c:v>
                </c:pt>
                <c:pt idx="2">
                  <c:v>1060357</c:v>
                </c:pt>
                <c:pt idx="3">
                  <c:v>1228647</c:v>
                </c:pt>
              </c:numCache>
            </c:numRef>
          </c:val>
          <c:extLst>
            <c:ext xmlns:c16="http://schemas.microsoft.com/office/drawing/2014/chart" uri="{C3380CC4-5D6E-409C-BE32-E72D297353CC}">
              <c16:uniqueId val="{00000000-09E7-4CAC-9070-66E41903EF16}"/>
            </c:ext>
          </c:extLst>
        </c:ser>
        <c:dLbls>
          <c:showLegendKey val="0"/>
          <c:showVal val="0"/>
          <c:showCatName val="0"/>
          <c:showSerName val="0"/>
          <c:showPercent val="0"/>
          <c:showBubbleSize val="0"/>
        </c:dLbls>
        <c:gapWidth val="100"/>
        <c:axId val="501771760"/>
        <c:axId val="501770800"/>
      </c:barChart>
      <c:lineChart>
        <c:grouping val="standard"/>
        <c:varyColors val="0"/>
        <c:ser>
          <c:idx val="1"/>
          <c:order val="1"/>
          <c:tx>
            <c:strRef>
              <c:f>Ad_Spent!$C$3</c:f>
              <c:strCache>
                <c:ptCount val="1"/>
                <c:pt idx="0">
                  <c:v>Average of Engagement_Rate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C6B-4367-BCF4-C5AC066CD883}"/>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C6B-4367-BCF4-C5AC066CD883}"/>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C6B-4367-BCF4-C5AC066CD883}"/>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C6B-4367-BCF4-C5AC066CD883}"/>
              </c:ext>
            </c:extLst>
          </c:dPt>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C6B-4367-BCF4-C5AC066CD8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Ad_Spent!$A$4:$A$8</c:f>
              <c:strCache>
                <c:ptCount val="4"/>
                <c:pt idx="0">
                  <c:v>Facebook</c:v>
                </c:pt>
                <c:pt idx="1">
                  <c:v>Instagram</c:v>
                </c:pt>
                <c:pt idx="2">
                  <c:v>Twitter</c:v>
                </c:pt>
                <c:pt idx="3">
                  <c:v>YouTube</c:v>
                </c:pt>
              </c:strCache>
            </c:strRef>
          </c:cat>
          <c:val>
            <c:numRef>
              <c:f>Ad_Spent!$C$4:$C$8</c:f>
              <c:numCache>
                <c:formatCode>0.00</c:formatCode>
                <c:ptCount val="4"/>
                <c:pt idx="0">
                  <c:v>5.6486000000000001</c:v>
                </c:pt>
                <c:pt idx="1">
                  <c:v>5.7156000000000002</c:v>
                </c:pt>
                <c:pt idx="2">
                  <c:v>5.6558000000000002</c:v>
                </c:pt>
                <c:pt idx="3">
                  <c:v>5.5587999999999997</c:v>
                </c:pt>
              </c:numCache>
            </c:numRef>
          </c:val>
          <c:smooth val="0"/>
          <c:extLst>
            <c:ext xmlns:c16="http://schemas.microsoft.com/office/drawing/2014/chart" uri="{C3380CC4-5D6E-409C-BE32-E72D297353CC}">
              <c16:uniqueId val="{00000001-09E7-4CAC-9070-66E41903EF16}"/>
            </c:ext>
          </c:extLst>
        </c:ser>
        <c:dLbls>
          <c:showLegendKey val="0"/>
          <c:showVal val="0"/>
          <c:showCatName val="0"/>
          <c:showSerName val="0"/>
          <c:showPercent val="0"/>
          <c:showBubbleSize val="0"/>
        </c:dLbls>
        <c:marker val="1"/>
        <c:smooth val="0"/>
        <c:axId val="506712976"/>
        <c:axId val="506714896"/>
      </c:lineChart>
      <c:catAx>
        <c:axId val="501771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1770800"/>
        <c:crosses val="autoZero"/>
        <c:auto val="1"/>
        <c:lblAlgn val="ctr"/>
        <c:lblOffset val="100"/>
        <c:noMultiLvlLbl val="0"/>
      </c:catAx>
      <c:valAx>
        <c:axId val="50177080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1771760"/>
        <c:crosses val="autoZero"/>
        <c:crossBetween val="between"/>
      </c:valAx>
      <c:valAx>
        <c:axId val="50671489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712976"/>
        <c:crosses val="max"/>
        <c:crossBetween val="between"/>
      </c:valAx>
      <c:catAx>
        <c:axId val="506712976"/>
        <c:scaling>
          <c:orientation val="minMax"/>
        </c:scaling>
        <c:delete val="1"/>
        <c:axPos val="b"/>
        <c:numFmt formatCode="General" sourceLinked="1"/>
        <c:majorTickMark val="none"/>
        <c:minorTickMark val="none"/>
        <c:tickLblPos val="nextTo"/>
        <c:crossAx val="5067148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sv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9</xdr:col>
      <xdr:colOff>840153</xdr:colOff>
      <xdr:row>5</xdr:row>
      <xdr:rowOff>156309</xdr:rowOff>
    </xdr:from>
    <xdr:to>
      <xdr:col>12</xdr:col>
      <xdr:colOff>201408</xdr:colOff>
      <xdr:row>7</xdr:row>
      <xdr:rowOff>140019</xdr:rowOff>
    </xdr:to>
    <xdr:pic macro="[0]!pepsi">
      <xdr:nvPicPr>
        <xdr:cNvPr id="10" name="Picture 9">
          <a:extLst>
            <a:ext uri="{FF2B5EF4-FFF2-40B4-BE49-F238E27FC236}">
              <a16:creationId xmlns:a16="http://schemas.microsoft.com/office/drawing/2014/main" id="{E1B75A3B-0408-96F1-7CC3-8DC398F047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76307" y="1068104"/>
          <a:ext cx="1543050" cy="1543050"/>
        </a:xfrm>
        <a:prstGeom prst="rect">
          <a:avLst/>
        </a:prstGeom>
      </xdr:spPr>
    </xdr:pic>
    <xdr:clientData/>
  </xdr:twoCellAnchor>
  <xdr:twoCellAnchor editAs="oneCell">
    <xdr:from>
      <xdr:col>0</xdr:col>
      <xdr:colOff>19540</xdr:colOff>
      <xdr:row>6</xdr:row>
      <xdr:rowOff>91183</xdr:rowOff>
    </xdr:from>
    <xdr:to>
      <xdr:col>1</xdr:col>
      <xdr:colOff>599181</xdr:colOff>
      <xdr:row>7</xdr:row>
      <xdr:rowOff>28815</xdr:rowOff>
    </xdr:to>
    <xdr:pic macro="[0]!facebook">
      <xdr:nvPicPr>
        <xdr:cNvPr id="3" name="Picture 2">
          <a:extLst>
            <a:ext uri="{FF2B5EF4-FFF2-40B4-BE49-F238E27FC236}">
              <a16:creationId xmlns:a16="http://schemas.microsoft.com/office/drawing/2014/main" id="{1E280FD0-C66E-2084-06AD-87B6DAC312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540" y="1185337"/>
          <a:ext cx="1256974" cy="1314613"/>
        </a:xfrm>
        <a:prstGeom prst="rect">
          <a:avLst/>
        </a:prstGeom>
      </xdr:spPr>
    </xdr:pic>
    <xdr:clientData/>
  </xdr:twoCellAnchor>
  <xdr:twoCellAnchor editAs="oneCell">
    <xdr:from>
      <xdr:col>7</xdr:col>
      <xdr:colOff>321724</xdr:colOff>
      <xdr:row>8</xdr:row>
      <xdr:rowOff>319129</xdr:rowOff>
    </xdr:from>
    <xdr:to>
      <xdr:col>9</xdr:col>
      <xdr:colOff>177644</xdr:colOff>
      <xdr:row>9</xdr:row>
      <xdr:rowOff>32563</xdr:rowOff>
    </xdr:to>
    <xdr:pic macro="[0]!insta">
      <xdr:nvPicPr>
        <xdr:cNvPr id="5" name="Picture 4">
          <a:extLst>
            <a:ext uri="{FF2B5EF4-FFF2-40B4-BE49-F238E27FC236}">
              <a16:creationId xmlns:a16="http://schemas.microsoft.com/office/drawing/2014/main" id="{D5471C55-99AD-FEC6-C312-0C8A7EA249B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34561" y="3258272"/>
          <a:ext cx="1255512" cy="1315190"/>
        </a:xfrm>
        <a:prstGeom prst="rect">
          <a:avLst/>
        </a:prstGeom>
      </xdr:spPr>
    </xdr:pic>
    <xdr:clientData/>
  </xdr:twoCellAnchor>
  <xdr:twoCellAnchor>
    <xdr:from>
      <xdr:col>4</xdr:col>
      <xdr:colOff>345179</xdr:colOff>
      <xdr:row>7</xdr:row>
      <xdr:rowOff>397283</xdr:rowOff>
    </xdr:from>
    <xdr:to>
      <xdr:col>9</xdr:col>
      <xdr:colOff>644769</xdr:colOff>
      <xdr:row>8</xdr:row>
      <xdr:rowOff>273538</xdr:rowOff>
    </xdr:to>
    <xdr:sp macro="" textlink="">
      <xdr:nvSpPr>
        <xdr:cNvPr id="11" name="TextBox 10">
          <a:extLst>
            <a:ext uri="{FF2B5EF4-FFF2-40B4-BE49-F238E27FC236}">
              <a16:creationId xmlns:a16="http://schemas.microsoft.com/office/drawing/2014/main" id="{E572F1F7-9243-F757-3D4E-5B5F21DDB984}"/>
            </a:ext>
          </a:extLst>
        </xdr:cNvPr>
        <xdr:cNvSpPr txBox="1"/>
      </xdr:nvSpPr>
      <xdr:spPr>
        <a:xfrm>
          <a:off x="3334564" y="2780975"/>
          <a:ext cx="4246359" cy="4037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chemeClr val="bg1"/>
              </a:solidFill>
              <a:latin typeface="Algerian" panose="04020705040A02060702" pitchFamily="82" charset="0"/>
            </a:rPr>
            <a:t>Overall</a:t>
          </a:r>
          <a:r>
            <a:rPr lang="en-US" sz="2200" baseline="0">
              <a:solidFill>
                <a:schemeClr val="bg1"/>
              </a:solidFill>
              <a:latin typeface="Algerian" panose="04020705040A02060702" pitchFamily="82" charset="0"/>
            </a:rPr>
            <a:t> Engagement Rate </a:t>
          </a:r>
          <a:endParaRPr lang="en-US" sz="2200">
            <a:solidFill>
              <a:schemeClr val="bg1"/>
            </a:solidFill>
            <a:latin typeface="Algerian" panose="04020705040A02060702" pitchFamily="82" charset="0"/>
          </a:endParaRPr>
        </a:p>
      </xdr:txBody>
    </xdr:sp>
    <xdr:clientData/>
  </xdr:twoCellAnchor>
  <xdr:twoCellAnchor>
    <xdr:from>
      <xdr:col>4</xdr:col>
      <xdr:colOff>830583</xdr:colOff>
      <xdr:row>8</xdr:row>
      <xdr:rowOff>495173</xdr:rowOff>
    </xdr:from>
    <xdr:to>
      <xdr:col>7</xdr:col>
      <xdr:colOff>272608</xdr:colOff>
      <xdr:row>9</xdr:row>
      <xdr:rowOff>84863</xdr:rowOff>
    </xdr:to>
    <xdr:sp macro="" textlink="">
      <xdr:nvSpPr>
        <xdr:cNvPr id="12" name="TextBox 11">
          <a:extLst>
            <a:ext uri="{FF2B5EF4-FFF2-40B4-BE49-F238E27FC236}">
              <a16:creationId xmlns:a16="http://schemas.microsoft.com/office/drawing/2014/main" id="{59391535-E32A-0C63-90FE-EA9722F2EA0F}"/>
            </a:ext>
          </a:extLst>
        </xdr:cNvPr>
        <xdr:cNvSpPr txBox="1"/>
      </xdr:nvSpPr>
      <xdr:spPr>
        <a:xfrm>
          <a:off x="3808603" y="3434316"/>
          <a:ext cx="1976842" cy="119144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200">
              <a:solidFill>
                <a:schemeClr val="bg1"/>
              </a:solidFill>
              <a:latin typeface="Calibri" panose="020F0502020204030204" pitchFamily="34" charset="0"/>
              <a:ea typeface="Calibri" panose="020F0502020204030204" pitchFamily="34" charset="0"/>
              <a:cs typeface="Calibri" panose="020F0502020204030204" pitchFamily="34" charset="0"/>
            </a:rPr>
            <a:t>Building a loyal community and measuring content quality, Instagram is the top performer</a:t>
          </a:r>
        </a:p>
      </xdr:txBody>
    </xdr:sp>
    <xdr:clientData/>
  </xdr:twoCellAnchor>
  <xdr:twoCellAnchor>
    <xdr:from>
      <xdr:col>0</xdr:col>
      <xdr:colOff>7480</xdr:colOff>
      <xdr:row>8</xdr:row>
      <xdr:rowOff>98916</xdr:rowOff>
    </xdr:from>
    <xdr:to>
      <xdr:col>4</xdr:col>
      <xdr:colOff>1126366</xdr:colOff>
      <xdr:row>8</xdr:row>
      <xdr:rowOff>716232</xdr:rowOff>
    </xdr:to>
    <xdr:sp macro="" textlink="">
      <xdr:nvSpPr>
        <xdr:cNvPr id="14" name="TextBox 13">
          <a:extLst>
            <a:ext uri="{FF2B5EF4-FFF2-40B4-BE49-F238E27FC236}">
              <a16:creationId xmlns:a16="http://schemas.microsoft.com/office/drawing/2014/main" id="{8BF71098-5640-7E5A-546A-E2293710926A}"/>
            </a:ext>
          </a:extLst>
        </xdr:cNvPr>
        <xdr:cNvSpPr txBox="1"/>
      </xdr:nvSpPr>
      <xdr:spPr>
        <a:xfrm>
          <a:off x="7480" y="3038059"/>
          <a:ext cx="4096906" cy="61731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Algerian" panose="04020705040A02060702" pitchFamily="82" charset="0"/>
            </a:rPr>
            <a:t>Net Follower Growth</a:t>
          </a:r>
        </a:p>
      </xdr:txBody>
    </xdr:sp>
    <xdr:clientData/>
  </xdr:twoCellAnchor>
  <xdr:twoCellAnchor>
    <xdr:from>
      <xdr:col>0</xdr:col>
      <xdr:colOff>132184</xdr:colOff>
      <xdr:row>8</xdr:row>
      <xdr:rowOff>544286</xdr:rowOff>
    </xdr:from>
    <xdr:to>
      <xdr:col>3</xdr:col>
      <xdr:colOff>466530</xdr:colOff>
      <xdr:row>9</xdr:row>
      <xdr:rowOff>139959</xdr:rowOff>
    </xdr:to>
    <xdr:sp macro="" textlink="">
      <xdr:nvSpPr>
        <xdr:cNvPr id="15" name="TextBox 14">
          <a:extLst>
            <a:ext uri="{FF2B5EF4-FFF2-40B4-BE49-F238E27FC236}">
              <a16:creationId xmlns:a16="http://schemas.microsoft.com/office/drawing/2014/main" id="{F9BFF2FE-12EA-DF7F-17BF-092229FFB216}"/>
            </a:ext>
          </a:extLst>
        </xdr:cNvPr>
        <xdr:cNvSpPr txBox="1"/>
      </xdr:nvSpPr>
      <xdr:spPr>
        <a:xfrm>
          <a:off x="132184" y="3483429"/>
          <a:ext cx="2705877" cy="119742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just" defTabSz="914400" eaLnBrk="1" fontAlgn="auto" latinLnBrk="0" hangingPunct="1">
            <a:lnSpc>
              <a:spcPct val="100000"/>
            </a:lnSpc>
            <a:spcBef>
              <a:spcPts val="0"/>
            </a:spcBef>
            <a:spcAft>
              <a:spcPts val="0"/>
            </a:spcAft>
            <a:buClrTx/>
            <a:buSzTx/>
            <a:buFontTx/>
            <a:buNone/>
            <a:tabLst/>
            <a:defRPr/>
          </a:pPr>
          <a:r>
            <a:rPr lang="en-US" sz="1200">
              <a:solidFill>
                <a:schemeClr val="bg1"/>
              </a:solidFill>
            </a:rPr>
            <a:t>The campaigns contributed a net follower growth of </a:t>
          </a:r>
          <a:r>
            <a:rPr lang="en-US" sz="1400" b="1">
              <a:solidFill>
                <a:schemeClr val="bg1"/>
              </a:solidFill>
            </a:rPr>
            <a:t>149134</a:t>
          </a:r>
          <a:r>
            <a:rPr lang="en-US" sz="1200">
              <a:solidFill>
                <a:schemeClr val="bg1"/>
              </a:solidFill>
            </a:rPr>
            <a:t>, while the overall growth—including periods without active campaigns—reached </a:t>
          </a:r>
          <a:r>
            <a:rPr lang="en-US" sz="1400" b="1">
              <a:solidFill>
                <a:schemeClr val="bg1"/>
              </a:solidFill>
            </a:rPr>
            <a:t>160,105</a:t>
          </a:r>
          <a:r>
            <a:rPr lang="en-US" sz="1200">
              <a:solidFill>
                <a:schemeClr val="bg1"/>
              </a:solidFill>
            </a:rPr>
            <a:t> followers.</a:t>
          </a:r>
        </a:p>
      </xdr:txBody>
    </xdr:sp>
    <xdr:clientData/>
  </xdr:twoCellAnchor>
  <xdr:twoCellAnchor editAs="oneCell">
    <xdr:from>
      <xdr:col>3</xdr:col>
      <xdr:colOff>381000</xdr:colOff>
      <xdr:row>8</xdr:row>
      <xdr:rowOff>707572</xdr:rowOff>
    </xdr:from>
    <xdr:to>
      <xdr:col>4</xdr:col>
      <xdr:colOff>489857</xdr:colOff>
      <xdr:row>8</xdr:row>
      <xdr:rowOff>1422918</xdr:rowOff>
    </xdr:to>
    <xdr:pic macro="[0]!_xludf.Growth">
      <xdr:nvPicPr>
        <xdr:cNvPr id="17" name="Graphic 16" descr="Upward trend with solid fill">
          <a:extLst>
            <a:ext uri="{FF2B5EF4-FFF2-40B4-BE49-F238E27FC236}">
              <a16:creationId xmlns:a16="http://schemas.microsoft.com/office/drawing/2014/main" id="{A306D931-0171-0983-CBE8-61F8E64A4BD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52531" y="3646715"/>
          <a:ext cx="715346" cy="715346"/>
        </a:xfrm>
        <a:prstGeom prst="rect">
          <a:avLst/>
        </a:prstGeom>
      </xdr:spPr>
    </xdr:pic>
    <xdr:clientData/>
  </xdr:twoCellAnchor>
  <xdr:twoCellAnchor>
    <xdr:from>
      <xdr:col>7</xdr:col>
      <xdr:colOff>182104</xdr:colOff>
      <xdr:row>8</xdr:row>
      <xdr:rowOff>1588410</xdr:rowOff>
    </xdr:from>
    <xdr:to>
      <xdr:col>9</xdr:col>
      <xdr:colOff>759354</xdr:colOff>
      <xdr:row>17</xdr:row>
      <xdr:rowOff>112855</xdr:rowOff>
    </xdr:to>
    <xdr:sp macro="" textlink="">
      <xdr:nvSpPr>
        <xdr:cNvPr id="18" name="TextBox 17">
          <a:extLst>
            <a:ext uri="{FF2B5EF4-FFF2-40B4-BE49-F238E27FC236}">
              <a16:creationId xmlns:a16="http://schemas.microsoft.com/office/drawing/2014/main" id="{BA8C955F-4612-453D-818F-CCBDCEDAB16A}"/>
            </a:ext>
          </a:extLst>
        </xdr:cNvPr>
        <xdr:cNvSpPr txBox="1"/>
      </xdr:nvSpPr>
      <xdr:spPr>
        <a:xfrm>
          <a:off x="5694941" y="4527553"/>
          <a:ext cx="1976842" cy="119144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2000">
              <a:solidFill>
                <a:schemeClr val="bg1"/>
              </a:solidFill>
              <a:latin typeface="Algerian" panose="04020705040A02060702" pitchFamily="82" charset="0"/>
              <a:ea typeface="Calibri" panose="020F0502020204030204" pitchFamily="34" charset="0"/>
              <a:cs typeface="Calibri" panose="020F0502020204030204" pitchFamily="34" charset="0"/>
            </a:rPr>
            <a:t>Instagram</a:t>
          </a:r>
        </a:p>
      </xdr:txBody>
    </xdr:sp>
    <xdr:clientData/>
  </xdr:twoCellAnchor>
  <xdr:twoCellAnchor>
    <xdr:from>
      <xdr:col>0</xdr:col>
      <xdr:colOff>0</xdr:colOff>
      <xdr:row>17</xdr:row>
      <xdr:rowOff>163286</xdr:rowOff>
    </xdr:from>
    <xdr:to>
      <xdr:col>10</xdr:col>
      <xdr:colOff>147735</xdr:colOff>
      <xdr:row>22</xdr:row>
      <xdr:rowOff>69980</xdr:rowOff>
    </xdr:to>
    <xdr:sp macro="" textlink="">
      <xdr:nvSpPr>
        <xdr:cNvPr id="20" name="TextBox 19">
          <a:extLst>
            <a:ext uri="{FF2B5EF4-FFF2-40B4-BE49-F238E27FC236}">
              <a16:creationId xmlns:a16="http://schemas.microsoft.com/office/drawing/2014/main" id="{C9F8D230-6CF7-2916-9E27-51E7D4FEF034}"/>
            </a:ext>
          </a:extLst>
        </xdr:cNvPr>
        <xdr:cNvSpPr txBox="1"/>
      </xdr:nvSpPr>
      <xdr:spPr>
        <a:xfrm>
          <a:off x="0" y="5769429"/>
          <a:ext cx="8016551" cy="8397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a:solidFill>
                <a:schemeClr val="bg1"/>
              </a:solidFill>
              <a:latin typeface="Algerian" panose="04020705040A02060702" pitchFamily="82" charset="0"/>
            </a:rPr>
            <a:t>KEY CHARTS </a:t>
          </a:r>
          <a:endParaRPr lang="en-US" sz="1100">
            <a:solidFill>
              <a:schemeClr val="bg1"/>
            </a:solidFill>
            <a:latin typeface="Algerian" panose="04020705040A02060702" pitchFamily="82" charset="0"/>
          </a:endParaRPr>
        </a:p>
      </xdr:txBody>
    </xdr:sp>
    <xdr:clientData/>
  </xdr:twoCellAnchor>
  <xdr:twoCellAnchor>
    <xdr:from>
      <xdr:col>0</xdr:col>
      <xdr:colOff>93306</xdr:colOff>
      <xdr:row>24</xdr:row>
      <xdr:rowOff>1</xdr:rowOff>
    </xdr:from>
    <xdr:to>
      <xdr:col>6</xdr:col>
      <xdr:colOff>88731</xdr:colOff>
      <xdr:row>38</xdr:row>
      <xdr:rowOff>156679</xdr:rowOff>
    </xdr:to>
    <xdr:graphicFrame macro="[0]!cpe">
      <xdr:nvGraphicFramePr>
        <xdr:cNvPr id="21" name="Chart 20">
          <a:extLst>
            <a:ext uri="{FF2B5EF4-FFF2-40B4-BE49-F238E27FC236}">
              <a16:creationId xmlns:a16="http://schemas.microsoft.com/office/drawing/2014/main" id="{2EE31D17-99D2-45D4-BB34-E9EF990BC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77755</xdr:colOff>
      <xdr:row>39</xdr:row>
      <xdr:rowOff>6522</xdr:rowOff>
    </xdr:from>
    <xdr:to>
      <xdr:col>6</xdr:col>
      <xdr:colOff>77755</xdr:colOff>
      <xdr:row>40</xdr:row>
      <xdr:rowOff>84277</xdr:rowOff>
    </xdr:to>
    <xdr:sp macro="" textlink="">
      <xdr:nvSpPr>
        <xdr:cNvPr id="22" name="TextBox 21">
          <a:extLst>
            <a:ext uri="{FF2B5EF4-FFF2-40B4-BE49-F238E27FC236}">
              <a16:creationId xmlns:a16="http://schemas.microsoft.com/office/drawing/2014/main" id="{116B342D-872E-7071-5A72-DA741BB074CB}"/>
            </a:ext>
          </a:extLst>
        </xdr:cNvPr>
        <xdr:cNvSpPr txBox="1"/>
      </xdr:nvSpPr>
      <xdr:spPr>
        <a:xfrm>
          <a:off x="77755" y="10096877"/>
          <a:ext cx="4854677" cy="26211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COST PER ENGAGEMENT</a:t>
          </a:r>
        </a:p>
      </xdr:txBody>
    </xdr:sp>
    <xdr:clientData/>
  </xdr:twoCellAnchor>
  <xdr:twoCellAnchor>
    <xdr:from>
      <xdr:col>6</xdr:col>
      <xdr:colOff>585440</xdr:colOff>
      <xdr:row>24</xdr:row>
      <xdr:rowOff>9295</xdr:rowOff>
    </xdr:from>
    <xdr:to>
      <xdr:col>14</xdr:col>
      <xdr:colOff>388453</xdr:colOff>
      <xdr:row>38</xdr:row>
      <xdr:rowOff>148683</xdr:rowOff>
    </xdr:to>
    <xdr:graphicFrame macro="[0]!totalengagement">
      <xdr:nvGraphicFramePr>
        <xdr:cNvPr id="23" name="Chart 22">
          <a:extLst>
            <a:ext uri="{FF2B5EF4-FFF2-40B4-BE49-F238E27FC236}">
              <a16:creationId xmlns:a16="http://schemas.microsoft.com/office/drawing/2014/main" id="{CFC00959-6561-454E-81A0-BD3E295E6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579560</xdr:colOff>
      <xdr:row>38</xdr:row>
      <xdr:rowOff>163000</xdr:rowOff>
    </xdr:from>
    <xdr:to>
      <xdr:col>14</xdr:col>
      <xdr:colOff>418171</xdr:colOff>
      <xdr:row>40</xdr:row>
      <xdr:rowOff>46464</xdr:rowOff>
    </xdr:to>
    <xdr:sp macro="" textlink="">
      <xdr:nvSpPr>
        <xdr:cNvPr id="24" name="TextBox 23">
          <a:extLst>
            <a:ext uri="{FF2B5EF4-FFF2-40B4-BE49-F238E27FC236}">
              <a16:creationId xmlns:a16="http://schemas.microsoft.com/office/drawing/2014/main" id="{CEF54A82-3596-4545-B06A-2F3794F2EC96}"/>
            </a:ext>
          </a:extLst>
        </xdr:cNvPr>
        <xdr:cNvSpPr txBox="1"/>
      </xdr:nvSpPr>
      <xdr:spPr>
        <a:xfrm>
          <a:off x="5439633" y="10115463"/>
          <a:ext cx="6928928" cy="255172"/>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Sum Of Total Engagement </a:t>
          </a:r>
        </a:p>
      </xdr:txBody>
    </xdr:sp>
    <xdr:clientData/>
  </xdr:twoCellAnchor>
  <xdr:twoCellAnchor>
    <xdr:from>
      <xdr:col>0</xdr:col>
      <xdr:colOff>102219</xdr:colOff>
      <xdr:row>41</xdr:row>
      <xdr:rowOff>157976</xdr:rowOff>
    </xdr:from>
    <xdr:to>
      <xdr:col>6</xdr:col>
      <xdr:colOff>55879</xdr:colOff>
      <xdr:row>56</xdr:row>
      <xdr:rowOff>176561</xdr:rowOff>
    </xdr:to>
    <xdr:graphicFrame macro="">
      <xdr:nvGraphicFramePr>
        <xdr:cNvPr id="25" name="Chart 24">
          <a:extLst>
            <a:ext uri="{FF2B5EF4-FFF2-40B4-BE49-F238E27FC236}">
              <a16:creationId xmlns:a16="http://schemas.microsoft.com/office/drawing/2014/main" id="{CD3CB7A6-7730-415A-B90A-C8CA77ABD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77755</xdr:colOff>
      <xdr:row>57</xdr:row>
      <xdr:rowOff>14318</xdr:rowOff>
    </xdr:from>
    <xdr:to>
      <xdr:col>6</xdr:col>
      <xdr:colOff>77755</xdr:colOff>
      <xdr:row>58</xdr:row>
      <xdr:rowOff>92073</xdr:rowOff>
    </xdr:to>
    <xdr:sp macro="" textlink="">
      <xdr:nvSpPr>
        <xdr:cNvPr id="27" name="TextBox 26">
          <a:extLst>
            <a:ext uri="{FF2B5EF4-FFF2-40B4-BE49-F238E27FC236}">
              <a16:creationId xmlns:a16="http://schemas.microsoft.com/office/drawing/2014/main" id="{F601AEAA-DDD4-4C91-8235-275C51C95EBE}"/>
            </a:ext>
          </a:extLst>
        </xdr:cNvPr>
        <xdr:cNvSpPr txBox="1"/>
      </xdr:nvSpPr>
      <xdr:spPr>
        <a:xfrm>
          <a:off x="77755" y="13498001"/>
          <a:ext cx="4860073" cy="263609"/>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FOLLOWER</a:t>
          </a:r>
          <a:r>
            <a:rPr lang="en-US" sz="1100" baseline="0">
              <a:solidFill>
                <a:schemeClr val="bg1"/>
              </a:solidFill>
            </a:rPr>
            <a:t> IMPACT</a:t>
          </a:r>
        </a:p>
        <a:p>
          <a:pPr algn="ctr"/>
          <a:endParaRPr lang="en-US" sz="1100">
            <a:solidFill>
              <a:schemeClr val="bg1"/>
            </a:solidFill>
          </a:endParaRPr>
        </a:p>
      </xdr:txBody>
    </xdr:sp>
    <xdr:clientData/>
  </xdr:twoCellAnchor>
  <xdr:twoCellAnchor>
    <xdr:from>
      <xdr:col>0</xdr:col>
      <xdr:colOff>0</xdr:colOff>
      <xdr:row>59</xdr:row>
      <xdr:rowOff>92926</xdr:rowOff>
    </xdr:from>
    <xdr:to>
      <xdr:col>7</xdr:col>
      <xdr:colOff>406834</xdr:colOff>
      <xdr:row>92</xdr:row>
      <xdr:rowOff>2415</xdr:rowOff>
    </xdr:to>
    <xdr:graphicFrame macro="">
      <xdr:nvGraphicFramePr>
        <xdr:cNvPr id="28" name="Chart 27">
          <a:extLst>
            <a:ext uri="{FF2B5EF4-FFF2-40B4-BE49-F238E27FC236}">
              <a16:creationId xmlns:a16="http://schemas.microsoft.com/office/drawing/2014/main" id="{641CAF52-9F18-4F39-B33E-5C948DC75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9293</xdr:colOff>
      <xdr:row>92</xdr:row>
      <xdr:rowOff>9294</xdr:rowOff>
    </xdr:from>
    <xdr:to>
      <xdr:col>7</xdr:col>
      <xdr:colOff>390293</xdr:colOff>
      <xdr:row>93</xdr:row>
      <xdr:rowOff>157976</xdr:rowOff>
    </xdr:to>
    <xdr:sp macro="" textlink="">
      <xdr:nvSpPr>
        <xdr:cNvPr id="29" name="TextBox 28">
          <a:extLst>
            <a:ext uri="{FF2B5EF4-FFF2-40B4-BE49-F238E27FC236}">
              <a16:creationId xmlns:a16="http://schemas.microsoft.com/office/drawing/2014/main" id="{8B0E099C-582D-F5EC-92B3-13281897DC49}"/>
            </a:ext>
          </a:extLst>
        </xdr:cNvPr>
        <xdr:cNvSpPr txBox="1"/>
      </xdr:nvSpPr>
      <xdr:spPr>
        <a:xfrm>
          <a:off x="9293" y="19997855"/>
          <a:ext cx="5910146" cy="334536"/>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Content Wise Performance</a:t>
          </a:r>
        </a:p>
      </xdr:txBody>
    </xdr:sp>
    <xdr:clientData/>
  </xdr:twoCellAnchor>
  <xdr:twoCellAnchor>
    <xdr:from>
      <xdr:col>6</xdr:col>
      <xdr:colOff>529683</xdr:colOff>
      <xdr:row>41</xdr:row>
      <xdr:rowOff>46465</xdr:rowOff>
    </xdr:from>
    <xdr:to>
      <xdr:col>14</xdr:col>
      <xdr:colOff>332696</xdr:colOff>
      <xdr:row>56</xdr:row>
      <xdr:rowOff>167269</xdr:rowOff>
    </xdr:to>
    <xdr:graphicFrame macro="">
      <xdr:nvGraphicFramePr>
        <xdr:cNvPr id="30" name="Chart 29">
          <a:extLst>
            <a:ext uri="{FF2B5EF4-FFF2-40B4-BE49-F238E27FC236}">
              <a16:creationId xmlns:a16="http://schemas.microsoft.com/office/drawing/2014/main" id="{829FC18A-3937-4382-8584-FF255FEDD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520390</xdr:colOff>
      <xdr:row>57</xdr:row>
      <xdr:rowOff>18586</xdr:rowOff>
    </xdr:from>
    <xdr:to>
      <xdr:col>14</xdr:col>
      <xdr:colOff>334534</xdr:colOff>
      <xdr:row>58</xdr:row>
      <xdr:rowOff>74341</xdr:rowOff>
    </xdr:to>
    <xdr:sp macro="" textlink="">
      <xdr:nvSpPr>
        <xdr:cNvPr id="31" name="TextBox 30">
          <a:extLst>
            <a:ext uri="{FF2B5EF4-FFF2-40B4-BE49-F238E27FC236}">
              <a16:creationId xmlns:a16="http://schemas.microsoft.com/office/drawing/2014/main" id="{518193DB-53AB-467B-B311-04E0DF0B9C81}"/>
            </a:ext>
          </a:extLst>
        </xdr:cNvPr>
        <xdr:cNvSpPr txBox="1"/>
      </xdr:nvSpPr>
      <xdr:spPr>
        <a:xfrm>
          <a:off x="5380463" y="13502269"/>
          <a:ext cx="6904461" cy="241609"/>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FOLLOWER</a:t>
          </a:r>
          <a:r>
            <a:rPr lang="en-US" sz="1100" baseline="0">
              <a:solidFill>
                <a:schemeClr val="bg1"/>
              </a:solidFill>
            </a:rPr>
            <a:t> IMPACT</a:t>
          </a:r>
        </a:p>
        <a:p>
          <a:pPr algn="ctr"/>
          <a:endParaRPr lang="en-US" sz="1100">
            <a:solidFill>
              <a:schemeClr val="bg1"/>
            </a:solidFill>
          </a:endParaRPr>
        </a:p>
      </xdr:txBody>
    </xdr:sp>
    <xdr:clientData/>
  </xdr:twoCellAnchor>
  <xdr:twoCellAnchor>
    <xdr:from>
      <xdr:col>8</xdr:col>
      <xdr:colOff>130967</xdr:colOff>
      <xdr:row>60</xdr:row>
      <xdr:rowOff>71437</xdr:rowOff>
    </xdr:from>
    <xdr:to>
      <xdr:col>14</xdr:col>
      <xdr:colOff>416718</xdr:colOff>
      <xdr:row>80</xdr:row>
      <xdr:rowOff>7287</xdr:rowOff>
    </xdr:to>
    <xdr:graphicFrame macro="">
      <xdr:nvGraphicFramePr>
        <xdr:cNvPr id="32" name="Chart 31">
          <a:extLst>
            <a:ext uri="{FF2B5EF4-FFF2-40B4-BE49-F238E27FC236}">
              <a16:creationId xmlns:a16="http://schemas.microsoft.com/office/drawing/2014/main" id="{44C3E407-9A4B-42ED-AD4C-0F83D9930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142877</xdr:colOff>
      <xdr:row>80</xdr:row>
      <xdr:rowOff>47625</xdr:rowOff>
    </xdr:from>
    <xdr:to>
      <xdr:col>14</xdr:col>
      <xdr:colOff>392907</xdr:colOff>
      <xdr:row>81</xdr:row>
      <xdr:rowOff>83343</xdr:rowOff>
    </xdr:to>
    <xdr:sp macro="" textlink="">
      <xdr:nvSpPr>
        <xdr:cNvPr id="33" name="TextBox 32">
          <a:extLst>
            <a:ext uri="{FF2B5EF4-FFF2-40B4-BE49-F238E27FC236}">
              <a16:creationId xmlns:a16="http://schemas.microsoft.com/office/drawing/2014/main" id="{D4D6E80F-FAB6-4A66-A8E8-7BFB5A63BF11}"/>
            </a:ext>
          </a:extLst>
        </xdr:cNvPr>
        <xdr:cNvSpPr txBox="1"/>
      </xdr:nvSpPr>
      <xdr:spPr>
        <a:xfrm>
          <a:off x="6465096" y="17275969"/>
          <a:ext cx="5869780" cy="214312"/>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Hashtag Performance</a:t>
          </a:r>
        </a:p>
      </xdr:txBody>
    </xdr:sp>
    <xdr:clientData/>
  </xdr:twoCellAnchor>
  <xdr:twoCellAnchor>
    <xdr:from>
      <xdr:col>8</xdr:col>
      <xdr:colOff>142875</xdr:colOff>
      <xdr:row>82</xdr:row>
      <xdr:rowOff>59531</xdr:rowOff>
    </xdr:from>
    <xdr:to>
      <xdr:col>14</xdr:col>
      <xdr:colOff>520065</xdr:colOff>
      <xdr:row>100</xdr:row>
      <xdr:rowOff>151923</xdr:rowOff>
    </xdr:to>
    <xdr:graphicFrame macro="">
      <xdr:nvGraphicFramePr>
        <xdr:cNvPr id="34" name="Chart 33">
          <a:extLst>
            <a:ext uri="{FF2B5EF4-FFF2-40B4-BE49-F238E27FC236}">
              <a16:creationId xmlns:a16="http://schemas.microsoft.com/office/drawing/2014/main" id="{FFF2B127-20CE-418C-99D9-6A139541E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165252</xdr:colOff>
      <xdr:row>101</xdr:row>
      <xdr:rowOff>9180</xdr:rowOff>
    </xdr:from>
    <xdr:to>
      <xdr:col>14</xdr:col>
      <xdr:colOff>514120</xdr:colOff>
      <xdr:row>102</xdr:row>
      <xdr:rowOff>157862</xdr:rowOff>
    </xdr:to>
    <xdr:sp macro="" textlink="">
      <xdr:nvSpPr>
        <xdr:cNvPr id="36" name="TextBox 35">
          <a:extLst>
            <a:ext uri="{FF2B5EF4-FFF2-40B4-BE49-F238E27FC236}">
              <a16:creationId xmlns:a16="http://schemas.microsoft.com/office/drawing/2014/main" id="{CBC49A7D-4D7A-496A-8ABB-E02D650276A3}"/>
            </a:ext>
          </a:extLst>
        </xdr:cNvPr>
        <xdr:cNvSpPr txBox="1"/>
      </xdr:nvSpPr>
      <xdr:spPr>
        <a:xfrm>
          <a:off x="6472409" y="21455349"/>
          <a:ext cx="5958289" cy="332296"/>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Platform Wise Growth</a:t>
          </a:r>
        </a:p>
      </xdr:txBody>
    </xdr:sp>
    <xdr:clientData/>
  </xdr:twoCellAnchor>
  <xdr:twoCellAnchor>
    <xdr:from>
      <xdr:col>0</xdr:col>
      <xdr:colOff>55084</xdr:colOff>
      <xdr:row>94</xdr:row>
      <xdr:rowOff>73446</xdr:rowOff>
    </xdr:from>
    <xdr:to>
      <xdr:col>7</xdr:col>
      <xdr:colOff>409757</xdr:colOff>
      <xdr:row>109</xdr:row>
      <xdr:rowOff>40657</xdr:rowOff>
    </xdr:to>
    <xdr:graphicFrame macro="">
      <xdr:nvGraphicFramePr>
        <xdr:cNvPr id="38" name="Chart 37">
          <a:extLst>
            <a:ext uri="{FF2B5EF4-FFF2-40B4-BE49-F238E27FC236}">
              <a16:creationId xmlns:a16="http://schemas.microsoft.com/office/drawing/2014/main" id="{FBB35DDE-6456-44F1-8116-C3067FFE1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109</xdr:row>
      <xdr:rowOff>55085</xdr:rowOff>
    </xdr:from>
    <xdr:to>
      <xdr:col>7</xdr:col>
      <xdr:colOff>440675</xdr:colOff>
      <xdr:row>111</xdr:row>
      <xdr:rowOff>20152</xdr:rowOff>
    </xdr:to>
    <xdr:sp macro="" textlink="">
      <xdr:nvSpPr>
        <xdr:cNvPr id="39" name="TextBox 38">
          <a:extLst>
            <a:ext uri="{FF2B5EF4-FFF2-40B4-BE49-F238E27FC236}">
              <a16:creationId xmlns:a16="http://schemas.microsoft.com/office/drawing/2014/main" id="{A7C21A02-80E9-42E4-8582-8C1B961263C9}"/>
            </a:ext>
          </a:extLst>
        </xdr:cNvPr>
        <xdr:cNvSpPr txBox="1"/>
      </xdr:nvSpPr>
      <xdr:spPr>
        <a:xfrm>
          <a:off x="0" y="22970169"/>
          <a:ext cx="5958289" cy="332296"/>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Platform Wise AD Spend</a:t>
          </a:r>
        </a:p>
      </xdr:txBody>
    </xdr:sp>
    <xdr:clientData/>
  </xdr:twoCellAnchor>
  <xdr:twoCellAnchor>
    <xdr:from>
      <xdr:col>12</xdr:col>
      <xdr:colOff>812800</xdr:colOff>
      <xdr:row>4</xdr:row>
      <xdr:rowOff>0</xdr:rowOff>
    </xdr:from>
    <xdr:to>
      <xdr:col>18</xdr:col>
      <xdr:colOff>215900</xdr:colOff>
      <xdr:row>6</xdr:row>
      <xdr:rowOff>50800</xdr:rowOff>
    </xdr:to>
    <xdr:sp macro="" textlink="">
      <xdr:nvSpPr>
        <xdr:cNvPr id="2" name="TextBox 1">
          <a:extLst>
            <a:ext uri="{FF2B5EF4-FFF2-40B4-BE49-F238E27FC236}">
              <a16:creationId xmlns:a16="http://schemas.microsoft.com/office/drawing/2014/main" id="{7594D103-9B67-2E12-80E5-39E04F58D7F2}"/>
            </a:ext>
          </a:extLst>
        </xdr:cNvPr>
        <xdr:cNvSpPr txBox="1"/>
      </xdr:nvSpPr>
      <xdr:spPr>
        <a:xfrm>
          <a:off x="9918700" y="1168400"/>
          <a:ext cx="4673600" cy="406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a:solidFill>
                <a:schemeClr val="bg1"/>
              </a:solidFill>
              <a:latin typeface="Algerian" panose="04020705040A02060702" pitchFamily="82" charset="0"/>
            </a:rPr>
            <a:t>Strategic Recommendation</a:t>
          </a:r>
        </a:p>
      </xdr:txBody>
    </xdr:sp>
    <xdr:clientData/>
  </xdr:twoCellAnchor>
  <xdr:twoCellAnchor>
    <xdr:from>
      <xdr:col>12</xdr:col>
      <xdr:colOff>876300</xdr:colOff>
      <xdr:row>6</xdr:row>
      <xdr:rowOff>50800</xdr:rowOff>
    </xdr:from>
    <xdr:to>
      <xdr:col>18</xdr:col>
      <xdr:colOff>330200</xdr:colOff>
      <xdr:row>8</xdr:row>
      <xdr:rowOff>190500</xdr:rowOff>
    </xdr:to>
    <xdr:sp macro="" textlink="">
      <xdr:nvSpPr>
        <xdr:cNvPr id="4" name="TextBox 3">
          <a:extLst>
            <a:ext uri="{FF2B5EF4-FFF2-40B4-BE49-F238E27FC236}">
              <a16:creationId xmlns:a16="http://schemas.microsoft.com/office/drawing/2014/main" id="{AB477BAE-E902-900A-813F-0CC5A9C93BAE}"/>
            </a:ext>
          </a:extLst>
        </xdr:cNvPr>
        <xdr:cNvSpPr txBox="1"/>
      </xdr:nvSpPr>
      <xdr:spPr>
        <a:xfrm>
          <a:off x="9982200" y="1574800"/>
          <a:ext cx="4724400" cy="1943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200">
              <a:solidFill>
                <a:schemeClr val="bg1"/>
              </a:solidFill>
            </a:rPr>
            <a:t>My analysis recommends a sophisticated multi-platform strategy where each platform is leveraged for its unique strengths. </a:t>
          </a:r>
          <a:r>
            <a:rPr lang="en-US" sz="1200" b="1">
              <a:solidFill>
                <a:schemeClr val="bg1"/>
              </a:solidFill>
            </a:rPr>
            <a:t>Facebook</a:t>
          </a:r>
          <a:r>
            <a:rPr lang="en-US" sz="1200">
              <a:solidFill>
                <a:schemeClr val="bg1"/>
              </a:solidFill>
            </a:rPr>
            <a:t> should be our go-to platform for maximizing brand awareness and reach. </a:t>
          </a:r>
          <a:r>
            <a:rPr lang="en-US" sz="1200" b="1">
              <a:solidFill>
                <a:schemeClr val="bg1"/>
              </a:solidFill>
            </a:rPr>
            <a:t>Instagram</a:t>
          </a:r>
          <a:r>
            <a:rPr lang="en-US" sz="1200">
              <a:solidFill>
                <a:schemeClr val="bg1"/>
              </a:solidFill>
            </a:rPr>
            <a:t> is our most valuable asset for building a deep, loyal community, proven by its superior engagement rate. Finally, </a:t>
          </a:r>
          <a:r>
            <a:rPr lang="en-US" sz="1200" b="1">
              <a:solidFill>
                <a:schemeClr val="bg1"/>
              </a:solidFill>
            </a:rPr>
            <a:t>Twitter</a:t>
          </a:r>
          <a:r>
            <a:rPr lang="en-US" sz="1200">
              <a:solidFill>
                <a:schemeClr val="bg1"/>
              </a:solidFill>
            </a:rPr>
            <a:t> should be our primary engine for audience growth, as it is the most effective channel for attracting new followers. By using this tailored approach, PepsiCo can optimize its marketing spend and achieve multiple business goals simultaneously</a:t>
          </a:r>
        </a:p>
      </xdr:txBody>
    </xdr:sp>
    <xdr:clientData/>
  </xdr:twoCellAnchor>
  <xdr:twoCellAnchor>
    <xdr:from>
      <xdr:col>12</xdr:col>
      <xdr:colOff>965200</xdr:colOff>
      <xdr:row>8</xdr:row>
      <xdr:rowOff>101600</xdr:rowOff>
    </xdr:from>
    <xdr:to>
      <xdr:col>18</xdr:col>
      <xdr:colOff>139700</xdr:colOff>
      <xdr:row>8</xdr:row>
      <xdr:rowOff>495300</xdr:rowOff>
    </xdr:to>
    <xdr:sp macro="" textlink="">
      <xdr:nvSpPr>
        <xdr:cNvPr id="6" name="TextBox 5">
          <a:extLst>
            <a:ext uri="{FF2B5EF4-FFF2-40B4-BE49-F238E27FC236}">
              <a16:creationId xmlns:a16="http://schemas.microsoft.com/office/drawing/2014/main" id="{A7911DD0-80BD-79A8-27D2-66F84AC376E8}"/>
            </a:ext>
          </a:extLst>
        </xdr:cNvPr>
        <xdr:cNvSpPr txBox="1"/>
      </xdr:nvSpPr>
      <xdr:spPr>
        <a:xfrm>
          <a:off x="10071100" y="3429000"/>
          <a:ext cx="4445000" cy="393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a:solidFill>
                <a:schemeClr val="bg1"/>
              </a:solidFill>
              <a:latin typeface="Algerian" panose="04020705040A02060702" pitchFamily="82" charset="0"/>
            </a:rPr>
            <a:t>Top Hashtag by Volume</a:t>
          </a:r>
        </a:p>
      </xdr:txBody>
    </xdr:sp>
    <xdr:clientData/>
  </xdr:twoCellAnchor>
  <xdr:twoCellAnchor>
    <xdr:from>
      <xdr:col>12</xdr:col>
      <xdr:colOff>927100</xdr:colOff>
      <xdr:row>8</xdr:row>
      <xdr:rowOff>508000</xdr:rowOff>
    </xdr:from>
    <xdr:to>
      <xdr:col>18</xdr:col>
      <xdr:colOff>279400</xdr:colOff>
      <xdr:row>8</xdr:row>
      <xdr:rowOff>1435100</xdr:rowOff>
    </xdr:to>
    <xdr:sp macro="" textlink="">
      <xdr:nvSpPr>
        <xdr:cNvPr id="7" name="TextBox 6">
          <a:extLst>
            <a:ext uri="{FF2B5EF4-FFF2-40B4-BE49-F238E27FC236}">
              <a16:creationId xmlns:a16="http://schemas.microsoft.com/office/drawing/2014/main" id="{5D37D612-0881-D568-15D7-640D1EE5729A}"/>
            </a:ext>
          </a:extLst>
        </xdr:cNvPr>
        <xdr:cNvSpPr txBox="1"/>
      </xdr:nvSpPr>
      <xdr:spPr>
        <a:xfrm>
          <a:off x="10033000" y="3835400"/>
          <a:ext cx="4622800" cy="927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200">
              <a:solidFill>
                <a:schemeClr val="bg1"/>
              </a:solidFill>
            </a:rPr>
            <a:t>With 107 mentions, </a:t>
          </a:r>
          <a:r>
            <a:rPr lang="en-US" sz="1400" b="1">
              <a:solidFill>
                <a:schemeClr val="bg1"/>
              </a:solidFill>
            </a:rPr>
            <a:t>#PepsiCoRefresh </a:t>
          </a:r>
          <a:r>
            <a:rPr lang="en-US" sz="1200">
              <a:solidFill>
                <a:schemeClr val="bg1"/>
              </a:solidFill>
            </a:rPr>
            <a:t>emerged as the most popular hashtag of the campaign.</a:t>
          </a:r>
        </a:p>
      </xdr:txBody>
    </xdr:sp>
    <xdr:clientData/>
  </xdr:twoCellAnchor>
  <xdr:twoCellAnchor>
    <xdr:from>
      <xdr:col>0</xdr:col>
      <xdr:colOff>152400</xdr:colOff>
      <xdr:row>111</xdr:row>
      <xdr:rowOff>127000</xdr:rowOff>
    </xdr:from>
    <xdr:to>
      <xdr:col>7</xdr:col>
      <xdr:colOff>482600</xdr:colOff>
      <xdr:row>128</xdr:row>
      <xdr:rowOff>0</xdr:rowOff>
    </xdr:to>
    <xdr:graphicFrame macro="">
      <xdr:nvGraphicFramePr>
        <xdr:cNvPr id="8" name="Chart 7">
          <a:extLst>
            <a:ext uri="{FF2B5EF4-FFF2-40B4-BE49-F238E27FC236}">
              <a16:creationId xmlns:a16="http://schemas.microsoft.com/office/drawing/2014/main" id="{3F4E9A22-3EDC-451C-BF29-6E49A39D8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152400</xdr:colOff>
      <xdr:row>128</xdr:row>
      <xdr:rowOff>38100</xdr:rowOff>
    </xdr:from>
    <xdr:to>
      <xdr:col>7</xdr:col>
      <xdr:colOff>457200</xdr:colOff>
      <xdr:row>130</xdr:row>
      <xdr:rowOff>50800</xdr:rowOff>
    </xdr:to>
    <xdr:sp macro="" textlink="">
      <xdr:nvSpPr>
        <xdr:cNvPr id="9" name="TextBox 8">
          <a:extLst>
            <a:ext uri="{FF2B5EF4-FFF2-40B4-BE49-F238E27FC236}">
              <a16:creationId xmlns:a16="http://schemas.microsoft.com/office/drawing/2014/main" id="{275ADB18-BD3C-CB14-0C71-308EA7481105}"/>
            </a:ext>
          </a:extLst>
        </xdr:cNvPr>
        <xdr:cNvSpPr txBox="1"/>
      </xdr:nvSpPr>
      <xdr:spPr>
        <a:xfrm>
          <a:off x="152400" y="25730200"/>
          <a:ext cx="5829300" cy="36830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Calibri" panose="020F0502020204030204" pitchFamily="34" charset="0"/>
              <a:ea typeface="Calibri" panose="020F0502020204030204" pitchFamily="34" charset="0"/>
              <a:cs typeface="Calibri" panose="020F0502020204030204" pitchFamily="34" charset="0"/>
            </a:rPr>
            <a:t>Hastag By average</a:t>
          </a:r>
          <a:r>
            <a:rPr lang="en-US" sz="2000" baseline="0">
              <a:solidFill>
                <a:schemeClr val="bg1"/>
              </a:solidFill>
              <a:latin typeface="Calibri" panose="020F0502020204030204" pitchFamily="34" charset="0"/>
              <a:ea typeface="Calibri" panose="020F0502020204030204" pitchFamily="34" charset="0"/>
              <a:cs typeface="Calibri" panose="020F0502020204030204" pitchFamily="34" charset="0"/>
            </a:rPr>
            <a:t> Like &amp; Comment </a:t>
          </a:r>
          <a:endParaRPr lang="en-US" sz="20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342900</xdr:colOff>
      <xdr:row>8</xdr:row>
      <xdr:rowOff>1155700</xdr:rowOff>
    </xdr:from>
    <xdr:to>
      <xdr:col>19</xdr:col>
      <xdr:colOff>177800</xdr:colOff>
      <xdr:row>9</xdr:row>
      <xdr:rowOff>0</xdr:rowOff>
    </xdr:to>
    <xdr:sp macro="" textlink="">
      <xdr:nvSpPr>
        <xdr:cNvPr id="13" name="TextBox 12">
          <a:extLst>
            <a:ext uri="{FF2B5EF4-FFF2-40B4-BE49-F238E27FC236}">
              <a16:creationId xmlns:a16="http://schemas.microsoft.com/office/drawing/2014/main" id="{39C3403E-2556-3895-F150-8E2A921F1FDE}"/>
            </a:ext>
          </a:extLst>
        </xdr:cNvPr>
        <xdr:cNvSpPr txBox="1"/>
      </xdr:nvSpPr>
      <xdr:spPr>
        <a:xfrm>
          <a:off x="9448800" y="4483100"/>
          <a:ext cx="5715000" cy="444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a:solidFill>
                <a:schemeClr val="bg1"/>
              </a:solidFill>
              <a:latin typeface="Algerian" panose="04020705040A02060702" pitchFamily="82" charset="0"/>
            </a:rPr>
            <a:t>Platform-Specific Content Strategy</a:t>
          </a:r>
        </a:p>
      </xdr:txBody>
    </xdr:sp>
    <xdr:clientData/>
  </xdr:twoCellAnchor>
  <xdr:twoCellAnchor>
    <xdr:from>
      <xdr:col>12</xdr:col>
      <xdr:colOff>533400</xdr:colOff>
      <xdr:row>8</xdr:row>
      <xdr:rowOff>1524000</xdr:rowOff>
    </xdr:from>
    <xdr:to>
      <xdr:col>18</xdr:col>
      <xdr:colOff>558800</xdr:colOff>
      <xdr:row>12</xdr:row>
      <xdr:rowOff>1295400</xdr:rowOff>
    </xdr:to>
    <xdr:sp macro="" textlink="">
      <xdr:nvSpPr>
        <xdr:cNvPr id="16" name="TextBox 15">
          <a:extLst>
            <a:ext uri="{FF2B5EF4-FFF2-40B4-BE49-F238E27FC236}">
              <a16:creationId xmlns:a16="http://schemas.microsoft.com/office/drawing/2014/main" id="{96FE507F-DBAD-8A27-B3C7-5C3C5D62306D}"/>
            </a:ext>
          </a:extLst>
        </xdr:cNvPr>
        <xdr:cNvSpPr txBox="1"/>
      </xdr:nvSpPr>
      <xdr:spPr>
        <a:xfrm>
          <a:off x="9639300" y="4851400"/>
          <a:ext cx="5295900" cy="2044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For Instagram: The Hub for Rich Media</a:t>
          </a:r>
          <a:endParaRPr lang="en-US" sz="1200" b="1">
            <a:solidFill>
              <a:schemeClr val="bg1"/>
            </a:solidFill>
          </a:endParaRPr>
        </a:p>
        <a:p>
          <a:pPr algn="just"/>
          <a:r>
            <a:rPr lang="en-US" sz="1200" b="0">
              <a:solidFill>
                <a:schemeClr val="bg1"/>
              </a:solidFill>
            </a:rPr>
            <a:t>Prioritize Reels and Stories: These formats are the clear winners, delivering the highest engagement rates at 26% and 24.6% respectively.</a:t>
          </a:r>
        </a:p>
        <a:p>
          <a:pPr algn="just"/>
          <a:r>
            <a:rPr lang="en-US" sz="1200" b="0">
              <a:solidFill>
                <a:schemeClr val="bg1"/>
              </a:solidFill>
            </a:rPr>
            <a:t>Leverage Video and Text: Video (20.6%) and Text (12.9%) content also perform significantly above average and should be key parts of the content mix.</a:t>
          </a:r>
        </a:p>
        <a:p>
          <a:pPr algn="just"/>
          <a:endParaRPr lang="en-US" sz="1200" b="0">
            <a:solidFill>
              <a:schemeClr val="bg1"/>
            </a:solidFill>
          </a:endParaRPr>
        </a:p>
        <a:p>
          <a:pPr algn="ctr"/>
          <a:r>
            <a:rPr lang="en-US" sz="1400" b="1">
              <a:solidFill>
                <a:schemeClr val="bg1"/>
              </a:solidFill>
            </a:rPr>
            <a:t>For YouTube: The Platform for Visuals</a:t>
          </a:r>
        </a:p>
        <a:p>
          <a:pPr algn="just"/>
          <a:r>
            <a:rPr lang="en-US" sz="1200" b="0">
              <a:solidFill>
                <a:schemeClr val="bg1"/>
              </a:solidFill>
            </a:rPr>
            <a:t>Focus on Carousels and Images: Surprisingly, Carousels (17.4%) and high-quality Images (15%) are the most effective content types on YouTube, outperforming traditional long-form videos in engagement rate.</a:t>
          </a:r>
        </a:p>
        <a:p>
          <a:pPr algn="just"/>
          <a:endParaRPr lang="en-US" sz="1200">
            <a:solidFill>
              <a:schemeClr val="bg1"/>
            </a:solidFill>
          </a:endParaRPr>
        </a:p>
      </xdr:txBody>
    </xdr:sp>
    <xdr:clientData/>
  </xdr:twoCellAnchor>
  <xdr:twoCellAnchor>
    <xdr:from>
      <xdr:col>0</xdr:col>
      <xdr:colOff>101600</xdr:colOff>
      <xdr:row>12</xdr:row>
      <xdr:rowOff>0</xdr:rowOff>
    </xdr:from>
    <xdr:to>
      <xdr:col>9</xdr:col>
      <xdr:colOff>393700</xdr:colOff>
      <xdr:row>12</xdr:row>
      <xdr:rowOff>850900</xdr:rowOff>
    </xdr:to>
    <xdr:sp macro="" textlink="">
      <xdr:nvSpPr>
        <xdr:cNvPr id="19" name="TextBox 18">
          <a:extLst>
            <a:ext uri="{FF2B5EF4-FFF2-40B4-BE49-F238E27FC236}">
              <a16:creationId xmlns:a16="http://schemas.microsoft.com/office/drawing/2014/main" id="{97AD5977-B5F9-A810-6AC7-A57C3B8E4057}"/>
            </a:ext>
          </a:extLst>
        </xdr:cNvPr>
        <xdr:cNvSpPr txBox="1"/>
      </xdr:nvSpPr>
      <xdr:spPr>
        <a:xfrm>
          <a:off x="101600" y="5600700"/>
          <a:ext cx="7213600" cy="8509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a:solidFill>
                <a:schemeClr val="bg1"/>
              </a:solidFill>
              <a:latin typeface="Algerian" panose="04020705040A02060702" pitchFamily="82" charset="0"/>
            </a:rPr>
            <a:t>The Conclusion for Engagement uplift during vs. before </a:t>
          </a:r>
        </a:p>
      </xdr:txBody>
    </xdr:sp>
    <xdr:clientData/>
  </xdr:twoCellAnchor>
  <xdr:twoCellAnchor>
    <xdr:from>
      <xdr:col>0</xdr:col>
      <xdr:colOff>406400</xdr:colOff>
      <xdr:row>12</xdr:row>
      <xdr:rowOff>901700</xdr:rowOff>
    </xdr:from>
    <xdr:to>
      <xdr:col>9</xdr:col>
      <xdr:colOff>127000</xdr:colOff>
      <xdr:row>16</xdr:row>
      <xdr:rowOff>736600</xdr:rowOff>
    </xdr:to>
    <xdr:sp macro="" textlink="">
      <xdr:nvSpPr>
        <xdr:cNvPr id="26" name="TextBox 25">
          <a:extLst>
            <a:ext uri="{FF2B5EF4-FFF2-40B4-BE49-F238E27FC236}">
              <a16:creationId xmlns:a16="http://schemas.microsoft.com/office/drawing/2014/main" id="{7049649D-DEF6-39C9-DB85-117667CABB01}"/>
            </a:ext>
          </a:extLst>
        </xdr:cNvPr>
        <xdr:cNvSpPr txBox="1"/>
      </xdr:nvSpPr>
      <xdr:spPr>
        <a:xfrm>
          <a:off x="406400" y="6502400"/>
          <a:ext cx="6642100" cy="3060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200">
              <a:solidFill>
                <a:schemeClr val="bg1"/>
              </a:solidFill>
            </a:rPr>
            <a:t>The analysis of campaign effectiveness reveals a significant variance in performance. While some campaigns provided a major boost in engagement, others underperformed significantly. Notably, the </a:t>
          </a:r>
          <a:r>
            <a:rPr lang="en-US" sz="1200" b="1">
              <a:solidFill>
                <a:schemeClr val="bg1"/>
              </a:solidFill>
            </a:rPr>
            <a:t>'SummerSplash' (-54.84%)</a:t>
          </a:r>
          <a:r>
            <a:rPr lang="en-US" sz="1200">
              <a:solidFill>
                <a:schemeClr val="bg1"/>
              </a:solidFill>
            </a:rPr>
            <a:t> and </a:t>
          </a:r>
          <a:r>
            <a:rPr lang="en-US" sz="1200" b="1">
              <a:solidFill>
                <a:schemeClr val="bg1"/>
              </a:solidFill>
            </a:rPr>
            <a:t>'DailyWellness' (-37.24%)</a:t>
          </a:r>
          <a:r>
            <a:rPr lang="en-US" sz="1200">
              <a:solidFill>
                <a:schemeClr val="bg1"/>
              </a:solidFill>
            </a:rPr>
            <a:t> campaigns had a negative impact on engagement compared to our baseline. </a:t>
          </a:r>
        </a:p>
        <a:p>
          <a:pPr algn="just"/>
          <a:endParaRPr lang="en-US" sz="1200">
            <a:solidFill>
              <a:schemeClr val="bg1"/>
            </a:solidFill>
          </a:endParaRPr>
        </a:p>
        <a:p>
          <a:pPr algn="just"/>
          <a:r>
            <a:rPr lang="en-US" sz="1200" b="1">
              <a:solidFill>
                <a:schemeClr val="bg1"/>
              </a:solidFill>
            </a:rPr>
            <a:t>Recommendation:</a:t>
          </a:r>
          <a:r>
            <a:rPr lang="en-US" sz="1200">
              <a:solidFill>
                <a:schemeClr val="bg1"/>
              </a:solidFill>
            </a:rPr>
            <a:t> An urgent review of the underperforming campaigns is required. Future strategy should focus on replicating the successful elements of our top-performing campaigns</a:t>
          </a:r>
        </a:p>
        <a:p>
          <a:pPr algn="just"/>
          <a:endParaRPr lang="en-US" sz="1200">
            <a:solidFill>
              <a:schemeClr val="bg1"/>
            </a:solidFill>
          </a:endParaRPr>
        </a:p>
      </xdr:txBody>
    </xdr:sp>
    <xdr:clientData/>
  </xdr:twoCellAnchor>
  <xdr:twoCellAnchor>
    <xdr:from>
      <xdr:col>12</xdr:col>
      <xdr:colOff>228600</xdr:colOff>
      <xdr:row>12</xdr:row>
      <xdr:rowOff>1473200</xdr:rowOff>
    </xdr:from>
    <xdr:to>
      <xdr:col>19</xdr:col>
      <xdr:colOff>203200</xdr:colOff>
      <xdr:row>12</xdr:row>
      <xdr:rowOff>1841500</xdr:rowOff>
    </xdr:to>
    <xdr:sp macro="" textlink="">
      <xdr:nvSpPr>
        <xdr:cNvPr id="35" name="TextBox 34">
          <a:extLst>
            <a:ext uri="{FF2B5EF4-FFF2-40B4-BE49-F238E27FC236}">
              <a16:creationId xmlns:a16="http://schemas.microsoft.com/office/drawing/2014/main" id="{C646479E-A4FC-033D-DE6F-11AA7FDAF88F}"/>
            </a:ext>
          </a:extLst>
        </xdr:cNvPr>
        <xdr:cNvSpPr txBox="1"/>
      </xdr:nvSpPr>
      <xdr:spPr>
        <a:xfrm>
          <a:off x="9334500" y="7073900"/>
          <a:ext cx="5854700" cy="3683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a:solidFill>
                <a:schemeClr val="bg1"/>
              </a:solidFill>
              <a:latin typeface="Algerian" panose="04020705040A02060702" pitchFamily="82" charset="0"/>
            </a:rPr>
            <a:t>Most Efficient Campaigns (Highest ROI)</a:t>
          </a:r>
        </a:p>
      </xdr:txBody>
    </xdr:sp>
    <xdr:clientData/>
  </xdr:twoCellAnchor>
  <xdr:twoCellAnchor>
    <xdr:from>
      <xdr:col>12</xdr:col>
      <xdr:colOff>292100</xdr:colOff>
      <xdr:row>12</xdr:row>
      <xdr:rowOff>1879600</xdr:rowOff>
    </xdr:from>
    <xdr:to>
      <xdr:col>19</xdr:col>
      <xdr:colOff>203200</xdr:colOff>
      <xdr:row>16</xdr:row>
      <xdr:rowOff>203200</xdr:rowOff>
    </xdr:to>
    <xdr:sp macro="" textlink="">
      <xdr:nvSpPr>
        <xdr:cNvPr id="37" name="TextBox 36">
          <a:extLst>
            <a:ext uri="{FF2B5EF4-FFF2-40B4-BE49-F238E27FC236}">
              <a16:creationId xmlns:a16="http://schemas.microsoft.com/office/drawing/2014/main" id="{BC3E3D95-47DA-F00A-24D1-C60D44A47D2C}"/>
            </a:ext>
          </a:extLst>
        </xdr:cNvPr>
        <xdr:cNvSpPr txBox="1"/>
      </xdr:nvSpPr>
      <xdr:spPr>
        <a:xfrm>
          <a:off x="9398000" y="7480300"/>
          <a:ext cx="5791200" cy="15494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400" b="1">
              <a:solidFill>
                <a:schemeClr val="bg1"/>
              </a:solidFill>
            </a:rPr>
            <a:t>SummerSplash &amp; FestiveRadiance</a:t>
          </a:r>
          <a:endParaRPr lang="en-US" sz="1400">
            <a:solidFill>
              <a:schemeClr val="bg1"/>
            </a:solidFill>
          </a:endParaRPr>
        </a:p>
        <a:p>
          <a:pPr algn="just"/>
          <a:r>
            <a:rPr lang="en-US" sz="1200">
              <a:solidFill>
                <a:schemeClr val="bg1"/>
              </a:solidFill>
            </a:rPr>
            <a:t>With a cost of only </a:t>
          </a:r>
          <a:r>
            <a:rPr lang="en-US" sz="1200" b="1">
              <a:solidFill>
                <a:schemeClr val="bg1"/>
              </a:solidFill>
            </a:rPr>
            <a:t>1.45 per engagement</a:t>
          </a:r>
          <a:r>
            <a:rPr lang="en-US" sz="1200">
              <a:solidFill>
                <a:schemeClr val="bg1"/>
              </a:solidFill>
            </a:rPr>
            <a:t>, these two campaigns delivered the best return on investment.</a:t>
          </a:r>
        </a:p>
        <a:p>
          <a:pPr algn="just"/>
          <a:endParaRPr lang="en-US" sz="12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3810</xdr:rowOff>
    </xdr:from>
    <xdr:to>
      <xdr:col>11</xdr:col>
      <xdr:colOff>167640</xdr:colOff>
      <xdr:row>20</xdr:row>
      <xdr:rowOff>22860</xdr:rowOff>
    </xdr:to>
    <xdr:graphicFrame macro="">
      <xdr:nvGraphicFramePr>
        <xdr:cNvPr id="3" name="Chart 2">
          <a:extLst>
            <a:ext uri="{FF2B5EF4-FFF2-40B4-BE49-F238E27FC236}">
              <a16:creationId xmlns:a16="http://schemas.microsoft.com/office/drawing/2014/main" id="{3E4D199C-5EED-0626-C1FE-865B90114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411480</xdr:colOff>
      <xdr:row>1</xdr:row>
      <xdr:rowOff>76200</xdr:rowOff>
    </xdr:from>
    <xdr:to>
      <xdr:col>11</xdr:col>
      <xdr:colOff>106680</xdr:colOff>
      <xdr:row>16</xdr:row>
      <xdr:rowOff>76200</xdr:rowOff>
    </xdr:to>
    <xdr:graphicFrame macro="">
      <xdr:nvGraphicFramePr>
        <xdr:cNvPr id="2" name="Chart 1">
          <a:extLst>
            <a:ext uri="{FF2B5EF4-FFF2-40B4-BE49-F238E27FC236}">
              <a16:creationId xmlns:a16="http://schemas.microsoft.com/office/drawing/2014/main" id="{3E883675-0A1A-7D97-8CC0-3C7EA39FC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403860</xdr:colOff>
      <xdr:row>16</xdr:row>
      <xdr:rowOff>30480</xdr:rowOff>
    </xdr:from>
    <xdr:to>
      <xdr:col>11</xdr:col>
      <xdr:colOff>106680</xdr:colOff>
      <xdr:row>18</xdr:row>
      <xdr:rowOff>7620</xdr:rowOff>
    </xdr:to>
    <xdr:sp macro="" textlink="">
      <xdr:nvSpPr>
        <xdr:cNvPr id="3" name="TextBox 2">
          <a:extLst>
            <a:ext uri="{FF2B5EF4-FFF2-40B4-BE49-F238E27FC236}">
              <a16:creationId xmlns:a16="http://schemas.microsoft.com/office/drawing/2014/main" id="{365D3611-EFF8-34DC-58EC-A04C68578614}"/>
            </a:ext>
          </a:extLst>
        </xdr:cNvPr>
        <xdr:cNvSpPr txBox="1"/>
      </xdr:nvSpPr>
      <xdr:spPr>
        <a:xfrm>
          <a:off x="3916680" y="2956560"/>
          <a:ext cx="457962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Algerian" panose="04020705040A02060702" pitchFamily="82" charset="0"/>
            </a:rPr>
            <a:t>Average Like &amp; Share Graph by Hashtag</a:t>
          </a:r>
          <a:r>
            <a:rPr lang="en-US" sz="1400" baseline="0">
              <a:latin typeface="Algerian" panose="04020705040A02060702" pitchFamily="82" charset="0"/>
            </a:rPr>
            <a:t> Used </a:t>
          </a:r>
        </a:p>
        <a:p>
          <a:pPr algn="ctr"/>
          <a:endParaRPr lang="en-US" sz="1400">
            <a:latin typeface="Algerian" panose="04020705040A02060702" pitchFamily="82"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22860</xdr:colOff>
      <xdr:row>1</xdr:row>
      <xdr:rowOff>106680</xdr:rowOff>
    </xdr:from>
    <xdr:to>
      <xdr:col>27</xdr:col>
      <xdr:colOff>335280</xdr:colOff>
      <xdr:row>20</xdr:row>
      <xdr:rowOff>15240</xdr:rowOff>
    </xdr:to>
    <xdr:graphicFrame macro="">
      <xdr:nvGraphicFramePr>
        <xdr:cNvPr id="2" name="Chart 1">
          <a:extLst>
            <a:ext uri="{FF2B5EF4-FFF2-40B4-BE49-F238E27FC236}">
              <a16:creationId xmlns:a16="http://schemas.microsoft.com/office/drawing/2014/main" id="{EDF140A2-1C53-8CD9-F456-EBC68971B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25977</xdr:colOff>
      <xdr:row>20</xdr:row>
      <xdr:rowOff>17318</xdr:rowOff>
    </xdr:from>
    <xdr:to>
      <xdr:col>27</xdr:col>
      <xdr:colOff>329046</xdr:colOff>
      <xdr:row>21</xdr:row>
      <xdr:rowOff>147205</xdr:rowOff>
    </xdr:to>
    <xdr:sp macro="" textlink="">
      <xdr:nvSpPr>
        <xdr:cNvPr id="3" name="TextBox 2">
          <a:extLst>
            <a:ext uri="{FF2B5EF4-FFF2-40B4-BE49-F238E27FC236}">
              <a16:creationId xmlns:a16="http://schemas.microsoft.com/office/drawing/2014/main" id="{11274EAF-6726-D3FA-50A5-0307612E4EF0}"/>
            </a:ext>
          </a:extLst>
        </xdr:cNvPr>
        <xdr:cNvSpPr txBox="1"/>
      </xdr:nvSpPr>
      <xdr:spPr>
        <a:xfrm>
          <a:off x="4805795" y="3654136"/>
          <a:ext cx="6883978" cy="3117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Algerian" panose="04020705040A02060702" pitchFamily="82" charset="0"/>
            </a:rPr>
            <a:t>Sum Of Total Engagement </a:t>
          </a:r>
          <a:endParaRPr lang="en-US" sz="1100">
            <a:latin typeface="Algerian" panose="04020705040A02060702" pitchFamily="82"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0</xdr:row>
      <xdr:rowOff>0</xdr:rowOff>
    </xdr:from>
    <xdr:to>
      <xdr:col>11</xdr:col>
      <xdr:colOff>15240</xdr:colOff>
      <xdr:row>33</xdr:row>
      <xdr:rowOff>7620</xdr:rowOff>
    </xdr:to>
    <xdr:graphicFrame macro="">
      <xdr:nvGraphicFramePr>
        <xdr:cNvPr id="2" name="Chart 1">
          <a:extLst>
            <a:ext uri="{FF2B5EF4-FFF2-40B4-BE49-F238E27FC236}">
              <a16:creationId xmlns:a16="http://schemas.microsoft.com/office/drawing/2014/main" id="{0C9E1DE8-D22F-F1AF-D135-8B8ACEE2F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5018</xdr:colOff>
      <xdr:row>2</xdr:row>
      <xdr:rowOff>6166</xdr:rowOff>
    </xdr:from>
    <xdr:to>
      <xdr:col>10</xdr:col>
      <xdr:colOff>594732</xdr:colOff>
      <xdr:row>16</xdr:row>
      <xdr:rowOff>173464</xdr:rowOff>
    </xdr:to>
    <xdr:graphicFrame macro="">
      <xdr:nvGraphicFramePr>
        <xdr:cNvPr id="2" name="Chart 1">
          <a:extLst>
            <a:ext uri="{FF2B5EF4-FFF2-40B4-BE49-F238E27FC236}">
              <a16:creationId xmlns:a16="http://schemas.microsoft.com/office/drawing/2014/main" id="{EA1A5FC2-54DD-17AE-F5EE-1D3711EBE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127000</xdr:rowOff>
    </xdr:from>
    <xdr:to>
      <xdr:col>10</xdr:col>
      <xdr:colOff>0</xdr:colOff>
      <xdr:row>33</xdr:row>
      <xdr:rowOff>152400</xdr:rowOff>
    </xdr:to>
    <xdr:graphicFrame macro="">
      <xdr:nvGraphicFramePr>
        <xdr:cNvPr id="3" name="Chart 2">
          <a:extLst>
            <a:ext uri="{FF2B5EF4-FFF2-40B4-BE49-F238E27FC236}">
              <a16:creationId xmlns:a16="http://schemas.microsoft.com/office/drawing/2014/main" id="{9CEBB598-83F1-DC10-2A57-462C8AAEC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220980</xdr:colOff>
      <xdr:row>1</xdr:row>
      <xdr:rowOff>72390</xdr:rowOff>
    </xdr:from>
    <xdr:to>
      <xdr:col>17</xdr:col>
      <xdr:colOff>38100</xdr:colOff>
      <xdr:row>17</xdr:row>
      <xdr:rowOff>11430</xdr:rowOff>
    </xdr:to>
    <xdr:graphicFrame macro="">
      <xdr:nvGraphicFramePr>
        <xdr:cNvPr id="2" name="Chart 1">
          <a:extLst>
            <a:ext uri="{FF2B5EF4-FFF2-40B4-BE49-F238E27FC236}">
              <a16:creationId xmlns:a16="http://schemas.microsoft.com/office/drawing/2014/main" id="{179B5AB2-57F8-A16B-4BC7-10381478A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327660</xdr:colOff>
      <xdr:row>0</xdr:row>
      <xdr:rowOff>0</xdr:rowOff>
    </xdr:from>
    <xdr:to>
      <xdr:col>10</xdr:col>
      <xdr:colOff>22860</xdr:colOff>
      <xdr:row>56</xdr:row>
      <xdr:rowOff>0</xdr:rowOff>
    </xdr:to>
    <xdr:graphicFrame macro="">
      <xdr:nvGraphicFramePr>
        <xdr:cNvPr id="2" name="Chart 1">
          <a:extLst>
            <a:ext uri="{FF2B5EF4-FFF2-40B4-BE49-F238E27FC236}">
              <a16:creationId xmlns:a16="http://schemas.microsoft.com/office/drawing/2014/main" id="{E267AF1B-D94B-898E-ADF2-CA8EA99EE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68580</xdr:colOff>
      <xdr:row>4</xdr:row>
      <xdr:rowOff>30480</xdr:rowOff>
    </xdr:from>
    <xdr:to>
      <xdr:col>15</xdr:col>
      <xdr:colOff>579120</xdr:colOff>
      <xdr:row>22</xdr:row>
      <xdr:rowOff>45720</xdr:rowOff>
    </xdr:to>
    <xdr:graphicFrame macro="">
      <xdr:nvGraphicFramePr>
        <xdr:cNvPr id="2" name="Chart 1">
          <a:extLst>
            <a:ext uri="{FF2B5EF4-FFF2-40B4-BE49-F238E27FC236}">
              <a16:creationId xmlns:a16="http://schemas.microsoft.com/office/drawing/2014/main" id="{D1E6DCA2-B67D-B5E0-419A-885F4F6CA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60960</xdr:colOff>
      <xdr:row>22</xdr:row>
      <xdr:rowOff>76200</xdr:rowOff>
    </xdr:from>
    <xdr:to>
      <xdr:col>15</xdr:col>
      <xdr:colOff>571500</xdr:colOff>
      <xdr:row>24</xdr:row>
      <xdr:rowOff>45720</xdr:rowOff>
    </xdr:to>
    <xdr:sp macro="" textlink="">
      <xdr:nvSpPr>
        <xdr:cNvPr id="3" name="TextBox 2">
          <a:extLst>
            <a:ext uri="{FF2B5EF4-FFF2-40B4-BE49-F238E27FC236}">
              <a16:creationId xmlns:a16="http://schemas.microsoft.com/office/drawing/2014/main" id="{E69C9103-7A16-CDB7-0B6B-A999402B558F}"/>
            </a:ext>
          </a:extLst>
        </xdr:cNvPr>
        <xdr:cNvSpPr txBox="1"/>
      </xdr:nvSpPr>
      <xdr:spPr>
        <a:xfrm>
          <a:off x="4792980" y="4099560"/>
          <a:ext cx="599694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Algerian" panose="04020705040A02060702" pitchFamily="82" charset="0"/>
            </a:rPr>
            <a:t>Platform Wise Follower Growth</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15240</xdr:colOff>
      <xdr:row>0</xdr:row>
      <xdr:rowOff>0</xdr:rowOff>
    </xdr:from>
    <xdr:to>
      <xdr:col>10</xdr:col>
      <xdr:colOff>579120</xdr:colOff>
      <xdr:row>15</xdr:row>
      <xdr:rowOff>0</xdr:rowOff>
    </xdr:to>
    <xdr:graphicFrame macro="">
      <xdr:nvGraphicFramePr>
        <xdr:cNvPr id="2" name="Chart 1">
          <a:extLst>
            <a:ext uri="{FF2B5EF4-FFF2-40B4-BE49-F238E27FC236}">
              <a16:creationId xmlns:a16="http://schemas.microsoft.com/office/drawing/2014/main" id="{58C36A82-C6F1-C9D0-B65B-DDED40C1C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15240</xdr:colOff>
      <xdr:row>2</xdr:row>
      <xdr:rowOff>15240</xdr:rowOff>
    </xdr:from>
    <xdr:to>
      <xdr:col>12</xdr:col>
      <xdr:colOff>586740</xdr:colOff>
      <xdr:row>24</xdr:row>
      <xdr:rowOff>152400</xdr:rowOff>
    </xdr:to>
    <xdr:graphicFrame macro="">
      <xdr:nvGraphicFramePr>
        <xdr:cNvPr id="2" name="Chart 1">
          <a:extLst>
            <a:ext uri="{FF2B5EF4-FFF2-40B4-BE49-F238E27FC236}">
              <a16:creationId xmlns:a16="http://schemas.microsoft.com/office/drawing/2014/main" id="{664D8CFE-AEFC-73F2-9F11-674FA7714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15240</xdr:colOff>
      <xdr:row>1</xdr:row>
      <xdr:rowOff>171450</xdr:rowOff>
    </xdr:from>
    <xdr:to>
      <xdr:col>11</xdr:col>
      <xdr:colOff>601980</xdr:colOff>
      <xdr:row>16</xdr:row>
      <xdr:rowOff>171450</xdr:rowOff>
    </xdr:to>
    <xdr:graphicFrame macro="">
      <xdr:nvGraphicFramePr>
        <xdr:cNvPr id="3" name="Chart 2">
          <a:extLst>
            <a:ext uri="{FF2B5EF4-FFF2-40B4-BE49-F238E27FC236}">
              <a16:creationId xmlns:a16="http://schemas.microsoft.com/office/drawing/2014/main" id="{10A3784C-3C7F-5D5C-B03F-EFC8EB16F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im Mishra" refreshedDate="45930.540711574075" createdVersion="8" refreshedVersion="8" minRefreshableVersion="3" recordCount="339" xr:uid="{63AC8DBD-A3DF-43CE-8AD7-F8840067F48F}">
  <cacheSource type="worksheet">
    <worksheetSource name="Table15_1"/>
  </cacheSource>
  <cacheFields count="19">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acheField>
    <cacheField name="Post Text" numFmtId="0">
      <sharedItems/>
    </cacheField>
    <cacheField name="Likes" numFmtId="2">
      <sharedItems containsSemiMixedTypes="0" containsString="0" containsNumber="1" containsInteger="1" minValue="53" maxValue="4941"/>
    </cacheField>
    <cacheField name="Shares" numFmtId="2">
      <sharedItems containsSemiMixedTypes="0" containsString="0" containsNumber="1" containsInteger="1" minValue="10" maxValue="983"/>
    </cacheField>
    <cacheField name="Comments" numFmtId="2">
      <sharedItems containsSemiMixedTypes="0" containsString="0" containsNumber="1" containsInteger="1" minValue="7" maxValue="500"/>
    </cacheField>
    <cacheField name="Impressions" numFmtId="2">
      <sharedItems containsSemiMixedTypes="0" containsString="0" containsNumber="1" containsInteger="1" minValue="588" maxValue="98100"/>
    </cacheField>
    <cacheField name="Reach" numFmtId="2">
      <sharedItems containsSemiMixedTypes="0" containsString="0" containsNumber="1" containsInteger="1" minValue="7" maxValue="97772"/>
    </cacheField>
    <cacheField name="Clicks" numFmtId="2">
      <sharedItems containsSemiMixedTypes="0" containsString="0" containsNumber="1" containsInteger="1" minValue="10" maxValue="300"/>
    </cacheField>
    <cacheField name="Hashtags Used" numFmtId="0">
      <sharedItems count="6">
        <s v="#LiveForNow"/>
        <s v="#AnytimeIsPepsiTime"/>
        <s v="#PepsiCoRefresh"/>
        <s v="#BetterWithPepsi"/>
        <s v="#ThirstyForMore"/>
        <s v="#SmoothLikeNitroPepsi"/>
      </sharedItems>
    </cacheField>
    <cacheField name="Campaign_Name" numFmtId="0">
      <sharedItems containsBlank="1"/>
    </cacheField>
    <cacheField name="Total Engagement " numFmtId="2">
      <sharedItems containsSemiMixedTypes="0" containsString="0" containsNumber="1" containsInteger="1" minValue="315" maxValue="6278"/>
    </cacheField>
    <cacheField name="Engagement Rate" numFmtId="10">
      <sharedItems containsSemiMixedTypes="0" containsString="0" containsNumber="1" minValue="5.2551586421122697E-2" maxValue="1.8129251700680271"/>
    </cacheField>
    <cacheField name="Campaign_Name2" numFmtId="0">
      <sharedItems/>
    </cacheField>
    <cacheField name="Start Date" numFmtId="14">
      <sharedItems containsNonDate="0" containsDate="1" containsString="0" containsBlank="1" minDate="2024-06-15T00:00:00" maxDate="2025-03-02T00:00:00"/>
    </cacheField>
    <cacheField name="End Date" numFmtId="14">
      <sharedItems containsNonDate="0" containsDate="1" containsString="0" containsBlank="1" minDate="2024-07-15T00:00:00" maxDate="2025-04-01T00:00:00"/>
    </cacheField>
    <cacheField name="Budget" numFmtId="164">
      <sharedItems containsString="0" containsBlank="1" containsNumber="1" containsInteger="1" minValue="150000" maxValue="25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im Mishra" refreshedDate="45930.848821990738" createdVersion="8" refreshedVersion="8" minRefreshableVersion="3" recordCount="300" xr:uid="{683491B7-397E-4441-BB7D-B907845B2CBE}">
  <cacheSource type="worksheet">
    <worksheetSource name="Table1"/>
  </cacheSource>
  <cacheFields count="27">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Used" numFmtId="0">
      <sharedItems count="18">
        <s v="#LiveForNow,#AnytimeIsPepsiTime"/>
        <s v="#PepsiCoRefresh,#BetterWithPepsi"/>
        <s v="#PepsiCoRefresh"/>
        <s v="#ThirstyForMore"/>
        <s v="#ThirstyForMore,#PepsiCoRefresh"/>
        <s v="#LiveForNow"/>
        <s v="#PepsiCoRefresh,#AnytimeIsPepsiTime"/>
        <s v="#ThirstyForMore,#BetterWithPepsi"/>
        <s v="#ThirstyForMore,#PepsiCoRefresh,#AnytimeIsPepsiTime"/>
        <s v="#LiveForNow,#PepsiCoRefresh,#AnytimeIsPepsiTime"/>
        <s v="#ThirstyForMore,#SmoothLikeNitroPepsi"/>
        <s v="#ThirstyForMore,#AnytimeIsPepsiTime"/>
        <s v="#PepsiCoRefresh,#SmoothLikeNitroPepsi"/>
        <s v="#LiveForNow,#SmoothLikeNitroPepsi"/>
        <s v="#LiveForNow,#AnytimeIsPepsiTime,#ThirstyForMore"/>
        <s v="#LiveForNow,#ThirstyForMore,#BetterWithPepsi"/>
        <s v="#ThirstyForMore,#ThirstyForMore,#BetterWithPepsi"/>
        <s v="#PepsiCoRefresh,#ThirstyForMore,#BetterWithPepsi"/>
      </sharedItems>
    </cacheField>
    <cacheField name="Campaign_Name" numFmtId="0">
      <sharedItems containsBlank="1"/>
    </cacheField>
    <cacheField name="Total Engagement " numFmtId="1">
      <sharedItems containsSemiMixedTypes="0" containsString="0" containsNumber="1" containsInteger="1" minValue="315" maxValue="6278"/>
    </cacheField>
    <cacheField name="Engagement Rate" numFmtId="10">
      <sharedItems containsSemiMixedTypes="0" containsString="0" containsNumber="1" minValue="5.2551586421122697E-2" maxValue="1.8129251700680271"/>
    </cacheField>
    <cacheField name="Campaign_Name2" numFmtId="0">
      <sharedItems count="5">
        <s v="No Campaign"/>
        <s v="SummerSplash"/>
        <s v="FestiveRadiance"/>
        <s v="DailyWellness"/>
        <s v="NewYearRefresh"/>
      </sharedItems>
    </cacheField>
    <cacheField name="Start Date" numFmtId="14">
      <sharedItems containsDate="1" containsMixedTypes="1" minDate="2024-06-15T00:00:00" maxDate="2025-03-02T00:00:00"/>
    </cacheField>
    <cacheField name="End Date" numFmtId="14">
      <sharedItems containsDate="1" containsMixedTypes="1" minDate="2024-07-15T00:00:00" maxDate="2025-04-01T00:00:00"/>
    </cacheField>
    <cacheField name="Budget" numFmtId="0">
      <sharedItems containsMixedTypes="1" containsNumber="1" containsInteger="1" minValue="150000" maxValue="250000"/>
    </cacheField>
    <cacheField name="Per-Post Budget" numFmtId="0">
      <sharedItems containsSemiMixedTypes="0" containsString="0" containsNumber="1" minValue="0" maxValue="25000"/>
    </cacheField>
    <cacheField name="Field1" numFmtId="0" formula="Budget/Likes+Shares+Comments" databaseField="0"/>
    <cacheField name="Field2" numFmtId="0" formula="Budget/ (Likes+Shares+Comments)" databaseField="0"/>
    <cacheField name="Field3" numFmtId="0" formula="'Per-Post Budget'/ (Likes+Shares+Comments)" databaseField="0"/>
    <cacheField name="Field4" numFmtId="0" formula="'Per-Post Budget'/ (Likes+Shares+Comments)" databaseField="0"/>
    <cacheField name="Cost Per Engagement" numFmtId="0" formula="'Per-Post Budget'/Likes+Shares+Comments" databaseField="0"/>
    <cacheField name="Field5" numFmtId="0" formula="'Per-Post Budget'/ (Likes+Shares+Comments)" databaseField="0"/>
    <cacheField name="Field6" numFmtId="0" formula="(Likes +Shares +Comments )"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im Mishra" refreshedDate="45930.860739930555" createdVersion="8" refreshedVersion="8" minRefreshableVersion="3" recordCount="200" xr:uid="{21A3D0DD-A836-4B64-A0D7-E49E0F9B41CD}">
  <cacheSource type="worksheet">
    <worksheetSource name="Table2"/>
  </cacheSource>
  <cacheFields count="12">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1"/>
    </cacheField>
    <cacheField name="Platform" numFmtId="0">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ount="200">
        <n v="344084"/>
        <n v="42654"/>
        <n v="146834"/>
        <n v="395536"/>
        <n v="49157"/>
        <n v="316555"/>
        <n v="254347"/>
        <n v="413878"/>
        <n v="456946"/>
        <n v="169496"/>
        <n v="122732"/>
        <n v="382851"/>
        <n v="35664"/>
        <n v="26295"/>
        <n v="298421"/>
        <n v="426184"/>
        <n v="419447"/>
        <n v="220020"/>
        <n v="315305"/>
        <n v="113678"/>
        <n v="58223"/>
        <n v="251694"/>
        <n v="389810"/>
        <n v="233694"/>
        <n v="154169"/>
        <n v="334626"/>
        <n v="226002"/>
        <n v="156683"/>
        <n v="473812"/>
        <n v="295032"/>
        <n v="198278"/>
        <n v="306564"/>
        <n v="23664"/>
        <n v="435034"/>
        <n v="287574"/>
        <n v="62499"/>
        <n v="437968"/>
        <n v="125034"/>
        <n v="449994"/>
        <n v="320650"/>
        <n v="489188"/>
        <n v="307612"/>
        <n v="434883"/>
        <n v="102042"/>
        <n v="325444"/>
        <n v="183924"/>
        <n v="188655"/>
        <n v="87443"/>
        <n v="453799"/>
        <n v="379380"/>
        <n v="186454"/>
        <n v="239044"/>
        <n v="101332"/>
        <n v="496982"/>
        <n v="318779"/>
        <n v="370971"/>
        <n v="378054"/>
        <n v="307524"/>
        <n v="434047"/>
        <n v="64583"/>
        <n v="50793"/>
        <n v="474162"/>
        <n v="392355"/>
        <n v="119934"/>
        <n v="422625"/>
        <n v="239753"/>
        <n v="268516"/>
        <n v="63177"/>
        <n v="370269"/>
        <n v="453423"/>
        <n v="64906"/>
        <n v="94360"/>
        <n v="187183"/>
        <n v="379363"/>
        <n v="476486"/>
        <n v="117767"/>
        <n v="388555"/>
        <n v="157599"/>
        <n v="309772"/>
        <n v="199178"/>
        <n v="357089"/>
        <n v="23492"/>
        <n v="258287"/>
        <n v="256910"/>
        <n v="346522"/>
        <n v="209987"/>
        <n v="240550"/>
        <n v="305827"/>
        <n v="54935"/>
        <n v="319186"/>
        <n v="439080"/>
        <n v="258944"/>
        <n v="51395"/>
        <n v="309483"/>
        <n v="87305"/>
        <n v="121091"/>
        <n v="51087"/>
        <n v="338847"/>
        <n v="487523"/>
        <n v="301695"/>
        <n v="282466"/>
        <n v="336661"/>
        <n v="88455"/>
        <n v="62535"/>
        <n v="421957"/>
        <n v="470269"/>
        <n v="309904"/>
        <n v="221274"/>
        <n v="220616"/>
        <n v="35842"/>
        <n v="20607"/>
        <n v="451894"/>
        <n v="465553"/>
        <n v="415815"/>
        <n v="327183"/>
        <n v="488901"/>
        <n v="280795"/>
        <n v="93347"/>
        <n v="81119"/>
        <n v="25177"/>
        <n v="140804"/>
        <n v="379431"/>
        <n v="274831"/>
        <n v="136845"/>
        <n v="466382"/>
        <n v="95728"/>
        <n v="371156"/>
        <n v="95410"/>
        <n v="349413"/>
        <n v="224699"/>
        <n v="487896"/>
        <n v="14437"/>
        <n v="383681"/>
        <n v="479490"/>
        <n v="124404"/>
        <n v="336949"/>
        <n v="357265"/>
        <n v="321307"/>
        <n v="262569"/>
        <n v="461669"/>
        <n v="351556"/>
        <n v="135987"/>
        <n v="177554"/>
        <n v="270766"/>
        <n v="222126"/>
        <n v="309914"/>
        <n v="126582"/>
        <n v="485280"/>
        <n v="453243"/>
        <n v="104967"/>
        <n v="145608"/>
        <n v="105980"/>
        <n v="126524"/>
        <n v="230448"/>
        <n v="317007"/>
        <n v="464239"/>
        <n v="257579"/>
        <n v="366881"/>
        <n v="466575"/>
        <n v="224534"/>
        <n v="462142"/>
        <n v="340842"/>
        <n v="12471"/>
        <n v="98397"/>
        <n v="410330"/>
        <n v="342129"/>
        <n v="12447"/>
        <n v="17380"/>
        <n v="364810"/>
        <n v="373606"/>
        <n v="211090"/>
        <n v="441931"/>
        <n v="282780"/>
        <n v="370070"/>
        <n v="198350"/>
        <n v="435726"/>
        <n v="78789"/>
        <n v="98596"/>
        <n v="29589"/>
        <n v="290354"/>
        <n v="66682"/>
        <n v="70707"/>
        <n v="142507"/>
        <n v="369525"/>
        <n v="62942"/>
        <n v="377382"/>
        <n v="333851"/>
        <n v="270958"/>
        <n v="445944"/>
        <n v="224830"/>
        <n v="487289"/>
        <n v="11435"/>
        <n v="447902"/>
        <n v="418696"/>
        <n v="484364"/>
        <n v="148477"/>
        <n v="468301"/>
        <n v="364820"/>
        <n v="456298"/>
        <n v="82558"/>
      </sharedItems>
    </cacheField>
    <cacheField name="Engagement_Rate" numFmtId="2">
      <sharedItems containsSemiMixedTypes="0" containsString="0" containsNumber="1" minValue="1.53" maxValue="9.48"/>
    </cacheField>
    <cacheField name="Ad_Spend" numFmtId="164">
      <sharedItems containsSemiMixedTypes="0" containsString="0" containsNumber="1" containsInteger="1" minValue="1083" maxValue="49772"/>
    </cacheField>
    <cacheField name="Net_Growth" numFmtId="1">
      <sharedItems containsSemiMixedTypes="0" containsString="0" containsNumber="1" containsInteger="1" minValue="-337" maxValue="1881"/>
    </cacheField>
    <cacheField name="Growth_Rate" numFmtId="10">
      <sharedItems containsSemiMixedTypes="0" containsString="0" containsNumber="1" minValue="-4.0653839194161288E-3" maxValue="0.12139196115457243"/>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Quarters (Week_Start_Date)" numFmtId="0" databaseField="0">
      <fieldGroup base="0">
        <rangePr groupBy="quarters" startDate="2024-06-03T00:00:00" endDate="2025-05-13T00:00:00"/>
        <groupItems count="6">
          <s v="&lt;03-06-2024"/>
          <s v="Qtr1"/>
          <s v="Qtr2"/>
          <s v="Qtr3"/>
          <s v="Qtr4"/>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pivotCacheId="91945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x v="0"/>
    <d v="2024-12-23T00:00:00"/>
    <s v="Reel"/>
    <s v="Check out our latest reel on twitter!"/>
    <n v="1461"/>
    <n v="184"/>
    <n v="344"/>
    <n v="21915"/>
    <n v="21675"/>
    <n v="15"/>
    <x v="0"/>
    <s v="SummerSplash"/>
    <n v="1989"/>
    <n v="9.0759753593429152E-2"/>
    <s v="No Campaign"/>
    <m/>
    <m/>
    <m/>
  </r>
  <r>
    <s v="P001"/>
    <x v="0"/>
    <d v="2024-12-23T00:00:00"/>
    <s v="Reel"/>
    <s v="Check out our latest reel on twitter!"/>
    <n v="1461"/>
    <n v="184"/>
    <n v="344"/>
    <n v="21915"/>
    <n v="21675"/>
    <n v="15"/>
    <x v="1"/>
    <s v="SummerSplash"/>
    <n v="1989"/>
    <n v="9.0759753593429152E-2"/>
    <s v="No Campaign"/>
    <m/>
    <m/>
    <m/>
  </r>
  <r>
    <s v="P002"/>
    <x v="0"/>
    <d v="2025-04-03T00:00:00"/>
    <s v="Text"/>
    <s v="Check out our latest text on twitter!"/>
    <n v="4054"/>
    <n v="389"/>
    <n v="493"/>
    <n v="64864"/>
    <n v="64383"/>
    <n v="117"/>
    <x v="2"/>
    <s v="FestiveRadiance"/>
    <n v="4936"/>
    <n v="7.6097681302417369E-2"/>
    <s v="No Campaign"/>
    <m/>
    <m/>
    <m/>
  </r>
  <r>
    <s v="P002"/>
    <x v="0"/>
    <d v="2025-04-03T00:00:00"/>
    <s v="Text"/>
    <s v="Check out our latest text on twitter!"/>
    <n v="4054"/>
    <n v="389"/>
    <n v="493"/>
    <n v="64864"/>
    <n v="64383"/>
    <n v="117"/>
    <x v="3"/>
    <s v="FestiveRadiance"/>
    <n v="4936"/>
    <n v="7.6097681302417369E-2"/>
    <s v="No Campaign"/>
    <m/>
    <m/>
    <m/>
  </r>
  <r>
    <s v="P003"/>
    <x v="1"/>
    <d v="2025-05-12T00:00:00"/>
    <s v="Reel"/>
    <s v="Check out our latest reel on youtube!"/>
    <n v="2795"/>
    <n v="105"/>
    <n v="49"/>
    <n v="53105"/>
    <n v="52307"/>
    <n v="204"/>
    <x v="2"/>
    <s v="NewYearRefresh"/>
    <n v="2949"/>
    <n v="5.5531494209584788E-2"/>
    <s v="No Campaign"/>
    <m/>
    <m/>
    <m/>
  </r>
  <r>
    <s v="P004"/>
    <x v="2"/>
    <d v="2024-08-12T00:00:00"/>
    <s v="Story"/>
    <s v="Check out our latest story on instagram!"/>
    <n v="2404"/>
    <n v="363"/>
    <n v="138"/>
    <n v="19232"/>
    <n v="18636"/>
    <n v="128"/>
    <x v="4"/>
    <s v="DailyWellness"/>
    <n v="2905"/>
    <n v="0.15105033277870217"/>
    <s v="No Campaign"/>
    <m/>
    <m/>
    <m/>
  </r>
  <r>
    <s v="P005"/>
    <x v="1"/>
    <d v="2024-06-26T00:00:00"/>
    <s v="Reel"/>
    <s v="Check out our latest reel on youtube!"/>
    <n v="3557"/>
    <n v="687"/>
    <n v="424"/>
    <n v="71140"/>
    <n v="70701"/>
    <n v="224"/>
    <x v="4"/>
    <s v="SummerSplash"/>
    <n v="4668"/>
    <n v="6.5617093055946027E-2"/>
    <s v="SummerSplash"/>
    <d v="2024-06-15T00:00:00"/>
    <d v="2024-07-15T00:00:00"/>
    <n v="150000"/>
  </r>
  <r>
    <s v="P005"/>
    <x v="1"/>
    <d v="2024-06-26T00:00:00"/>
    <s v="Reel"/>
    <s v="Check out our latest reel on youtube!"/>
    <n v="3557"/>
    <n v="687"/>
    <n v="424"/>
    <n v="71140"/>
    <n v="70701"/>
    <n v="224"/>
    <x v="2"/>
    <s v="SummerSplash"/>
    <n v="4668"/>
    <n v="6.5617093055946027E-2"/>
    <s v="SummerSplash"/>
    <d v="2024-06-15T00:00:00"/>
    <d v="2024-07-15T00:00:00"/>
    <n v="150000"/>
  </r>
  <r>
    <s v="P006"/>
    <x v="3"/>
    <d v="2024-10-31T00:00:00"/>
    <s v="Carousel"/>
    <s v="Check out our latest carousel on facebook!"/>
    <n v="2945"/>
    <n v="930"/>
    <n v="355"/>
    <n v="23560"/>
    <n v="23275"/>
    <n v="256"/>
    <x v="2"/>
    <s v="FestiveRadiance"/>
    <n v="4230"/>
    <n v="0.17954159592529711"/>
    <s v="FestiveRadiance"/>
    <d v="2024-10-01T00:00:00"/>
    <d v="2024-10-31T00:00:00"/>
    <n v="200000"/>
  </r>
  <r>
    <s v="P007"/>
    <x v="0"/>
    <d v="2024-06-24T00:00:00"/>
    <s v="Carousel"/>
    <s v="Check out our latest carousel on twitter!"/>
    <n v="3860"/>
    <n v="201"/>
    <n v="279"/>
    <n v="61760"/>
    <n v="61660"/>
    <n v="235"/>
    <x v="2"/>
    <s v="FestiveRadiance"/>
    <n v="4340"/>
    <n v="7.0272020725388601E-2"/>
    <s v="SummerSplash"/>
    <d v="2024-06-15T00:00:00"/>
    <d v="2024-07-15T00:00:00"/>
    <n v="150000"/>
  </r>
  <r>
    <s v="P008"/>
    <x v="1"/>
    <d v="2024-07-13T00:00:00"/>
    <s v="Image"/>
    <s v="Check out our latest image on youtube!"/>
    <n v="3929"/>
    <n v="262"/>
    <n v="278"/>
    <n v="43219"/>
    <n v="42841"/>
    <n v="39"/>
    <x v="4"/>
    <s v="DailyWellness"/>
    <n v="4469"/>
    <n v="0.10340359564080613"/>
    <s v="SummerSplash"/>
    <d v="2024-06-15T00:00:00"/>
    <d v="2024-07-15T00:00:00"/>
    <n v="150000"/>
  </r>
  <r>
    <s v="P009"/>
    <x v="3"/>
    <d v="2024-08-30T00:00:00"/>
    <s v="Text"/>
    <s v="Check out our latest text on facebook!"/>
    <n v="3784"/>
    <n v="808"/>
    <n v="404"/>
    <n v="56760"/>
    <n v="56343"/>
    <n v="131"/>
    <x v="2"/>
    <s v="FestiveRadiance"/>
    <n v="4996"/>
    <n v="8.8019732205778717E-2"/>
    <s v="No Campaign"/>
    <m/>
    <m/>
    <m/>
  </r>
  <r>
    <s v="P010"/>
    <x v="3"/>
    <d v="2025-03-11T00:00:00"/>
    <s v="Image"/>
    <s v="Check out our latest image on facebook!"/>
    <n v="4241"/>
    <n v="902"/>
    <n v="47"/>
    <n v="72097"/>
    <n v="71598"/>
    <n v="167"/>
    <x v="2"/>
    <s v="FestiveRadiance"/>
    <n v="5190"/>
    <n v="7.198635172059864E-2"/>
    <s v="DailyWellness"/>
    <d v="2025-03-01T00:00:00"/>
    <d v="2025-03-31T00:00:00"/>
    <n v="180000"/>
  </r>
  <r>
    <s v="P011"/>
    <x v="2"/>
    <d v="2025-02-02T00:00:00"/>
    <s v="Story"/>
    <s v="Check out our latest story on instagram!"/>
    <n v="1792"/>
    <n v="614"/>
    <n v="497"/>
    <n v="25088"/>
    <n v="24675"/>
    <n v="65"/>
    <x v="0"/>
    <s v="DailyWellness"/>
    <n v="2903"/>
    <n v="0.11571269132653061"/>
    <s v="No Campaign"/>
    <m/>
    <m/>
    <m/>
  </r>
  <r>
    <s v="P012"/>
    <x v="3"/>
    <d v="2024-07-21T00:00:00"/>
    <s v="Reel"/>
    <s v="Check out our latest reel on facebook!"/>
    <n v="1946"/>
    <n v="686"/>
    <n v="377"/>
    <n v="23352"/>
    <n v="22982"/>
    <n v="213"/>
    <x v="0"/>
    <s v="NewYearRefresh"/>
    <n v="3009"/>
    <n v="0.12885405960945528"/>
    <s v="No Campaign"/>
    <m/>
    <m/>
    <m/>
  </r>
  <r>
    <s v="P013"/>
    <x v="1"/>
    <d v="2024-11-18T00:00:00"/>
    <s v="Carousel"/>
    <s v="Check out our latest carousel on youtube!"/>
    <n v="1171"/>
    <n v="286"/>
    <n v="231"/>
    <n v="22249"/>
    <n v="21282"/>
    <n v="114"/>
    <x v="4"/>
    <s v="SummerSplash"/>
    <n v="1688"/>
    <n v="7.5868578363072495E-2"/>
    <s v="No Campaign"/>
    <m/>
    <m/>
    <m/>
  </r>
  <r>
    <s v="P014"/>
    <x v="3"/>
    <d v="2025-02-16T00:00:00"/>
    <s v="Story"/>
    <s v="Check out our latest story on facebook!"/>
    <n v="4242"/>
    <n v="555"/>
    <n v="131"/>
    <n v="33936"/>
    <n v="33802"/>
    <n v="265"/>
    <x v="0"/>
    <m/>
    <n v="4928"/>
    <n v="0.14521452145214522"/>
    <s v="No Campaign"/>
    <m/>
    <m/>
    <m/>
  </r>
  <r>
    <s v="P015"/>
    <x v="3"/>
    <d v="2024-10-24T00:00:00"/>
    <s v="Video"/>
    <s v="Check out our latest video on facebook!"/>
    <n v="3888"/>
    <n v="604"/>
    <n v="128"/>
    <n v="77760"/>
    <n v="77167"/>
    <n v="20"/>
    <x v="0"/>
    <s v="SummerSplash"/>
    <n v="4620"/>
    <n v="5.941358024691358E-2"/>
    <s v="FestiveRadiance"/>
    <d v="2024-10-01T00:00:00"/>
    <d v="2024-10-31T00:00:00"/>
    <n v="200000"/>
  </r>
  <r>
    <s v="P016"/>
    <x v="3"/>
    <d v="2024-08-26T00:00:00"/>
    <s v="Text"/>
    <s v="Check out our latest text on facebook!"/>
    <n v="3452"/>
    <n v="377"/>
    <n v="360"/>
    <n v="55232"/>
    <n v="55075"/>
    <n v="87"/>
    <x v="0"/>
    <s v="NewYearRefresh"/>
    <n v="4189"/>
    <n v="7.5843713789107758E-2"/>
    <s v="No Campaign"/>
    <m/>
    <m/>
    <m/>
  </r>
  <r>
    <s v="P017"/>
    <x v="3"/>
    <d v="2025-05-05T00:00:00"/>
    <s v="Text"/>
    <s v="Check out our latest text on facebook!"/>
    <n v="4441"/>
    <n v="511"/>
    <n v="70"/>
    <n v="53292"/>
    <n v="53082"/>
    <n v="159"/>
    <x v="4"/>
    <s v="DailyWellness"/>
    <n v="5022"/>
    <n v="9.4235532537716729E-2"/>
    <s v="No Campaign"/>
    <m/>
    <m/>
    <m/>
  </r>
  <r>
    <s v="P018"/>
    <x v="2"/>
    <d v="2024-08-19T00:00:00"/>
    <s v="Reel"/>
    <s v="Check out our latest reel on instagram!"/>
    <n v="3000"/>
    <n v="382"/>
    <n v="325"/>
    <n v="36000"/>
    <n v="35819"/>
    <n v="19"/>
    <x v="0"/>
    <s v="SummerSplash"/>
    <n v="3707"/>
    <n v="0.10297222222222223"/>
    <s v="No Campaign"/>
    <m/>
    <m/>
    <m/>
  </r>
  <r>
    <s v="P019"/>
    <x v="2"/>
    <d v="2024-06-23T00:00:00"/>
    <s v="Video"/>
    <s v="Check out our latest video on instagram!"/>
    <n v="1071"/>
    <n v="519"/>
    <n v="22"/>
    <n v="16065"/>
    <n v="15865"/>
    <n v="103"/>
    <x v="2"/>
    <s v="DailyWellness"/>
    <n v="1612"/>
    <n v="0.10034235916588857"/>
    <s v="SummerSplash"/>
    <d v="2024-06-15T00:00:00"/>
    <d v="2024-07-15T00:00:00"/>
    <n v="150000"/>
  </r>
  <r>
    <s v="P020"/>
    <x v="2"/>
    <d v="2024-09-09T00:00:00"/>
    <s v="Carousel"/>
    <s v="Check out our latest carousel on instagram!"/>
    <n v="4054"/>
    <n v="488"/>
    <n v="373"/>
    <n v="77026"/>
    <n v="76881"/>
    <n v="25"/>
    <x v="2"/>
    <s v="SummerSplash"/>
    <n v="4915"/>
    <n v="6.3809622724794221E-2"/>
    <s v="No Campaign"/>
    <m/>
    <m/>
    <m/>
  </r>
  <r>
    <s v="P021"/>
    <x v="2"/>
    <d v="2025-01-04T00:00:00"/>
    <s v="Reel"/>
    <s v="Check out our latest reel on instagram!"/>
    <n v="4838"/>
    <n v="640"/>
    <n v="128"/>
    <n v="72570"/>
    <n v="72396"/>
    <n v="83"/>
    <x v="0"/>
    <s v="DailyWellness"/>
    <n v="5606"/>
    <n v="7.7249552156538517E-2"/>
    <s v="NewYearRefresh"/>
    <d v="2024-12-25T00:00:00"/>
    <d v="2025-01-10T00:00:00"/>
    <n v="250000"/>
  </r>
  <r>
    <s v="P022"/>
    <x v="3"/>
    <d v="2025-02-27T00:00:00"/>
    <s v="Text"/>
    <s v="Check out our latest text on facebook!"/>
    <n v="1570"/>
    <n v="187"/>
    <n v="260"/>
    <n v="25120"/>
    <n v="24613"/>
    <n v="133"/>
    <x v="2"/>
    <s v="DailyWellness"/>
    <n v="2017"/>
    <n v="8.0294585987261149E-2"/>
    <s v="No Campaign"/>
    <m/>
    <m/>
    <m/>
  </r>
  <r>
    <s v="P023"/>
    <x v="3"/>
    <d v="2024-11-06T00:00:00"/>
    <s v="Video"/>
    <s v="Check out our latest video on facebook!"/>
    <n v="1606"/>
    <n v="547"/>
    <n v="316"/>
    <n v="32120"/>
    <n v="31736"/>
    <n v="225"/>
    <x v="2"/>
    <s v="FestiveRadiance"/>
    <n v="2469"/>
    <n v="7.6867995018679955E-2"/>
    <s v="No Campaign"/>
    <m/>
    <m/>
    <m/>
  </r>
  <r>
    <s v="P023"/>
    <x v="3"/>
    <d v="2024-11-06T00:00:00"/>
    <s v="Video"/>
    <s v="Check out our latest video on facebook!"/>
    <n v="1606"/>
    <n v="547"/>
    <n v="316"/>
    <n v="32120"/>
    <n v="31736"/>
    <n v="225"/>
    <x v="1"/>
    <s v="FestiveRadiance"/>
    <n v="2469"/>
    <n v="7.6867995018679955E-2"/>
    <s v="No Campaign"/>
    <m/>
    <m/>
    <m/>
  </r>
  <r>
    <s v="P024"/>
    <x v="3"/>
    <d v="2025-01-23T00:00:00"/>
    <s v="Video"/>
    <s v="Check out our latest video on facebook!"/>
    <n v="3961"/>
    <n v="761"/>
    <n v="131"/>
    <n v="67337"/>
    <n v="66615"/>
    <n v="161"/>
    <x v="0"/>
    <s v="NewYearRefresh"/>
    <n v="4853"/>
    <n v="7.2070332803659209E-2"/>
    <s v="No Campaign"/>
    <m/>
    <m/>
    <m/>
  </r>
  <r>
    <s v="P025"/>
    <x v="0"/>
    <d v="2025-04-10T00:00:00"/>
    <s v="Carousel"/>
    <s v="Check out our latest carousel on twitter!"/>
    <n v="3128"/>
    <n v="211"/>
    <n v="197"/>
    <n v="59432"/>
    <n v="59182"/>
    <n v="238"/>
    <x v="4"/>
    <m/>
    <n v="3536"/>
    <n v="5.9496567505720827E-2"/>
    <s v="No Campaign"/>
    <m/>
    <m/>
    <m/>
  </r>
  <r>
    <s v="P026"/>
    <x v="1"/>
    <d v="2025-04-05T00:00:00"/>
    <s v="Reel"/>
    <s v="Check out our latest reel on youtube!"/>
    <n v="3009"/>
    <n v="413"/>
    <n v="358"/>
    <n v="42126"/>
    <n v="41309"/>
    <n v="211"/>
    <x v="0"/>
    <s v="FestiveRadiance"/>
    <n v="3780"/>
    <n v="8.9730807577268201E-2"/>
    <s v="No Campaign"/>
    <m/>
    <m/>
    <m/>
  </r>
  <r>
    <s v="P027"/>
    <x v="1"/>
    <d v="2024-09-17T00:00:00"/>
    <s v="Text"/>
    <s v="Check out our latest text on youtube!"/>
    <n v="2076"/>
    <n v="195"/>
    <n v="104"/>
    <n v="33216"/>
    <n v="32244"/>
    <n v="51"/>
    <x v="0"/>
    <s v="DailyWellness"/>
    <n v="2375"/>
    <n v="7.1501685934489398E-2"/>
    <s v="No Campaign"/>
    <m/>
    <m/>
    <m/>
  </r>
  <r>
    <s v="P028"/>
    <x v="2"/>
    <d v="2025-03-04T00:00:00"/>
    <s v="Video"/>
    <s v="Check out our latest video on instagram!"/>
    <n v="432"/>
    <n v="624"/>
    <n v="123"/>
    <n v="6912"/>
    <n v="6259"/>
    <n v="79"/>
    <x v="0"/>
    <s v="DailyWellness"/>
    <n v="1179"/>
    <n v="0.17057291666666666"/>
    <s v="DailyWellness"/>
    <d v="2025-03-01T00:00:00"/>
    <d v="2025-03-31T00:00:00"/>
    <n v="180000"/>
  </r>
  <r>
    <s v="P029"/>
    <x v="2"/>
    <d v="2025-01-31T00:00:00"/>
    <s v="Carousel"/>
    <s v="Check out our latest carousel on instagram!"/>
    <n v="2566"/>
    <n v="118"/>
    <n v="37"/>
    <n v="12830"/>
    <n v="12264"/>
    <n v="221"/>
    <x v="0"/>
    <s v="NewYearRefresh"/>
    <n v="2721"/>
    <n v="0.21208106001558846"/>
    <s v="No Campaign"/>
    <m/>
    <m/>
    <m/>
  </r>
  <r>
    <s v="P030"/>
    <x v="2"/>
    <d v="2025-02-25T00:00:00"/>
    <s v="Video"/>
    <s v="Check out our latest video on instagram!"/>
    <n v="3095"/>
    <n v="39"/>
    <n v="78"/>
    <n v="55710"/>
    <n v="54808"/>
    <n v="93"/>
    <x v="4"/>
    <m/>
    <n v="3212"/>
    <n v="5.7655717106444085E-2"/>
    <s v="No Campaign"/>
    <m/>
    <m/>
    <m/>
  </r>
  <r>
    <s v="P031"/>
    <x v="2"/>
    <d v="2024-12-16T00:00:00"/>
    <s v="Text"/>
    <s v="Check out our latest text on instagram!"/>
    <n v="438"/>
    <n v="153"/>
    <n v="275"/>
    <n v="3066"/>
    <n v="2701"/>
    <n v="282"/>
    <x v="2"/>
    <s v="FestiveRadiance"/>
    <n v="866"/>
    <n v="0.28245270711024134"/>
    <s v="No Campaign"/>
    <m/>
    <m/>
    <m/>
  </r>
  <r>
    <s v="P032"/>
    <x v="0"/>
    <d v="2024-07-31T00:00:00"/>
    <s v="Carousel"/>
    <s v="Check out our latest carousel on twitter!"/>
    <n v="2278"/>
    <n v="10"/>
    <n v="321"/>
    <n v="13668"/>
    <n v="12676"/>
    <n v="275"/>
    <x v="4"/>
    <s v="SummerSplash"/>
    <n v="2609"/>
    <n v="0.19088381621305239"/>
    <s v="No Campaign"/>
    <m/>
    <m/>
    <m/>
  </r>
  <r>
    <s v="P033"/>
    <x v="3"/>
    <d v="2024-08-21T00:00:00"/>
    <s v="Image"/>
    <s v="Check out our latest image on facebook!"/>
    <n v="1407"/>
    <n v="400"/>
    <n v="351"/>
    <n v="16884"/>
    <n v="15954"/>
    <n v="113"/>
    <x v="2"/>
    <s v="SummerSplash"/>
    <n v="2158"/>
    <n v="0.12781331438047855"/>
    <s v="No Campaign"/>
    <m/>
    <m/>
    <m/>
  </r>
  <r>
    <s v="P034"/>
    <x v="3"/>
    <d v="2025-03-26T00:00:00"/>
    <s v="Text"/>
    <s v="Check out our latest text on facebook!"/>
    <n v="1652"/>
    <n v="89"/>
    <n v="357"/>
    <n v="29736"/>
    <n v="28771"/>
    <n v="215"/>
    <x v="2"/>
    <s v="NewYearRefresh"/>
    <n v="2098"/>
    <n v="7.055421038471886E-2"/>
    <s v="DailyWellness"/>
    <d v="2025-03-01T00:00:00"/>
    <d v="2025-03-31T00:00:00"/>
    <n v="180000"/>
  </r>
  <r>
    <s v="P035"/>
    <x v="2"/>
    <d v="2024-11-30T00:00:00"/>
    <s v="Video"/>
    <s v="Check out our latest video on instagram!"/>
    <n v="3775"/>
    <n v="16"/>
    <n v="239"/>
    <n v="33975"/>
    <n v="33310"/>
    <n v="271"/>
    <x v="0"/>
    <s v="FestiveRadiance"/>
    <n v="4030"/>
    <n v="0.11861662987490802"/>
    <s v="No Campaign"/>
    <m/>
    <m/>
    <m/>
  </r>
  <r>
    <s v="P036"/>
    <x v="2"/>
    <d v="2025-04-19T00:00:00"/>
    <s v="Story"/>
    <s v="Check out our latest story on instagram!"/>
    <n v="4518"/>
    <n v="285"/>
    <n v="383"/>
    <n v="67770"/>
    <n v="67621"/>
    <n v="31"/>
    <x v="4"/>
    <s v="FestiveRadiance"/>
    <n v="5186"/>
    <n v="7.6523535487678915E-2"/>
    <s v="No Campaign"/>
    <m/>
    <m/>
    <m/>
  </r>
  <r>
    <s v="P037"/>
    <x v="3"/>
    <d v="2025-01-06T00:00:00"/>
    <s v="Carousel"/>
    <s v="Check out our latest carousel on facebook!"/>
    <n v="3024"/>
    <n v="925"/>
    <n v="350"/>
    <n v="24192"/>
    <n v="23518"/>
    <n v="36"/>
    <x v="4"/>
    <s v="FestiveRadiance"/>
    <n v="4299"/>
    <n v="0.17770337301587302"/>
    <s v="NewYearRefresh"/>
    <d v="2024-12-25T00:00:00"/>
    <d v="2025-01-10T00:00:00"/>
    <n v="250000"/>
  </r>
  <r>
    <s v="P038"/>
    <x v="1"/>
    <d v="2025-02-17T00:00:00"/>
    <s v="Reel"/>
    <s v="Check out our latest reel on youtube!"/>
    <n v="3138"/>
    <n v="123"/>
    <n v="291"/>
    <n v="28242"/>
    <n v="27550"/>
    <n v="87"/>
    <x v="2"/>
    <s v="DailyWellness"/>
    <n v="3552"/>
    <n v="0.12577012959422137"/>
    <s v="No Campaign"/>
    <m/>
    <m/>
    <m/>
  </r>
  <r>
    <s v="P039"/>
    <x v="3"/>
    <d v="2024-11-25T00:00:00"/>
    <s v="Image"/>
    <s v="Check out our latest image on facebook!"/>
    <n v="3564"/>
    <n v="629"/>
    <n v="177"/>
    <n v="60588"/>
    <n v="59627"/>
    <n v="92"/>
    <x v="2"/>
    <m/>
    <n v="4370"/>
    <n v="7.2126493695121141E-2"/>
    <s v="No Campaign"/>
    <m/>
    <m/>
    <m/>
  </r>
  <r>
    <s v="P040"/>
    <x v="0"/>
    <d v="2025-03-07T00:00:00"/>
    <s v="Image"/>
    <s v="Check out our latest image on twitter!"/>
    <n v="4750"/>
    <n v="151"/>
    <n v="415"/>
    <n v="38000"/>
    <n v="37792"/>
    <n v="299"/>
    <x v="4"/>
    <s v="DailyWellness"/>
    <n v="5316"/>
    <n v="0.13989473684210527"/>
    <s v="DailyWellness"/>
    <d v="2025-03-01T00:00:00"/>
    <d v="2025-03-31T00:00:00"/>
    <n v="180000"/>
  </r>
  <r>
    <s v="P041"/>
    <x v="2"/>
    <d v="2025-03-08T00:00:00"/>
    <s v="Reel"/>
    <s v="Check out our latest reel on instagram!"/>
    <n v="456"/>
    <n v="629"/>
    <n v="428"/>
    <n v="8208"/>
    <n v="7377"/>
    <n v="205"/>
    <x v="0"/>
    <s v="DailyWellness"/>
    <n v="1513"/>
    <n v="0.18433235867446393"/>
    <s v="DailyWellness"/>
    <d v="2025-03-01T00:00:00"/>
    <d v="2025-03-31T00:00:00"/>
    <n v="180000"/>
  </r>
  <r>
    <s v="P042"/>
    <x v="1"/>
    <d v="2025-03-05T00:00:00"/>
    <s v="Reel"/>
    <s v="Check out our latest reel on youtube!"/>
    <n v="1543"/>
    <n v="820"/>
    <n v="333"/>
    <n v="12344"/>
    <n v="11496"/>
    <n v="241"/>
    <x v="4"/>
    <m/>
    <n v="2696"/>
    <n v="0.21840570317563188"/>
    <s v="DailyWellness"/>
    <d v="2025-03-01T00:00:00"/>
    <d v="2025-03-31T00:00:00"/>
    <n v="180000"/>
  </r>
  <r>
    <s v="P043"/>
    <x v="2"/>
    <d v="2024-12-14T00:00:00"/>
    <s v="Carousel"/>
    <s v="Check out our latest carousel on instagram!"/>
    <n v="2174"/>
    <n v="658"/>
    <n v="15"/>
    <n v="13044"/>
    <n v="12206"/>
    <n v="137"/>
    <x v="2"/>
    <s v="NewYearRefresh"/>
    <n v="2847"/>
    <n v="0.21826126954921804"/>
    <s v="No Campaign"/>
    <m/>
    <m/>
    <m/>
  </r>
  <r>
    <s v="P044"/>
    <x v="0"/>
    <d v="2025-03-02T00:00:00"/>
    <s v="Image"/>
    <s v="Check out our latest image on twitter!"/>
    <n v="2358"/>
    <n v="784"/>
    <n v="344"/>
    <n v="35370"/>
    <n v="34475"/>
    <n v="216"/>
    <x v="2"/>
    <m/>
    <n v="3486"/>
    <n v="9.8558100084817649E-2"/>
    <s v="DailyWellness"/>
    <d v="2025-03-01T00:00:00"/>
    <d v="2025-03-31T00:00:00"/>
    <n v="180000"/>
  </r>
  <r>
    <s v="P045"/>
    <x v="3"/>
    <d v="2024-11-01T00:00:00"/>
    <s v="Video"/>
    <s v="Check out our latest video on facebook!"/>
    <n v="3371"/>
    <n v="106"/>
    <n v="327"/>
    <n v="50565"/>
    <n v="49816"/>
    <n v="176"/>
    <x v="0"/>
    <s v="SummerSplash"/>
    <n v="3804"/>
    <n v="7.5229902106199939E-2"/>
    <s v="No Campaign"/>
    <m/>
    <m/>
    <m/>
  </r>
  <r>
    <s v="P046"/>
    <x v="0"/>
    <d v="2025-05-02T00:00:00"/>
    <s v="Video"/>
    <s v="Check out our latest video on twitter!"/>
    <n v="1108"/>
    <n v="177"/>
    <n v="212"/>
    <n v="8864"/>
    <n v="8710"/>
    <n v="97"/>
    <x v="2"/>
    <s v="DailyWellness"/>
    <n v="1497"/>
    <n v="0.16888537906137185"/>
    <s v="No Campaign"/>
    <m/>
    <m/>
    <m/>
  </r>
  <r>
    <s v="P047"/>
    <x v="0"/>
    <d v="2025-02-24T00:00:00"/>
    <s v="Carousel"/>
    <s v="Check out our latest carousel on twitter!"/>
    <n v="2704"/>
    <n v="752"/>
    <n v="153"/>
    <n v="21632"/>
    <n v="20792"/>
    <n v="127"/>
    <x v="0"/>
    <m/>
    <n v="3609"/>
    <n v="0.16683616863905326"/>
    <s v="No Campaign"/>
    <m/>
    <m/>
    <m/>
  </r>
  <r>
    <s v="P048"/>
    <x v="0"/>
    <d v="2025-03-11T00:00:00"/>
    <s v="Story"/>
    <s v="Check out our latest story on twitter!"/>
    <n v="1950"/>
    <n v="295"/>
    <n v="478"/>
    <n v="37050"/>
    <n v="36272"/>
    <n v="119"/>
    <x v="2"/>
    <m/>
    <n v="2723"/>
    <n v="7.349527665317139E-2"/>
    <s v="DailyWellness"/>
    <d v="2025-03-01T00:00:00"/>
    <d v="2025-03-31T00:00:00"/>
    <n v="180000"/>
  </r>
  <r>
    <s v="P049"/>
    <x v="0"/>
    <d v="2024-06-10T00:00:00"/>
    <s v="Story"/>
    <s v="Check out our latest story on twitter!"/>
    <n v="2164"/>
    <n v="549"/>
    <n v="274"/>
    <n v="28132"/>
    <n v="27361"/>
    <n v="177"/>
    <x v="2"/>
    <s v="DailyWellness"/>
    <n v="2987"/>
    <n v="0.10617801791554102"/>
    <s v="No Campaign"/>
    <m/>
    <m/>
    <m/>
  </r>
  <r>
    <s v="P050"/>
    <x v="1"/>
    <d v="2024-07-03T00:00:00"/>
    <s v="Story"/>
    <s v="Check out our latest story on youtube!"/>
    <n v="2754"/>
    <n v="130"/>
    <n v="90"/>
    <n v="22032"/>
    <n v="21288"/>
    <n v="112"/>
    <x v="2"/>
    <s v="NewYearRefresh"/>
    <n v="2974"/>
    <n v="0.13498547567175018"/>
    <s v="SummerSplash"/>
    <d v="2024-06-15T00:00:00"/>
    <d v="2024-07-15T00:00:00"/>
    <n v="150000"/>
  </r>
  <r>
    <s v="P051"/>
    <x v="3"/>
    <d v="2024-06-13T00:00:00"/>
    <s v="Carousel"/>
    <s v="Check out our latest carousel on facebook!"/>
    <n v="2200"/>
    <n v="504"/>
    <n v="239"/>
    <n v="37400"/>
    <n v="36938"/>
    <n v="225"/>
    <x v="0"/>
    <s v="FestiveRadiance"/>
    <n v="2943"/>
    <n v="7.8689839572192513E-2"/>
    <s v="No Campaign"/>
    <m/>
    <m/>
    <m/>
  </r>
  <r>
    <s v="P052"/>
    <x v="3"/>
    <d v="2025-01-03T00:00:00"/>
    <s v="Image"/>
    <s v="Check out our latest image on facebook!"/>
    <n v="947"/>
    <n v="338"/>
    <n v="350"/>
    <n v="10417"/>
    <n v="9730"/>
    <n v="34"/>
    <x v="2"/>
    <s v="DailyWellness"/>
    <n v="1635"/>
    <n v="0.1569549774407219"/>
    <s v="NewYearRefresh"/>
    <d v="2024-12-25T00:00:00"/>
    <d v="2025-01-10T00:00:00"/>
    <n v="250000"/>
  </r>
  <r>
    <s v="P053"/>
    <x v="1"/>
    <d v="2025-02-24T00:00:00"/>
    <s v="Carousel"/>
    <s v="Check out our latest carousel on youtube!"/>
    <n v="804"/>
    <n v="639"/>
    <n v="43"/>
    <n v="4020"/>
    <n v="3144"/>
    <n v="11"/>
    <x v="4"/>
    <m/>
    <n v="1486"/>
    <n v="0.36965174129353234"/>
    <s v="No Campaign"/>
    <m/>
    <m/>
    <m/>
  </r>
  <r>
    <s v="P053"/>
    <x v="1"/>
    <d v="2025-02-24T00:00:00"/>
    <s v="Carousel"/>
    <s v="Check out our latest carousel on youtube!"/>
    <n v="804"/>
    <n v="639"/>
    <n v="43"/>
    <n v="4020"/>
    <n v="3144"/>
    <n v="11"/>
    <x v="3"/>
    <m/>
    <n v="1486"/>
    <n v="0.36965174129353234"/>
    <s v="No Campaign"/>
    <m/>
    <m/>
    <m/>
  </r>
  <r>
    <s v="P054"/>
    <x v="1"/>
    <d v="2025-03-13T00:00:00"/>
    <s v="Carousel"/>
    <s v="Check out our latest carousel on youtube!"/>
    <n v="1686"/>
    <n v="904"/>
    <n v="472"/>
    <n v="18546"/>
    <n v="18171"/>
    <n v="52"/>
    <x v="0"/>
    <s v="FestiveRadiance"/>
    <n v="3062"/>
    <n v="0.16510298716704411"/>
    <s v="DailyWellness"/>
    <d v="2025-03-01T00:00:00"/>
    <d v="2025-03-31T00:00:00"/>
    <n v="180000"/>
  </r>
  <r>
    <s v="P055"/>
    <x v="3"/>
    <d v="2024-06-17T00:00:00"/>
    <s v="Image"/>
    <s v="Check out our latest image on facebook!"/>
    <n v="1226"/>
    <n v="119"/>
    <n v="7"/>
    <n v="14712"/>
    <n v="14049"/>
    <n v="123"/>
    <x v="4"/>
    <s v="DailyWellness"/>
    <n v="1352"/>
    <n v="9.1897770527460579E-2"/>
    <s v="SummerSplash"/>
    <d v="2024-06-15T00:00:00"/>
    <d v="2024-07-15T00:00:00"/>
    <n v="150000"/>
  </r>
  <r>
    <s v="P056"/>
    <x v="3"/>
    <d v="2024-12-18T00:00:00"/>
    <s v="Carousel"/>
    <s v="Check out our latest carousel on facebook!"/>
    <n v="2946"/>
    <n v="498"/>
    <n v="367"/>
    <n v="29460"/>
    <n v="28527"/>
    <n v="60"/>
    <x v="0"/>
    <s v="NewYearRefresh"/>
    <n v="3811"/>
    <n v="0.12936184657162253"/>
    <s v="No Campaign"/>
    <m/>
    <m/>
    <m/>
  </r>
  <r>
    <s v="P057"/>
    <x v="0"/>
    <d v="2024-10-21T00:00:00"/>
    <s v="Video"/>
    <s v="Check out our latest video on twitter!"/>
    <n v="2825"/>
    <n v="535"/>
    <n v="295"/>
    <n v="45200"/>
    <n v="44739"/>
    <n v="169"/>
    <x v="2"/>
    <s v="SummerSplash"/>
    <n v="3655"/>
    <n v="8.0862831858407078E-2"/>
    <s v="FestiveRadiance"/>
    <d v="2024-10-01T00:00:00"/>
    <d v="2024-10-31T00:00:00"/>
    <n v="200000"/>
  </r>
  <r>
    <s v="P058"/>
    <x v="2"/>
    <d v="2025-04-15T00:00:00"/>
    <s v="Reel"/>
    <s v="Check out our latest reel on instagram!"/>
    <n v="103"/>
    <n v="770"/>
    <n v="19"/>
    <n v="1030"/>
    <n v="410"/>
    <n v="262"/>
    <x v="2"/>
    <s v="DailyWellness"/>
    <n v="892"/>
    <n v="0.86601941747572819"/>
    <s v="No Campaign"/>
    <m/>
    <m/>
    <m/>
  </r>
  <r>
    <s v="P059"/>
    <x v="2"/>
    <d v="2024-06-22T00:00:00"/>
    <s v="Text"/>
    <s v="Check out our latest text on instagram!"/>
    <n v="2180"/>
    <n v="263"/>
    <n v="387"/>
    <n v="30520"/>
    <n v="30059"/>
    <n v="174"/>
    <x v="4"/>
    <m/>
    <n v="2830"/>
    <n v="9.2726081258191345E-2"/>
    <s v="SummerSplash"/>
    <d v="2024-06-15T00:00:00"/>
    <d v="2024-07-15T00:00:00"/>
    <n v="150000"/>
  </r>
  <r>
    <s v="P060"/>
    <x v="2"/>
    <d v="2025-01-28T00:00:00"/>
    <s v="Video"/>
    <s v="Check out our latest video on instagram!"/>
    <n v="904"/>
    <n v="973"/>
    <n v="63"/>
    <n v="11752"/>
    <n v="11580"/>
    <n v="84"/>
    <x v="4"/>
    <s v="NewYearRefresh"/>
    <n v="1940"/>
    <n v="0.1650782845473111"/>
    <s v="No Campaign"/>
    <m/>
    <m/>
    <m/>
  </r>
  <r>
    <s v="P060"/>
    <x v="2"/>
    <d v="2025-01-28T00:00:00"/>
    <s v="Video"/>
    <s v="Check out our latest video on instagram!"/>
    <n v="904"/>
    <n v="973"/>
    <n v="63"/>
    <n v="11752"/>
    <n v="11580"/>
    <n v="84"/>
    <x v="2"/>
    <s v="NewYearRefresh"/>
    <n v="1940"/>
    <n v="0.1650782845473111"/>
    <s v="No Campaign"/>
    <m/>
    <m/>
    <m/>
  </r>
  <r>
    <s v="P060"/>
    <x v="2"/>
    <d v="2025-01-28T00:00:00"/>
    <s v="Video"/>
    <s v="Check out our latest video on instagram!"/>
    <n v="904"/>
    <n v="973"/>
    <n v="63"/>
    <n v="11752"/>
    <n v="11580"/>
    <n v="84"/>
    <x v="1"/>
    <s v="NewYearRefresh"/>
    <n v="1940"/>
    <n v="0.1650782845473111"/>
    <s v="No Campaign"/>
    <m/>
    <m/>
    <m/>
  </r>
  <r>
    <s v="P061"/>
    <x v="0"/>
    <d v="2024-09-05T00:00:00"/>
    <s v="Video"/>
    <s v="Check out our latest video on twitter!"/>
    <n v="4886"/>
    <n v="983"/>
    <n v="409"/>
    <n v="43974"/>
    <n v="43239"/>
    <n v="65"/>
    <x v="2"/>
    <s v="SummerSplash"/>
    <n v="6278"/>
    <n v="0.14276618001546368"/>
    <s v="No Campaign"/>
    <m/>
    <m/>
    <m/>
  </r>
  <r>
    <s v="P062"/>
    <x v="0"/>
    <d v="2024-11-22T00:00:00"/>
    <s v="Carousel"/>
    <s v="Check out our latest carousel on twitter!"/>
    <n v="53"/>
    <n v="81"/>
    <n v="379"/>
    <n v="954"/>
    <n v="7"/>
    <n v="148"/>
    <x v="2"/>
    <s v="NewYearRefresh"/>
    <n v="513"/>
    <n v="0.53773584905660377"/>
    <s v="No Campaign"/>
    <m/>
    <m/>
    <m/>
  </r>
  <r>
    <s v="P063"/>
    <x v="0"/>
    <d v="2024-07-31T00:00:00"/>
    <s v="Carousel"/>
    <s v="Check out our latest carousel on twitter!"/>
    <n v="4507"/>
    <n v="217"/>
    <n v="13"/>
    <n v="90140"/>
    <n v="89591"/>
    <n v="125"/>
    <x v="0"/>
    <s v="NewYearRefresh"/>
    <n v="4737"/>
    <n v="5.2551586421122697E-2"/>
    <s v="No Campaign"/>
    <m/>
    <m/>
    <m/>
  </r>
  <r>
    <s v="P064"/>
    <x v="3"/>
    <d v="2024-08-17T00:00:00"/>
    <s v="Image"/>
    <s v="Check out our latest image on facebook!"/>
    <n v="2878"/>
    <n v="248"/>
    <n v="416"/>
    <n v="43170"/>
    <n v="42667"/>
    <n v="75"/>
    <x v="0"/>
    <s v="NewYearRefresh"/>
    <n v="3542"/>
    <n v="8.2047718322909427E-2"/>
    <s v="No Campaign"/>
    <m/>
    <m/>
    <m/>
  </r>
  <r>
    <s v="P065"/>
    <x v="2"/>
    <d v="2025-03-28T00:00:00"/>
    <s v="Story"/>
    <s v="Check out our latest story on instagram!"/>
    <n v="1881"/>
    <n v="501"/>
    <n v="99"/>
    <n v="20691"/>
    <n v="19987"/>
    <n v="289"/>
    <x v="4"/>
    <m/>
    <n v="2481"/>
    <n v="0.11990720603160794"/>
    <s v="DailyWellness"/>
    <d v="2025-03-01T00:00:00"/>
    <d v="2025-03-31T00:00:00"/>
    <n v="180000"/>
  </r>
  <r>
    <s v="P066"/>
    <x v="0"/>
    <d v="2024-07-26T00:00:00"/>
    <s v="Carousel"/>
    <s v="Check out our latest carousel on twitter!"/>
    <n v="432"/>
    <n v="171"/>
    <n v="280"/>
    <n v="3024"/>
    <n v="2285"/>
    <n v="184"/>
    <x v="4"/>
    <s v="SummerSplash"/>
    <n v="883"/>
    <n v="0.29199735449735448"/>
    <s v="No Campaign"/>
    <m/>
    <m/>
    <m/>
  </r>
  <r>
    <s v="P067"/>
    <x v="3"/>
    <d v="2025-03-29T00:00:00"/>
    <s v="Carousel"/>
    <s v="Check out our latest carousel on facebook!"/>
    <n v="4712"/>
    <n v="568"/>
    <n v="127"/>
    <n v="84816"/>
    <n v="84691"/>
    <n v="100"/>
    <x v="4"/>
    <s v="NewYearRefresh"/>
    <n v="5407"/>
    <n v="6.3749764195434822E-2"/>
    <s v="DailyWellness"/>
    <d v="2025-03-01T00:00:00"/>
    <d v="2025-03-31T00:00:00"/>
    <n v="180000"/>
  </r>
  <r>
    <s v="P068"/>
    <x v="2"/>
    <d v="2024-12-08T00:00:00"/>
    <s v="Story"/>
    <s v="Check out our latest story on instagram!"/>
    <n v="2610"/>
    <n v="126"/>
    <n v="288"/>
    <n v="15660"/>
    <n v="15145"/>
    <n v="73"/>
    <x v="4"/>
    <m/>
    <n v="3024"/>
    <n v="0.19310344827586207"/>
    <s v="No Campaign"/>
    <m/>
    <m/>
    <m/>
  </r>
  <r>
    <s v="P069"/>
    <x v="0"/>
    <d v="2025-03-08T00:00:00"/>
    <s v="Text"/>
    <s v="Check out our latest text on twitter!"/>
    <n v="1292"/>
    <n v="626"/>
    <n v="496"/>
    <n v="25840"/>
    <n v="24916"/>
    <n v="149"/>
    <x v="0"/>
    <s v="NewYearRefresh"/>
    <n v="2414"/>
    <n v="9.3421052631578946E-2"/>
    <s v="DailyWellness"/>
    <d v="2025-03-01T00:00:00"/>
    <d v="2025-03-31T00:00:00"/>
    <n v="180000"/>
  </r>
  <r>
    <s v="P070"/>
    <x v="3"/>
    <d v="2025-04-02T00:00:00"/>
    <s v="Video"/>
    <s v="Check out our latest video on facebook!"/>
    <n v="199"/>
    <n v="772"/>
    <n v="400"/>
    <n v="3582"/>
    <n v="2988"/>
    <n v="43"/>
    <x v="2"/>
    <m/>
    <n v="1371"/>
    <n v="0.38274706867671693"/>
    <s v="No Campaign"/>
    <m/>
    <m/>
    <m/>
  </r>
  <r>
    <s v="P071"/>
    <x v="1"/>
    <d v="2024-09-02T00:00:00"/>
    <s v="Carousel"/>
    <s v="Check out our latest carousel on youtube!"/>
    <n v="2551"/>
    <n v="915"/>
    <n v="205"/>
    <n v="30612"/>
    <n v="30360"/>
    <n v="227"/>
    <x v="2"/>
    <s v="FestiveRadiance"/>
    <n v="3671"/>
    <n v="0.1199202926956749"/>
    <s v="No Campaign"/>
    <m/>
    <m/>
    <m/>
  </r>
  <r>
    <s v="P072"/>
    <x v="1"/>
    <d v="2025-03-03T00:00:00"/>
    <s v="Reel"/>
    <s v="Check out our latest reel on youtube!"/>
    <n v="296"/>
    <n v="60"/>
    <n v="141"/>
    <n v="5624"/>
    <n v="5239"/>
    <n v="88"/>
    <x v="4"/>
    <s v="FestiveRadiance"/>
    <n v="497"/>
    <n v="8.837126600284495E-2"/>
    <s v="DailyWellness"/>
    <d v="2025-03-01T00:00:00"/>
    <d v="2025-03-31T00:00:00"/>
    <n v="180000"/>
  </r>
  <r>
    <s v="P073"/>
    <x v="3"/>
    <d v="2024-10-18T00:00:00"/>
    <s v="Story"/>
    <s v="Check out our latest story on facebook!"/>
    <n v="4126"/>
    <n v="426"/>
    <n v="486"/>
    <n v="78394"/>
    <n v="77798"/>
    <n v="88"/>
    <x v="0"/>
    <s v="DailyWellness"/>
    <n v="5038"/>
    <n v="6.4265122330790625E-2"/>
    <s v="FestiveRadiance"/>
    <d v="2024-10-01T00:00:00"/>
    <d v="2024-10-31T00:00:00"/>
    <n v="200000"/>
  </r>
  <r>
    <s v="P074"/>
    <x v="1"/>
    <d v="2024-10-28T00:00:00"/>
    <s v="Reel"/>
    <s v="Check out our latest reel on youtube!"/>
    <n v="1855"/>
    <n v="200"/>
    <n v="174"/>
    <n v="16695"/>
    <n v="16330"/>
    <n v="123"/>
    <x v="2"/>
    <s v="NewYearRefresh"/>
    <n v="2229"/>
    <n v="0.13351302785265048"/>
    <s v="FestiveRadiance"/>
    <d v="2024-10-01T00:00:00"/>
    <d v="2024-10-31T00:00:00"/>
    <n v="200000"/>
  </r>
  <r>
    <s v="P075"/>
    <x v="2"/>
    <d v="2024-08-01T00:00:00"/>
    <s v="Reel"/>
    <s v="Check out our latest reel on instagram!"/>
    <n v="1674"/>
    <n v="929"/>
    <n v="37"/>
    <n v="21762"/>
    <n v="20998"/>
    <n v="255"/>
    <x v="2"/>
    <s v="DailyWellness"/>
    <n v="2640"/>
    <n v="0.12131237937689551"/>
    <s v="No Campaign"/>
    <m/>
    <m/>
    <m/>
  </r>
  <r>
    <s v="P076"/>
    <x v="0"/>
    <d v="2024-11-07T00:00:00"/>
    <s v="Story"/>
    <s v="Check out our latest story on twitter!"/>
    <n v="1121"/>
    <n v="135"/>
    <n v="18"/>
    <n v="15694"/>
    <n v="14957"/>
    <n v="99"/>
    <x v="2"/>
    <s v="DailyWellness"/>
    <n v="1274"/>
    <n v="8.1177520071364848E-2"/>
    <s v="No Campaign"/>
    <m/>
    <m/>
    <m/>
  </r>
  <r>
    <s v="P077"/>
    <x v="3"/>
    <d v="2025-03-04T00:00:00"/>
    <s v="Story"/>
    <s v="Check out our latest story on facebook!"/>
    <n v="1249"/>
    <n v="116"/>
    <n v="420"/>
    <n v="8743"/>
    <n v="8538"/>
    <n v="63"/>
    <x v="2"/>
    <m/>
    <n v="1785"/>
    <n v="0.20416333066453163"/>
    <s v="DailyWellness"/>
    <d v="2025-03-01T00:00:00"/>
    <d v="2025-03-31T00:00:00"/>
    <n v="180000"/>
  </r>
  <r>
    <s v="P078"/>
    <x v="0"/>
    <d v="2024-06-17T00:00:00"/>
    <s v="Image"/>
    <s v="Check out our latest image on twitter!"/>
    <n v="954"/>
    <n v="324"/>
    <n v="288"/>
    <n v="19080"/>
    <n v="18859"/>
    <n v="21"/>
    <x v="0"/>
    <s v="DailyWellness"/>
    <n v="1566"/>
    <n v="8.2075471698113203E-2"/>
    <s v="SummerSplash"/>
    <d v="2024-06-15T00:00:00"/>
    <d v="2024-07-15T00:00:00"/>
    <n v="150000"/>
  </r>
  <r>
    <s v="P079"/>
    <x v="2"/>
    <d v="2024-10-09T00:00:00"/>
    <s v="Carousel"/>
    <s v="Check out our latest carousel on instagram!"/>
    <n v="3068"/>
    <n v="137"/>
    <n v="329"/>
    <n v="39884"/>
    <n v="39404"/>
    <n v="266"/>
    <x v="4"/>
    <s v="FestiveRadiance"/>
    <n v="3534"/>
    <n v="8.860696018453515E-2"/>
    <s v="FestiveRadiance"/>
    <d v="2024-10-01T00:00:00"/>
    <d v="2024-10-31T00:00:00"/>
    <n v="200000"/>
  </r>
  <r>
    <s v="P080"/>
    <x v="2"/>
    <d v="2024-06-13T00:00:00"/>
    <s v="Story"/>
    <s v="Check out our latest story on instagram!"/>
    <n v="2103"/>
    <n v="892"/>
    <n v="103"/>
    <n v="39957"/>
    <n v="39466"/>
    <n v="28"/>
    <x v="0"/>
    <m/>
    <n v="3098"/>
    <n v="7.7533348349475686E-2"/>
    <s v="No Campaign"/>
    <m/>
    <m/>
    <m/>
  </r>
  <r>
    <s v="P081"/>
    <x v="2"/>
    <d v="2024-10-19T00:00:00"/>
    <s v="Story"/>
    <s v="Check out our latest story on instagram!"/>
    <n v="1816"/>
    <n v="29"/>
    <n v="41"/>
    <n v="19976"/>
    <n v="19262"/>
    <n v="283"/>
    <x v="2"/>
    <s v="NewYearRefresh"/>
    <n v="1886"/>
    <n v="9.4413295955146179E-2"/>
    <s v="FestiveRadiance"/>
    <d v="2024-10-01T00:00:00"/>
    <d v="2024-10-31T00:00:00"/>
    <n v="200000"/>
  </r>
  <r>
    <s v="P082"/>
    <x v="2"/>
    <d v="2024-07-24T00:00:00"/>
    <s v="Image"/>
    <s v="Check out our latest image on instagram!"/>
    <n v="725"/>
    <n v="88"/>
    <n v="428"/>
    <n v="14500"/>
    <n v="13637"/>
    <n v="200"/>
    <x v="0"/>
    <s v="NewYearRefresh"/>
    <n v="1241"/>
    <n v="8.558620689655172E-2"/>
    <s v="No Campaign"/>
    <m/>
    <m/>
    <m/>
  </r>
  <r>
    <s v="P082"/>
    <x v="2"/>
    <d v="2024-07-24T00:00:00"/>
    <s v="Image"/>
    <s v="Check out our latest image on instagram!"/>
    <n v="725"/>
    <n v="88"/>
    <n v="428"/>
    <n v="14500"/>
    <n v="13637"/>
    <n v="200"/>
    <x v="2"/>
    <s v="NewYearRefresh"/>
    <n v="1241"/>
    <n v="8.558620689655172E-2"/>
    <s v="No Campaign"/>
    <m/>
    <m/>
    <m/>
  </r>
  <r>
    <s v="P082"/>
    <x v="2"/>
    <d v="2024-07-24T00:00:00"/>
    <s v="Image"/>
    <s v="Check out our latest image on instagram!"/>
    <n v="725"/>
    <n v="88"/>
    <n v="428"/>
    <n v="14500"/>
    <n v="13637"/>
    <n v="200"/>
    <x v="1"/>
    <s v="NewYearRefresh"/>
    <n v="1241"/>
    <n v="8.558620689655172E-2"/>
    <s v="No Campaign"/>
    <m/>
    <m/>
    <m/>
  </r>
  <r>
    <s v="P083"/>
    <x v="1"/>
    <d v="2024-10-15T00:00:00"/>
    <s v="Video"/>
    <s v="Check out our latest video on youtube!"/>
    <n v="1094"/>
    <n v="472"/>
    <n v="21"/>
    <n v="9846"/>
    <n v="9609"/>
    <n v="112"/>
    <x v="4"/>
    <m/>
    <n v="1587"/>
    <n v="0.16118220597196831"/>
    <s v="FestiveRadiance"/>
    <d v="2024-10-01T00:00:00"/>
    <d v="2024-10-31T00:00:00"/>
    <n v="200000"/>
  </r>
  <r>
    <s v="P084"/>
    <x v="3"/>
    <d v="2024-12-09T00:00:00"/>
    <s v="Image"/>
    <s v="Check out our latest image on facebook!"/>
    <n v="1841"/>
    <n v="851"/>
    <n v="342"/>
    <n v="34979"/>
    <n v="34154"/>
    <n v="255"/>
    <x v="0"/>
    <s v="DailyWellness"/>
    <n v="3034"/>
    <n v="8.6737756939878216E-2"/>
    <s v="No Campaign"/>
    <m/>
    <m/>
    <m/>
  </r>
  <r>
    <s v="P085"/>
    <x v="2"/>
    <d v="2025-04-19T00:00:00"/>
    <s v="Image"/>
    <s v="Check out our latest image on instagram!"/>
    <n v="4177"/>
    <n v="569"/>
    <n v="55"/>
    <n v="25062"/>
    <n v="24847"/>
    <n v="230"/>
    <x v="0"/>
    <s v="SummerSplash"/>
    <n v="4801"/>
    <n v="0.19156491900087783"/>
    <s v="No Campaign"/>
    <m/>
    <m/>
    <m/>
  </r>
  <r>
    <s v="P086"/>
    <x v="1"/>
    <d v="2025-01-27T00:00:00"/>
    <s v="Text"/>
    <s v="Check out our latest text on youtube!"/>
    <n v="3428"/>
    <n v="305"/>
    <n v="85"/>
    <n v="58276"/>
    <n v="58052"/>
    <n v="242"/>
    <x v="4"/>
    <s v="DailyWellness"/>
    <n v="3818"/>
    <n v="6.5515821264328367E-2"/>
    <s v="No Campaign"/>
    <m/>
    <m/>
    <m/>
  </r>
  <r>
    <s v="P086"/>
    <x v="1"/>
    <d v="2025-01-27T00:00:00"/>
    <s v="Text"/>
    <s v="Check out our latest text on youtube!"/>
    <n v="3428"/>
    <n v="305"/>
    <n v="85"/>
    <n v="58276"/>
    <n v="58052"/>
    <n v="242"/>
    <x v="3"/>
    <s v="DailyWellness"/>
    <n v="3818"/>
    <n v="6.5515821264328367E-2"/>
    <s v="No Campaign"/>
    <m/>
    <m/>
    <m/>
  </r>
  <r>
    <s v="P087"/>
    <x v="0"/>
    <d v="2024-06-06T00:00:00"/>
    <s v="Video"/>
    <s v="Check out our latest video on twitter!"/>
    <n v="1436"/>
    <n v="765"/>
    <n v="496"/>
    <n v="12924"/>
    <n v="12701"/>
    <n v="197"/>
    <x v="0"/>
    <s v="NewYearRefresh"/>
    <n v="2697"/>
    <n v="0.20868152274837512"/>
    <s v="No Campaign"/>
    <m/>
    <m/>
    <m/>
  </r>
  <r>
    <s v="P088"/>
    <x v="3"/>
    <d v="2024-07-07T00:00:00"/>
    <s v="Story"/>
    <s v="Check out our latest story on facebook!"/>
    <n v="302"/>
    <n v="47"/>
    <n v="430"/>
    <n v="5738"/>
    <n v="4890"/>
    <n v="25"/>
    <x v="2"/>
    <s v="DailyWellness"/>
    <n v="779"/>
    <n v="0.13576158940397351"/>
    <s v="SummerSplash"/>
    <d v="2024-06-15T00:00:00"/>
    <d v="2024-07-15T00:00:00"/>
    <n v="150000"/>
  </r>
  <r>
    <s v="P089"/>
    <x v="0"/>
    <d v="2025-01-10T00:00:00"/>
    <s v="Image"/>
    <s v="Check out our latest image on twitter!"/>
    <n v="2214"/>
    <n v="249"/>
    <n v="152"/>
    <n v="15498"/>
    <n v="14800"/>
    <n v="180"/>
    <x v="4"/>
    <m/>
    <n v="2615"/>
    <n v="0.16873144921925409"/>
    <s v="NewYearRefresh"/>
    <d v="2024-12-25T00:00:00"/>
    <d v="2025-01-10T00:00:00"/>
    <n v="250000"/>
  </r>
  <r>
    <s v="P090"/>
    <x v="2"/>
    <d v="2024-06-03T00:00:00"/>
    <s v="Image"/>
    <s v="Check out our latest image on instagram!"/>
    <n v="3861"/>
    <n v="960"/>
    <n v="101"/>
    <n v="69498"/>
    <n v="68817"/>
    <n v="297"/>
    <x v="2"/>
    <s v="DailyWellness"/>
    <n v="4922"/>
    <n v="7.0822181933293038E-2"/>
    <s v="No Campaign"/>
    <m/>
    <m/>
    <m/>
  </r>
  <r>
    <s v="P091"/>
    <x v="3"/>
    <d v="2025-03-24T00:00:00"/>
    <s v="Image"/>
    <s v="Check out our latest image on facebook!"/>
    <n v="1263"/>
    <n v="397"/>
    <n v="357"/>
    <n v="25260"/>
    <n v="24615"/>
    <n v="137"/>
    <x v="4"/>
    <s v="DailyWellness"/>
    <n v="2017"/>
    <n v="7.984956452889945E-2"/>
    <s v="DailyWellness"/>
    <d v="2025-03-01T00:00:00"/>
    <d v="2025-03-31T00:00:00"/>
    <n v="180000"/>
  </r>
  <r>
    <s v="P092"/>
    <x v="0"/>
    <d v="2024-10-21T00:00:00"/>
    <s v="Story"/>
    <s v="Check out our latest story on twitter!"/>
    <n v="3801"/>
    <n v="967"/>
    <n v="401"/>
    <n v="38010"/>
    <n v="37625"/>
    <n v="236"/>
    <x v="0"/>
    <s v="NewYearRefresh"/>
    <n v="5169"/>
    <n v="0.13599052880820836"/>
    <s v="FestiveRadiance"/>
    <d v="2024-10-01T00:00:00"/>
    <d v="2024-10-31T00:00:00"/>
    <n v="200000"/>
  </r>
  <r>
    <s v="P093"/>
    <x v="2"/>
    <d v="2024-12-11T00:00:00"/>
    <s v="Video"/>
    <s v="Check out our latest video on instagram!"/>
    <n v="1431"/>
    <n v="951"/>
    <n v="26"/>
    <n v="8586"/>
    <n v="8396"/>
    <n v="150"/>
    <x v="4"/>
    <s v="NewYearRefresh"/>
    <n v="2408"/>
    <n v="0.28045655718611695"/>
    <s v="No Campaign"/>
    <m/>
    <m/>
    <m/>
  </r>
  <r>
    <s v="P094"/>
    <x v="2"/>
    <d v="2024-11-07T00:00:00"/>
    <s v="Image"/>
    <s v="Check out our latest image on instagram!"/>
    <n v="2647"/>
    <n v="304"/>
    <n v="170"/>
    <n v="18529"/>
    <n v="17841"/>
    <n v="46"/>
    <x v="0"/>
    <s v="NewYearRefresh"/>
    <n v="3121"/>
    <n v="0.16843866371633656"/>
    <s v="No Campaign"/>
    <m/>
    <m/>
    <m/>
  </r>
  <r>
    <s v="P095"/>
    <x v="2"/>
    <d v="2024-11-08T00:00:00"/>
    <s v="Text"/>
    <s v="Check out our latest text on instagram!"/>
    <n v="3182"/>
    <n v="559"/>
    <n v="160"/>
    <n v="57276"/>
    <n v="56890"/>
    <n v="163"/>
    <x v="0"/>
    <s v="DailyWellness"/>
    <n v="3901"/>
    <n v="6.8108806480899509E-2"/>
    <s v="No Campaign"/>
    <m/>
    <m/>
    <m/>
  </r>
  <r>
    <s v="P096"/>
    <x v="0"/>
    <d v="2024-09-10T00:00:00"/>
    <s v="Image"/>
    <s v="Check out our latest image on twitter!"/>
    <n v="1238"/>
    <n v="366"/>
    <n v="444"/>
    <n v="19808"/>
    <n v="19334"/>
    <n v="123"/>
    <x v="0"/>
    <m/>
    <n v="2048"/>
    <n v="0.10339256865912763"/>
    <s v="No Campaign"/>
    <m/>
    <m/>
    <m/>
  </r>
  <r>
    <s v="P097"/>
    <x v="2"/>
    <d v="2024-08-13T00:00:00"/>
    <s v="Image"/>
    <s v="Check out our latest image on instagram!"/>
    <n v="4739"/>
    <n v="527"/>
    <n v="135"/>
    <n v="61607"/>
    <n v="61333"/>
    <n v="36"/>
    <x v="2"/>
    <s v="FestiveRadiance"/>
    <n v="5401"/>
    <n v="8.7668609086629767E-2"/>
    <s v="No Campaign"/>
    <m/>
    <m/>
    <m/>
  </r>
  <r>
    <s v="P097"/>
    <x v="2"/>
    <d v="2024-08-13T00:00:00"/>
    <s v="Image"/>
    <s v="Check out our latest image on instagram!"/>
    <n v="4739"/>
    <n v="527"/>
    <n v="135"/>
    <n v="61607"/>
    <n v="61333"/>
    <n v="36"/>
    <x v="1"/>
    <s v="FestiveRadiance"/>
    <n v="5401"/>
    <n v="8.7668609086629767E-2"/>
    <s v="No Campaign"/>
    <m/>
    <m/>
    <m/>
  </r>
  <r>
    <s v="P098"/>
    <x v="0"/>
    <d v="2024-06-10T00:00:00"/>
    <s v="Story"/>
    <s v="Check out our latest story on twitter!"/>
    <n v="1575"/>
    <n v="771"/>
    <n v="486"/>
    <n v="25200"/>
    <n v="24826"/>
    <n v="17"/>
    <x v="0"/>
    <s v="DailyWellness"/>
    <n v="2832"/>
    <n v="0.11238095238095239"/>
    <s v="No Campaign"/>
    <m/>
    <m/>
    <m/>
  </r>
  <r>
    <s v="P099"/>
    <x v="1"/>
    <d v="2024-07-02T00:00:00"/>
    <s v="Carousel"/>
    <s v="Check out our latest carousel on youtube!"/>
    <n v="4171"/>
    <n v="548"/>
    <n v="86"/>
    <n v="66736"/>
    <n v="66634"/>
    <n v="173"/>
    <x v="0"/>
    <s v="NewYearRefresh"/>
    <n v="4805"/>
    <n v="7.2000119875329657E-2"/>
    <s v="SummerSplash"/>
    <d v="2024-06-15T00:00:00"/>
    <d v="2024-07-15T00:00:00"/>
    <n v="150000"/>
  </r>
  <r>
    <s v="P100"/>
    <x v="1"/>
    <d v="2025-02-10T00:00:00"/>
    <s v="Video"/>
    <s v="Check out our latest video on youtube!"/>
    <n v="1766"/>
    <n v="92"/>
    <n v="424"/>
    <n v="24724"/>
    <n v="24333"/>
    <n v="52"/>
    <x v="4"/>
    <m/>
    <n v="2282"/>
    <n v="9.2298980747451867E-2"/>
    <s v="No Campaign"/>
    <m/>
    <m/>
    <m/>
  </r>
  <r>
    <s v="P101"/>
    <x v="1"/>
    <d v="2024-10-18T00:00:00"/>
    <s v="Video"/>
    <s v="Check out our latest video on youtube!"/>
    <n v="4450"/>
    <n v="983"/>
    <n v="143"/>
    <n v="75650"/>
    <n v="75008"/>
    <n v="12"/>
    <x v="0"/>
    <s v="NewYearRefresh"/>
    <n v="5576"/>
    <n v="7.3707865168539333E-2"/>
    <s v="FestiveRadiance"/>
    <d v="2024-10-01T00:00:00"/>
    <d v="2024-10-31T00:00:00"/>
    <n v="200000"/>
  </r>
  <r>
    <s v="P102"/>
    <x v="0"/>
    <d v="2024-09-18T00:00:00"/>
    <s v="Reel"/>
    <s v="Check out our latest reel on twitter!"/>
    <n v="1000"/>
    <n v="978"/>
    <n v="162"/>
    <n v="6000"/>
    <n v="5221"/>
    <n v="223"/>
    <x v="4"/>
    <s v="FestiveRadiance"/>
    <n v="2140"/>
    <n v="0.35666666666666669"/>
    <s v="No Campaign"/>
    <m/>
    <m/>
    <m/>
  </r>
  <r>
    <s v="P103"/>
    <x v="3"/>
    <d v="2024-06-11T00:00:00"/>
    <s v="Image"/>
    <s v="Check out our latest image on facebook!"/>
    <n v="3689"/>
    <n v="48"/>
    <n v="306"/>
    <n v="40579"/>
    <n v="39588"/>
    <n v="212"/>
    <x v="4"/>
    <s v="FestiveRadiance"/>
    <n v="4043"/>
    <n v="9.9632815002833983E-2"/>
    <s v="No Campaign"/>
    <m/>
    <m/>
    <m/>
  </r>
  <r>
    <s v="P104"/>
    <x v="1"/>
    <d v="2025-03-23T00:00:00"/>
    <s v="Story"/>
    <s v="Check out our latest story on youtube!"/>
    <n v="3655"/>
    <n v="568"/>
    <n v="286"/>
    <n v="32895"/>
    <n v="32015"/>
    <n v="199"/>
    <x v="2"/>
    <s v="NewYearRefresh"/>
    <n v="4509"/>
    <n v="0.13707250341997265"/>
    <s v="DailyWellness"/>
    <d v="2025-03-01T00:00:00"/>
    <d v="2025-03-31T00:00:00"/>
    <n v="180000"/>
  </r>
  <r>
    <s v="P105"/>
    <x v="2"/>
    <d v="2024-06-14T00:00:00"/>
    <s v="Carousel"/>
    <s v="Check out our latest carousel on instagram!"/>
    <n v="498"/>
    <n v="38"/>
    <n v="42"/>
    <n v="4482"/>
    <n v="3647"/>
    <n v="32"/>
    <x v="0"/>
    <s v="SummerSplash"/>
    <n v="578"/>
    <n v="0.12896028558679162"/>
    <s v="No Campaign"/>
    <m/>
    <m/>
    <m/>
  </r>
  <r>
    <s v="P106"/>
    <x v="2"/>
    <d v="2025-02-04T00:00:00"/>
    <s v="Image"/>
    <s v="Check out our latest image on instagram!"/>
    <n v="4619"/>
    <n v="821"/>
    <n v="499"/>
    <n v="69285"/>
    <n v="69141"/>
    <n v="298"/>
    <x v="2"/>
    <s v="DailyWellness"/>
    <n v="5939"/>
    <n v="8.5718409468138843E-2"/>
    <s v="No Campaign"/>
    <m/>
    <m/>
    <m/>
  </r>
  <r>
    <s v="P107"/>
    <x v="1"/>
    <d v="2024-06-21T00:00:00"/>
    <s v="Image"/>
    <s v="Check out our latest image on youtube!"/>
    <n v="4832"/>
    <n v="893"/>
    <n v="10"/>
    <n v="91808"/>
    <n v="91296"/>
    <n v="182"/>
    <x v="2"/>
    <m/>
    <n v="5735"/>
    <n v="6.2467323109097243E-2"/>
    <s v="SummerSplash"/>
    <d v="2024-06-15T00:00:00"/>
    <d v="2024-07-15T00:00:00"/>
    <n v="150000"/>
  </r>
  <r>
    <s v="P108"/>
    <x v="0"/>
    <d v="2025-03-25T00:00:00"/>
    <s v="Video"/>
    <s v="Check out our latest video on twitter!"/>
    <n v="4050"/>
    <n v="871"/>
    <n v="347"/>
    <n v="52650"/>
    <n v="51755"/>
    <n v="209"/>
    <x v="2"/>
    <s v="FestiveRadiance"/>
    <n v="5268"/>
    <n v="0.10005698005698006"/>
    <s v="DailyWellness"/>
    <d v="2025-03-01T00:00:00"/>
    <d v="2025-03-31T00:00:00"/>
    <n v="180000"/>
  </r>
  <r>
    <s v="P109"/>
    <x v="0"/>
    <d v="2024-08-08T00:00:00"/>
    <s v="Story"/>
    <s v="Check out our latest story on twitter!"/>
    <n v="3649"/>
    <n v="215"/>
    <n v="413"/>
    <n v="25543"/>
    <n v="24963"/>
    <n v="167"/>
    <x v="0"/>
    <s v="NewYearRefresh"/>
    <n v="4277"/>
    <n v="0.16744313510550835"/>
    <s v="No Campaign"/>
    <m/>
    <m/>
    <m/>
  </r>
  <r>
    <s v="P110"/>
    <x v="2"/>
    <d v="2024-07-29T00:00:00"/>
    <s v="Reel"/>
    <s v="Check out our latest reel on instagram!"/>
    <n v="3523"/>
    <n v="753"/>
    <n v="482"/>
    <n v="38753"/>
    <n v="38579"/>
    <n v="270"/>
    <x v="4"/>
    <s v="FestiveRadiance"/>
    <n v="4758"/>
    <n v="0.12277759141227776"/>
    <s v="No Campaign"/>
    <m/>
    <m/>
    <m/>
  </r>
  <r>
    <s v="P111"/>
    <x v="1"/>
    <d v="2024-11-23T00:00:00"/>
    <s v="Image"/>
    <s v="Check out our latest image on youtube!"/>
    <n v="2719"/>
    <n v="17"/>
    <n v="285"/>
    <n v="40785"/>
    <n v="40281"/>
    <n v="40"/>
    <x v="2"/>
    <s v="FestiveRadiance"/>
    <n v="3021"/>
    <n v="7.4071349760941527E-2"/>
    <s v="No Campaign"/>
    <m/>
    <m/>
    <m/>
  </r>
  <r>
    <s v="P112"/>
    <x v="0"/>
    <d v="2024-10-05T00:00:00"/>
    <s v="Story"/>
    <s v="Check out our latest story on twitter!"/>
    <n v="1957"/>
    <n v="877"/>
    <n v="238"/>
    <n v="17613"/>
    <n v="16865"/>
    <n v="297"/>
    <x v="0"/>
    <s v="NewYearRefresh"/>
    <n v="3072"/>
    <n v="0.17441662408448305"/>
    <s v="FestiveRadiance"/>
    <d v="2024-10-01T00:00:00"/>
    <d v="2024-10-31T00:00:00"/>
    <n v="200000"/>
  </r>
  <r>
    <s v="P113"/>
    <x v="0"/>
    <d v="2024-10-02T00:00:00"/>
    <s v="Carousel"/>
    <s v="Check out our latest carousel on twitter!"/>
    <n v="4419"/>
    <n v="236"/>
    <n v="369"/>
    <n v="44190"/>
    <n v="43582"/>
    <n v="10"/>
    <x v="4"/>
    <s v="SummerSplash"/>
    <n v="5024"/>
    <n v="0.11369088028965829"/>
    <s v="FestiveRadiance"/>
    <d v="2024-10-01T00:00:00"/>
    <d v="2024-10-31T00:00:00"/>
    <n v="200000"/>
  </r>
  <r>
    <s v="P114"/>
    <x v="0"/>
    <d v="2024-11-14T00:00:00"/>
    <s v="Story"/>
    <s v="Check out our latest story on twitter!"/>
    <n v="4000"/>
    <n v="689"/>
    <n v="488"/>
    <n v="40000"/>
    <n v="39569"/>
    <n v="44"/>
    <x v="0"/>
    <s v="SummerSplash"/>
    <n v="5177"/>
    <n v="0.12942500000000001"/>
    <s v="No Campaign"/>
    <m/>
    <m/>
    <m/>
  </r>
  <r>
    <s v="P115"/>
    <x v="0"/>
    <d v="2025-05-11T00:00:00"/>
    <s v="Image"/>
    <s v="Check out our latest image on twitter!"/>
    <n v="2493"/>
    <n v="97"/>
    <n v="44"/>
    <n v="42381"/>
    <n v="41991"/>
    <n v="242"/>
    <x v="2"/>
    <s v="DailyWellness"/>
    <n v="2634"/>
    <n v="6.2150491965739366E-2"/>
    <s v="No Campaign"/>
    <m/>
    <m/>
    <m/>
  </r>
  <r>
    <s v="P115"/>
    <x v="0"/>
    <d v="2025-05-11T00:00:00"/>
    <s v="Image"/>
    <s v="Check out our latest image on twitter!"/>
    <n v="2493"/>
    <n v="97"/>
    <n v="44"/>
    <n v="42381"/>
    <n v="41991"/>
    <n v="242"/>
    <x v="1"/>
    <s v="DailyWellness"/>
    <n v="2634"/>
    <n v="6.2150491965739366E-2"/>
    <s v="No Campaign"/>
    <m/>
    <m/>
    <m/>
  </r>
  <r>
    <s v="P116"/>
    <x v="1"/>
    <d v="2025-03-18T00:00:00"/>
    <s v="Reel"/>
    <s v="Check out our latest reel on youtube!"/>
    <n v="3704"/>
    <n v="186"/>
    <n v="458"/>
    <n v="25928"/>
    <n v="25081"/>
    <n v="131"/>
    <x v="2"/>
    <m/>
    <n v="4348"/>
    <n v="0.16769515581610614"/>
    <s v="DailyWellness"/>
    <d v="2025-03-01T00:00:00"/>
    <d v="2025-03-31T00:00:00"/>
    <n v="180000"/>
  </r>
  <r>
    <s v="P117"/>
    <x v="0"/>
    <d v="2024-11-04T00:00:00"/>
    <s v="Image"/>
    <s v="Check out our latest image on twitter!"/>
    <n v="1606"/>
    <n v="451"/>
    <n v="405"/>
    <n v="20878"/>
    <n v="20190"/>
    <n v="219"/>
    <x v="4"/>
    <s v="DailyWellness"/>
    <n v="2462"/>
    <n v="0.11792317271769326"/>
    <s v="No Campaign"/>
    <m/>
    <m/>
    <m/>
  </r>
  <r>
    <s v="P118"/>
    <x v="3"/>
    <d v="2024-11-04T00:00:00"/>
    <s v="Image"/>
    <s v="Check out our latest image on facebook!"/>
    <n v="4551"/>
    <n v="714"/>
    <n v="207"/>
    <n v="68265"/>
    <n v="67754"/>
    <n v="57"/>
    <x v="0"/>
    <s v="NewYearRefresh"/>
    <n v="5472"/>
    <n v="8.0158206987475278E-2"/>
    <s v="No Campaign"/>
    <m/>
    <m/>
    <m/>
  </r>
  <r>
    <s v="P119"/>
    <x v="2"/>
    <d v="2025-02-07T00:00:00"/>
    <s v="Reel"/>
    <s v="Check out our latest reel on instagram!"/>
    <n v="1970"/>
    <n v="675"/>
    <n v="478"/>
    <n v="9850"/>
    <n v="8924"/>
    <n v="117"/>
    <x v="0"/>
    <m/>
    <n v="3123"/>
    <n v="0.31705583756345179"/>
    <s v="No Campaign"/>
    <m/>
    <m/>
    <m/>
  </r>
  <r>
    <s v="P120"/>
    <x v="3"/>
    <d v="2024-10-21T00:00:00"/>
    <s v="Story"/>
    <s v="Check out our latest story on facebook!"/>
    <n v="780"/>
    <n v="928"/>
    <n v="301"/>
    <n v="8580"/>
    <n v="8081"/>
    <n v="91"/>
    <x v="4"/>
    <s v="NewYearRefresh"/>
    <n v="2009"/>
    <n v="0.23414918414918415"/>
    <s v="FestiveRadiance"/>
    <d v="2024-10-01T00:00:00"/>
    <d v="2024-10-31T00:00:00"/>
    <n v="200000"/>
  </r>
  <r>
    <s v="P121"/>
    <x v="2"/>
    <d v="2024-07-29T00:00:00"/>
    <s v="Story"/>
    <s v="Check out our latest story on instagram!"/>
    <n v="498"/>
    <n v="701"/>
    <n v="412"/>
    <n v="4980"/>
    <n v="4185"/>
    <n v="185"/>
    <x v="0"/>
    <m/>
    <n v="1611"/>
    <n v="0.32349397590361445"/>
    <s v="No Campaign"/>
    <m/>
    <m/>
    <m/>
  </r>
  <r>
    <s v="P122"/>
    <x v="2"/>
    <d v="2024-10-02T00:00:00"/>
    <s v="Text"/>
    <s v="Check out our latest text on instagram!"/>
    <n v="3432"/>
    <n v="869"/>
    <n v="123"/>
    <n v="54912"/>
    <n v="53916"/>
    <n v="264"/>
    <x v="4"/>
    <s v="FestiveRadiance"/>
    <n v="4424"/>
    <n v="8.0565268065268064E-2"/>
    <s v="FestiveRadiance"/>
    <d v="2024-10-01T00:00:00"/>
    <d v="2024-10-31T00:00:00"/>
    <n v="200000"/>
  </r>
  <r>
    <s v="P123"/>
    <x v="2"/>
    <d v="2024-06-14T00:00:00"/>
    <s v="Story"/>
    <s v="Check out our latest story on instagram!"/>
    <n v="4363"/>
    <n v="649"/>
    <n v="140"/>
    <n v="21815"/>
    <n v="21481"/>
    <n v="157"/>
    <x v="4"/>
    <s v="SummerSplash"/>
    <n v="5152"/>
    <n v="0.23616777446710979"/>
    <s v="No Campaign"/>
    <m/>
    <m/>
    <m/>
  </r>
  <r>
    <s v="P124"/>
    <x v="1"/>
    <d v="2025-04-06T00:00:00"/>
    <s v="Carousel"/>
    <s v="Check out our latest carousel on youtube!"/>
    <n v="736"/>
    <n v="771"/>
    <n v="225"/>
    <n v="5152"/>
    <n v="4706"/>
    <n v="19"/>
    <x v="4"/>
    <s v="SummerSplash"/>
    <n v="1732"/>
    <n v="0.33618012422360249"/>
    <s v="No Campaign"/>
    <m/>
    <m/>
    <m/>
  </r>
  <r>
    <s v="P125"/>
    <x v="0"/>
    <d v="2024-09-08T00:00:00"/>
    <s v="Carousel"/>
    <s v="Check out our latest carousel on twitter!"/>
    <n v="3811"/>
    <n v="866"/>
    <n v="216"/>
    <n v="34299"/>
    <n v="34088"/>
    <n v="233"/>
    <x v="2"/>
    <s v="DailyWellness"/>
    <n v="4893"/>
    <n v="0.14265722032712325"/>
    <s v="No Campaign"/>
    <m/>
    <m/>
    <m/>
  </r>
  <r>
    <s v="P126"/>
    <x v="2"/>
    <d v="2025-03-28T00:00:00"/>
    <s v="Carousel"/>
    <s v="Check out our latest carousel on instagram!"/>
    <n v="4158"/>
    <n v="167"/>
    <n v="241"/>
    <n v="45738"/>
    <n v="45183"/>
    <n v="142"/>
    <x v="0"/>
    <m/>
    <n v="4566"/>
    <n v="9.9829463465827106E-2"/>
    <s v="DailyWellness"/>
    <d v="2025-03-01T00:00:00"/>
    <d v="2025-03-31T00:00:00"/>
    <n v="180000"/>
  </r>
  <r>
    <s v="P127"/>
    <x v="3"/>
    <d v="2025-01-27T00:00:00"/>
    <s v="Reel"/>
    <s v="Check out our latest reel on facebook!"/>
    <n v="3452"/>
    <n v="652"/>
    <n v="442"/>
    <n v="65588"/>
    <n v="65049"/>
    <n v="158"/>
    <x v="0"/>
    <s v="NewYearRefresh"/>
    <n v="4546"/>
    <n v="6.9311459413307311E-2"/>
    <s v="No Campaign"/>
    <m/>
    <m/>
    <m/>
  </r>
  <r>
    <s v="P128"/>
    <x v="0"/>
    <d v="2025-01-10T00:00:00"/>
    <s v="Image"/>
    <s v="Check out our latest image on twitter!"/>
    <n v="3092"/>
    <n v="106"/>
    <n v="291"/>
    <n v="27828"/>
    <n v="27217"/>
    <n v="102"/>
    <x v="0"/>
    <m/>
    <n v="3489"/>
    <n v="0.12537731780940059"/>
    <s v="NewYearRefresh"/>
    <d v="2024-12-25T00:00:00"/>
    <d v="2025-01-10T00:00:00"/>
    <n v="250000"/>
  </r>
  <r>
    <s v="P129"/>
    <x v="0"/>
    <d v="2024-07-21T00:00:00"/>
    <s v="Text"/>
    <s v="Check out our latest text on twitter!"/>
    <n v="2147"/>
    <n v="430"/>
    <n v="393"/>
    <n v="17176"/>
    <n v="16483"/>
    <n v="170"/>
    <x v="2"/>
    <m/>
    <n v="2970"/>
    <n v="0.17291569632044715"/>
    <s v="No Campaign"/>
    <m/>
    <m/>
    <m/>
  </r>
  <r>
    <s v="P130"/>
    <x v="1"/>
    <d v="2024-09-29T00:00:00"/>
    <s v="Reel"/>
    <s v="Check out our latest reel on youtube!"/>
    <n v="2936"/>
    <n v="439"/>
    <n v="44"/>
    <n v="38168"/>
    <n v="37571"/>
    <n v="22"/>
    <x v="4"/>
    <s v="DailyWellness"/>
    <n v="3419"/>
    <n v="8.9577656675749323E-2"/>
    <s v="No Campaign"/>
    <m/>
    <m/>
    <m/>
  </r>
  <r>
    <s v="P131"/>
    <x v="2"/>
    <d v="2024-10-21T00:00:00"/>
    <s v="Reel"/>
    <s v="Check out our latest reel on instagram!"/>
    <n v="4840"/>
    <n v="658"/>
    <n v="211"/>
    <n v="43560"/>
    <n v="43225"/>
    <n v="57"/>
    <x v="0"/>
    <s v="NewYearRefresh"/>
    <n v="5709"/>
    <n v="0.13106060606060607"/>
    <s v="FestiveRadiance"/>
    <d v="2024-10-01T00:00:00"/>
    <d v="2024-10-31T00:00:00"/>
    <n v="200000"/>
  </r>
  <r>
    <s v="P132"/>
    <x v="2"/>
    <d v="2025-03-04T00:00:00"/>
    <s v="Story"/>
    <s v="Check out our latest story on instagram!"/>
    <n v="1947"/>
    <n v="842"/>
    <n v="101"/>
    <n v="21417"/>
    <n v="20967"/>
    <n v="186"/>
    <x v="0"/>
    <s v="FestiveRadiance"/>
    <n v="2890"/>
    <n v="0.13493953401503478"/>
    <s v="DailyWellness"/>
    <d v="2025-03-01T00:00:00"/>
    <d v="2025-03-31T00:00:00"/>
    <n v="180000"/>
  </r>
  <r>
    <s v="P133"/>
    <x v="3"/>
    <d v="2025-02-06T00:00:00"/>
    <s v="Image"/>
    <s v="Check out our latest image on facebook!"/>
    <n v="2072"/>
    <n v="532"/>
    <n v="71"/>
    <n v="37296"/>
    <n v="36467"/>
    <n v="25"/>
    <x v="2"/>
    <s v="DailyWellness"/>
    <n v="2675"/>
    <n v="7.172350922350923E-2"/>
    <s v="No Campaign"/>
    <m/>
    <m/>
    <m/>
  </r>
  <r>
    <s v="P134"/>
    <x v="0"/>
    <d v="2025-04-24T00:00:00"/>
    <s v="Reel"/>
    <s v="Check out our latest reel on twitter!"/>
    <n v="3731"/>
    <n v="115"/>
    <n v="135"/>
    <n v="55965"/>
    <n v="55436"/>
    <n v="103"/>
    <x v="2"/>
    <s v="SummerSplash"/>
    <n v="3981"/>
    <n v="7.1133744304476013E-2"/>
    <s v="No Campaign"/>
    <m/>
    <m/>
    <m/>
  </r>
  <r>
    <s v="P135"/>
    <x v="3"/>
    <d v="2024-11-28T00:00:00"/>
    <s v="Text"/>
    <s v="Check out our latest text on facebook!"/>
    <n v="4213"/>
    <n v="253"/>
    <n v="434"/>
    <n v="75834"/>
    <n v="75437"/>
    <n v="272"/>
    <x v="0"/>
    <s v="DailyWellness"/>
    <n v="4900"/>
    <n v="6.461481657304112E-2"/>
    <s v="No Campaign"/>
    <m/>
    <m/>
    <m/>
  </r>
  <r>
    <s v="P136"/>
    <x v="2"/>
    <d v="2024-07-11T00:00:00"/>
    <s v="Text"/>
    <s v="Check out our latest text on instagram!"/>
    <n v="3134"/>
    <n v="888"/>
    <n v="444"/>
    <n v="21938"/>
    <n v="21337"/>
    <n v="130"/>
    <x v="4"/>
    <s v="DailyWellness"/>
    <n v="4466"/>
    <n v="0.20357370772176134"/>
    <s v="SummerSplash"/>
    <d v="2024-06-15T00:00:00"/>
    <d v="2024-07-15T00:00:00"/>
    <n v="150000"/>
  </r>
  <r>
    <s v="P137"/>
    <x v="3"/>
    <d v="2024-07-31T00:00:00"/>
    <s v="Video"/>
    <s v="Check out our latest video on facebook!"/>
    <n v="3008"/>
    <n v="94"/>
    <n v="37"/>
    <n v="15040"/>
    <n v="14639"/>
    <n v="277"/>
    <x v="0"/>
    <m/>
    <n v="3139"/>
    <n v="0.20871010638297871"/>
    <s v="No Campaign"/>
    <m/>
    <m/>
    <m/>
  </r>
  <r>
    <s v="P138"/>
    <x v="0"/>
    <d v="2025-03-29T00:00:00"/>
    <s v="Image"/>
    <s v="Check out our latest image on twitter!"/>
    <n v="305"/>
    <n v="187"/>
    <n v="243"/>
    <n v="4575"/>
    <n v="3704"/>
    <n v="234"/>
    <x v="0"/>
    <s v="NewYearRefresh"/>
    <n v="735"/>
    <n v="0.16065573770491803"/>
    <s v="DailyWellness"/>
    <d v="2025-03-01T00:00:00"/>
    <d v="2025-03-31T00:00:00"/>
    <n v="180000"/>
  </r>
  <r>
    <s v="P139"/>
    <x v="1"/>
    <d v="2024-10-29T00:00:00"/>
    <s v="Text"/>
    <s v="Check out our latest text on youtube!"/>
    <n v="2746"/>
    <n v="156"/>
    <n v="203"/>
    <n v="32952"/>
    <n v="32147"/>
    <n v="147"/>
    <x v="4"/>
    <s v="SummerSplash"/>
    <n v="3105"/>
    <n v="9.422796795338674E-2"/>
    <s v="FestiveRadiance"/>
    <d v="2024-10-01T00:00:00"/>
    <d v="2024-10-31T00:00:00"/>
    <n v="200000"/>
  </r>
  <r>
    <s v="P140"/>
    <x v="3"/>
    <d v="2024-07-15T00:00:00"/>
    <s v="Image"/>
    <s v="Check out our latest image on facebook!"/>
    <n v="2291"/>
    <n v="78"/>
    <n v="485"/>
    <n v="18328"/>
    <n v="18101"/>
    <n v="10"/>
    <x v="4"/>
    <s v="FestiveRadiance"/>
    <n v="2854"/>
    <n v="0.15571802706241816"/>
    <s v="SummerSplash"/>
    <d v="2024-06-15T00:00:00"/>
    <d v="2024-07-15T00:00:00"/>
    <n v="150000"/>
  </r>
  <r>
    <s v="P140"/>
    <x v="3"/>
    <d v="2024-07-15T00:00:00"/>
    <s v="Image"/>
    <s v="Check out our latest image on facebook!"/>
    <n v="2291"/>
    <n v="78"/>
    <n v="485"/>
    <n v="18328"/>
    <n v="18101"/>
    <n v="10"/>
    <x v="5"/>
    <s v="FestiveRadiance"/>
    <n v="2854"/>
    <n v="0.15571802706241816"/>
    <s v="SummerSplash"/>
    <d v="2024-06-15T00:00:00"/>
    <d v="2024-07-15T00:00:00"/>
    <n v="150000"/>
  </r>
  <r>
    <s v="P141"/>
    <x v="0"/>
    <d v="2024-08-31T00:00:00"/>
    <s v="Image"/>
    <s v="Check out our latest image on twitter!"/>
    <n v="3170"/>
    <n v="857"/>
    <n v="379"/>
    <n v="19020"/>
    <n v="18559"/>
    <n v="240"/>
    <x v="0"/>
    <m/>
    <n v="4406"/>
    <n v="0.2316508937960042"/>
    <s v="No Campaign"/>
    <m/>
    <m/>
    <m/>
  </r>
  <r>
    <s v="P142"/>
    <x v="1"/>
    <d v="2025-03-25T00:00:00"/>
    <s v="Story"/>
    <s v="Check out our latest story on youtube!"/>
    <n v="2070"/>
    <n v="275"/>
    <n v="386"/>
    <n v="39330"/>
    <n v="38627"/>
    <n v="114"/>
    <x v="0"/>
    <s v="DailyWellness"/>
    <n v="2731"/>
    <n v="6.9438087973557078E-2"/>
    <s v="DailyWellness"/>
    <d v="2025-03-01T00:00:00"/>
    <d v="2025-03-31T00:00:00"/>
    <n v="180000"/>
  </r>
  <r>
    <s v="P143"/>
    <x v="1"/>
    <d v="2024-10-02T00:00:00"/>
    <s v="Carousel"/>
    <s v="Check out our latest carousel on youtube!"/>
    <n v="80"/>
    <n v="362"/>
    <n v="80"/>
    <n v="1040"/>
    <n v="349"/>
    <n v="117"/>
    <x v="2"/>
    <s v="NewYearRefresh"/>
    <n v="522"/>
    <n v="0.50192307692307692"/>
    <s v="FestiveRadiance"/>
    <d v="2024-10-01T00:00:00"/>
    <d v="2024-10-31T00:00:00"/>
    <n v="200000"/>
  </r>
  <r>
    <s v="P144"/>
    <x v="1"/>
    <d v="2024-10-28T00:00:00"/>
    <s v="Story"/>
    <s v="Check out our latest story on youtube!"/>
    <n v="4929"/>
    <n v="749"/>
    <n v="452"/>
    <n v="93651"/>
    <n v="92810"/>
    <n v="66"/>
    <x v="4"/>
    <s v="DailyWellness"/>
    <n v="6130"/>
    <n v="6.5455787978772245E-2"/>
    <s v="FestiveRadiance"/>
    <d v="2024-10-01T00:00:00"/>
    <d v="2024-10-31T00:00:00"/>
    <n v="200000"/>
  </r>
  <r>
    <s v="P145"/>
    <x v="2"/>
    <d v="2024-08-12T00:00:00"/>
    <s v="Carousel"/>
    <s v="Check out our latest carousel on instagram!"/>
    <n v="1878"/>
    <n v="62"/>
    <n v="179"/>
    <n v="37560"/>
    <n v="36874"/>
    <n v="142"/>
    <x v="2"/>
    <s v="DailyWellness"/>
    <n v="2119"/>
    <n v="5.6416400425985093E-2"/>
    <s v="No Campaign"/>
    <m/>
    <m/>
    <m/>
  </r>
  <r>
    <s v="P146"/>
    <x v="1"/>
    <d v="2024-06-05T00:00:00"/>
    <s v="Reel"/>
    <s v="Check out our latest reel on youtube!"/>
    <n v="3065"/>
    <n v="772"/>
    <n v="142"/>
    <n v="18390"/>
    <n v="17875"/>
    <n v="200"/>
    <x v="4"/>
    <m/>
    <n v="3979"/>
    <n v="0.21636759108210984"/>
    <s v="No Campaign"/>
    <m/>
    <m/>
    <m/>
  </r>
  <r>
    <s v="P146"/>
    <x v="1"/>
    <d v="2024-06-05T00:00:00"/>
    <s v="Reel"/>
    <s v="Check out our latest reel on youtube!"/>
    <n v="3065"/>
    <n v="772"/>
    <n v="142"/>
    <n v="18390"/>
    <n v="17875"/>
    <n v="200"/>
    <x v="1"/>
    <m/>
    <n v="3979"/>
    <n v="0.21636759108210984"/>
    <s v="No Campaign"/>
    <m/>
    <m/>
    <m/>
  </r>
  <r>
    <s v="P147"/>
    <x v="2"/>
    <d v="2024-10-21T00:00:00"/>
    <s v="Reel"/>
    <s v="Check out our latest reel on instagram!"/>
    <n v="3256"/>
    <n v="459"/>
    <n v="266"/>
    <n v="26048"/>
    <n v="25529"/>
    <n v="143"/>
    <x v="2"/>
    <s v="FestiveRadiance"/>
    <n v="3981"/>
    <n v="0.15283323095823095"/>
    <s v="FestiveRadiance"/>
    <d v="2024-10-01T00:00:00"/>
    <d v="2024-10-31T00:00:00"/>
    <n v="200000"/>
  </r>
  <r>
    <s v="P148"/>
    <x v="2"/>
    <d v="2025-04-15T00:00:00"/>
    <s v="Video"/>
    <s v="Check out our latest video on instagram!"/>
    <n v="4133"/>
    <n v="466"/>
    <n v="327"/>
    <n v="24798"/>
    <n v="24620"/>
    <n v="176"/>
    <x v="4"/>
    <s v="DailyWellness"/>
    <n v="4926"/>
    <n v="0.19864505202032423"/>
    <s v="No Campaign"/>
    <m/>
    <m/>
    <m/>
  </r>
  <r>
    <s v="P149"/>
    <x v="0"/>
    <d v="2024-06-16T00:00:00"/>
    <s v="Video"/>
    <s v="Check out our latest video on twitter!"/>
    <n v="1702"/>
    <n v="750"/>
    <n v="179"/>
    <n v="34040"/>
    <n v="33174"/>
    <n v="76"/>
    <x v="4"/>
    <s v="SummerSplash"/>
    <n v="2631"/>
    <n v="7.7291421856639245E-2"/>
    <s v="SummerSplash"/>
    <d v="2024-06-15T00:00:00"/>
    <d v="2024-07-15T00:00:00"/>
    <n v="150000"/>
  </r>
  <r>
    <s v="P150"/>
    <x v="1"/>
    <d v="2024-08-22T00:00:00"/>
    <s v="Carousel"/>
    <s v="Check out our latest carousel on youtube!"/>
    <n v="4295"/>
    <n v="853"/>
    <n v="325"/>
    <n v="85900"/>
    <n v="85788"/>
    <n v="290"/>
    <x v="2"/>
    <s v="DailyWellness"/>
    <n v="5473"/>
    <n v="6.3713620488940623E-2"/>
    <s v="No Campaign"/>
    <m/>
    <m/>
    <m/>
  </r>
  <r>
    <s v="P151"/>
    <x v="2"/>
    <d v="2024-07-26T00:00:00"/>
    <s v="Image"/>
    <s v="Check out our latest image on instagram!"/>
    <n v="3559"/>
    <n v="59"/>
    <n v="289"/>
    <n v="35590"/>
    <n v="35105"/>
    <n v="122"/>
    <x v="4"/>
    <s v="SummerSplash"/>
    <n v="3907"/>
    <n v="0.10977802753582468"/>
    <s v="No Campaign"/>
    <m/>
    <m/>
    <m/>
  </r>
  <r>
    <s v="P152"/>
    <x v="3"/>
    <d v="2025-04-22T00:00:00"/>
    <s v="Image"/>
    <s v="Check out our latest image on facebook!"/>
    <n v="4804"/>
    <n v="550"/>
    <n v="270"/>
    <n v="28824"/>
    <n v="28370"/>
    <n v="47"/>
    <x v="4"/>
    <s v="DailyWellness"/>
    <n v="5624"/>
    <n v="0.19511518179295032"/>
    <s v="No Campaign"/>
    <m/>
    <m/>
    <m/>
  </r>
  <r>
    <s v="P153"/>
    <x v="0"/>
    <d v="2025-01-01T00:00:00"/>
    <s v="Video"/>
    <s v="Check out our latest video on twitter!"/>
    <n v="754"/>
    <n v="197"/>
    <n v="257"/>
    <n v="6786"/>
    <n v="6221"/>
    <n v="212"/>
    <x v="2"/>
    <s v="NewYearRefresh"/>
    <n v="1208"/>
    <n v="0.17801355732390214"/>
    <s v="NewYearRefresh"/>
    <d v="2024-12-25T00:00:00"/>
    <d v="2025-01-10T00:00:00"/>
    <n v="250000"/>
  </r>
  <r>
    <s v="P154"/>
    <x v="2"/>
    <d v="2024-10-09T00:00:00"/>
    <s v="Carousel"/>
    <s v="Check out our latest carousel on instagram!"/>
    <n v="985"/>
    <n v="932"/>
    <n v="287"/>
    <n v="6895"/>
    <n v="6757"/>
    <n v="64"/>
    <x v="0"/>
    <s v="DailyWellness"/>
    <n v="2204"/>
    <n v="0.31965192168237855"/>
    <s v="FestiveRadiance"/>
    <d v="2024-10-01T00:00:00"/>
    <d v="2024-10-31T00:00:00"/>
    <n v="200000"/>
  </r>
  <r>
    <s v="P155"/>
    <x v="1"/>
    <d v="2024-12-21T00:00:00"/>
    <s v="Image"/>
    <s v="Check out our latest image on youtube!"/>
    <n v="2283"/>
    <n v="210"/>
    <n v="130"/>
    <n v="22830"/>
    <n v="22617"/>
    <n v="143"/>
    <x v="0"/>
    <s v="FestiveRadiance"/>
    <n v="2623"/>
    <n v="0.11489268506351293"/>
    <s v="No Campaign"/>
    <m/>
    <m/>
    <m/>
  </r>
  <r>
    <s v="P156"/>
    <x v="3"/>
    <d v="2024-10-22T00:00:00"/>
    <s v="Carousel"/>
    <s v="Check out our latest carousel on facebook!"/>
    <n v="3352"/>
    <n v="941"/>
    <n v="482"/>
    <n v="43576"/>
    <n v="43338"/>
    <n v="240"/>
    <x v="0"/>
    <s v="FestiveRadiance"/>
    <n v="4775"/>
    <n v="0.1095786671562328"/>
    <s v="FestiveRadiance"/>
    <d v="2024-10-01T00:00:00"/>
    <d v="2024-10-31T00:00:00"/>
    <n v="200000"/>
  </r>
  <r>
    <s v="P157"/>
    <x v="1"/>
    <d v="2024-07-23T00:00:00"/>
    <s v="Story"/>
    <s v="Check out our latest story on youtube!"/>
    <n v="4775"/>
    <n v="173"/>
    <n v="206"/>
    <n v="47750"/>
    <n v="47544"/>
    <n v="187"/>
    <x v="0"/>
    <s v="FestiveRadiance"/>
    <n v="5154"/>
    <n v="0.10793717277486911"/>
    <s v="No Campaign"/>
    <m/>
    <m/>
    <m/>
  </r>
  <r>
    <s v="P158"/>
    <x v="2"/>
    <d v="2024-08-11T00:00:00"/>
    <s v="Story"/>
    <s v="Check out our latest story on instagram!"/>
    <n v="1762"/>
    <n v="405"/>
    <n v="423"/>
    <n v="22906"/>
    <n v="21925"/>
    <n v="25"/>
    <x v="2"/>
    <s v="SummerSplash"/>
    <n v="2590"/>
    <n v="0.11307081114118571"/>
    <s v="No Campaign"/>
    <m/>
    <m/>
    <m/>
  </r>
  <r>
    <s v="P159"/>
    <x v="3"/>
    <d v="2024-11-25T00:00:00"/>
    <s v="Story"/>
    <s v="Check out our latest story on facebook!"/>
    <n v="2120"/>
    <n v="158"/>
    <n v="488"/>
    <n v="12720"/>
    <n v="12085"/>
    <n v="17"/>
    <x v="0"/>
    <s v="FestiveRadiance"/>
    <n v="2766"/>
    <n v="0.21745283018867925"/>
    <s v="No Campaign"/>
    <m/>
    <m/>
    <m/>
  </r>
  <r>
    <s v="P160"/>
    <x v="0"/>
    <d v="2024-08-24T00:00:00"/>
    <s v="Video"/>
    <s v="Check out our latest video on twitter!"/>
    <n v="1082"/>
    <n v="209"/>
    <n v="484"/>
    <n v="19476"/>
    <n v="18654"/>
    <n v="20"/>
    <x v="2"/>
    <m/>
    <n v="1775"/>
    <n v="9.1137810638734856E-2"/>
    <s v="No Campaign"/>
    <m/>
    <m/>
    <m/>
  </r>
  <r>
    <s v="P161"/>
    <x v="0"/>
    <d v="2025-02-19T00:00:00"/>
    <s v="Text"/>
    <s v="Check out our latest text on twitter!"/>
    <n v="4671"/>
    <n v="876"/>
    <n v="366"/>
    <n v="51381"/>
    <n v="50565"/>
    <n v="245"/>
    <x v="2"/>
    <s v="DailyWellness"/>
    <n v="5913"/>
    <n v="0.11508145034156594"/>
    <s v="No Campaign"/>
    <m/>
    <m/>
    <m/>
  </r>
  <r>
    <s v="P162"/>
    <x v="3"/>
    <d v="2025-04-01T00:00:00"/>
    <s v="Story"/>
    <s v="Check out our latest story on facebook!"/>
    <n v="3430"/>
    <n v="566"/>
    <n v="164"/>
    <n v="48020"/>
    <n v="47305"/>
    <n v="120"/>
    <x v="0"/>
    <m/>
    <n v="4160"/>
    <n v="8.6630570595585168E-2"/>
    <s v="No Campaign"/>
    <m/>
    <m/>
    <m/>
  </r>
  <r>
    <s v="P163"/>
    <x v="2"/>
    <d v="2025-04-08T00:00:00"/>
    <s v="Image"/>
    <s v="Check out our latest image on instagram!"/>
    <n v="4501"/>
    <n v="375"/>
    <n v="323"/>
    <n v="22505"/>
    <n v="21836"/>
    <n v="132"/>
    <x v="2"/>
    <s v="FestiveRadiance"/>
    <n v="5199"/>
    <n v="0.23101532992668297"/>
    <s v="No Campaign"/>
    <m/>
    <m/>
    <m/>
  </r>
  <r>
    <s v="P164"/>
    <x v="1"/>
    <d v="2025-02-27T00:00:00"/>
    <s v="Text"/>
    <s v="Check out our latest text on youtube!"/>
    <n v="4934"/>
    <n v="971"/>
    <n v="156"/>
    <n v="39472"/>
    <n v="39025"/>
    <n v="169"/>
    <x v="2"/>
    <s v="DailyWellness"/>
    <n v="6061"/>
    <n v="0.15355188488042157"/>
    <s v="No Campaign"/>
    <m/>
    <m/>
    <m/>
  </r>
  <r>
    <s v="P164"/>
    <x v="1"/>
    <d v="2025-02-27T00:00:00"/>
    <s v="Text"/>
    <s v="Check out our latest text on youtube!"/>
    <n v="4934"/>
    <n v="971"/>
    <n v="156"/>
    <n v="39472"/>
    <n v="39025"/>
    <n v="169"/>
    <x v="1"/>
    <s v="DailyWellness"/>
    <n v="6061"/>
    <n v="0.15355188488042157"/>
    <s v="No Campaign"/>
    <m/>
    <m/>
    <m/>
  </r>
  <r>
    <s v="P165"/>
    <x v="0"/>
    <d v="2024-12-11T00:00:00"/>
    <s v="Text"/>
    <s v="Check out our latest text on twitter!"/>
    <n v="3239"/>
    <n v="43"/>
    <n v="211"/>
    <n v="22673"/>
    <n v="22171"/>
    <n v="230"/>
    <x v="2"/>
    <s v="FestiveRadiance"/>
    <n v="3493"/>
    <n v="0.15405989502933004"/>
    <s v="No Campaign"/>
    <m/>
    <m/>
    <m/>
  </r>
  <r>
    <s v="P166"/>
    <x v="0"/>
    <d v="2025-02-16T00:00:00"/>
    <s v="Reel"/>
    <s v="Check out our latest reel on twitter!"/>
    <n v="1076"/>
    <n v="313"/>
    <n v="306"/>
    <n v="11836"/>
    <n v="11596"/>
    <n v="104"/>
    <x v="0"/>
    <s v="SummerSplash"/>
    <n v="1695"/>
    <n v="0.14320716458262928"/>
    <s v="No Campaign"/>
    <m/>
    <m/>
    <m/>
  </r>
  <r>
    <s v="P167"/>
    <x v="2"/>
    <d v="2024-11-28T00:00:00"/>
    <s v="Text"/>
    <s v="Check out our latest text on instagram!"/>
    <n v="4771"/>
    <n v="818"/>
    <n v="56"/>
    <n v="57252"/>
    <n v="56378"/>
    <n v="150"/>
    <x v="0"/>
    <m/>
    <n v="5645"/>
    <n v="9.859917557465242E-2"/>
    <s v="No Campaign"/>
    <m/>
    <m/>
    <m/>
  </r>
  <r>
    <s v="P168"/>
    <x v="3"/>
    <d v="2024-11-12T00:00:00"/>
    <s v="Text"/>
    <s v="Check out our latest text on facebook!"/>
    <n v="2418"/>
    <n v="754"/>
    <n v="54"/>
    <n v="43524"/>
    <n v="42743"/>
    <n v="182"/>
    <x v="4"/>
    <s v="SummerSplash"/>
    <n v="3226"/>
    <n v="7.412002573292896E-2"/>
    <s v="No Campaign"/>
    <m/>
    <m/>
    <m/>
  </r>
  <r>
    <s v="P169"/>
    <x v="1"/>
    <d v="2024-12-03T00:00:00"/>
    <s v="Video"/>
    <s v="Check out our latest video on youtube!"/>
    <n v="3809"/>
    <n v="273"/>
    <n v="200"/>
    <n v="34281"/>
    <n v="33534"/>
    <n v="83"/>
    <x v="4"/>
    <s v="SummerSplash"/>
    <n v="4282"/>
    <n v="0.12490884163239112"/>
    <s v="No Campaign"/>
    <m/>
    <m/>
    <m/>
  </r>
  <r>
    <s v="P170"/>
    <x v="0"/>
    <d v="2025-04-28T00:00:00"/>
    <s v="Text"/>
    <s v="Check out our latest text on twitter!"/>
    <n v="3577"/>
    <n v="596"/>
    <n v="493"/>
    <n v="67963"/>
    <n v="67839"/>
    <n v="53"/>
    <x v="2"/>
    <s v="NewYearRefresh"/>
    <n v="4666"/>
    <n v="6.8655003457763777E-2"/>
    <s v="No Campaign"/>
    <m/>
    <m/>
    <m/>
  </r>
  <r>
    <s v="P171"/>
    <x v="1"/>
    <d v="2024-12-31T00:00:00"/>
    <s v="Video"/>
    <s v="Check out our latest video on youtube!"/>
    <n v="1018"/>
    <n v="447"/>
    <n v="332"/>
    <n v="18324"/>
    <n v="18164"/>
    <n v="38"/>
    <x v="0"/>
    <s v="FestiveRadiance"/>
    <n v="1797"/>
    <n v="9.8068107400130972E-2"/>
    <s v="NewYearRefresh"/>
    <d v="2024-12-25T00:00:00"/>
    <d v="2025-01-10T00:00:00"/>
    <n v="250000"/>
  </r>
  <r>
    <s v="P172"/>
    <x v="3"/>
    <d v="2024-08-14T00:00:00"/>
    <s v="Carousel"/>
    <s v="Check out our latest carousel on facebook!"/>
    <n v="3073"/>
    <n v="553"/>
    <n v="174"/>
    <n v="52241"/>
    <n v="51605"/>
    <n v="246"/>
    <x v="4"/>
    <s v="NewYearRefresh"/>
    <n v="3800"/>
    <n v="7.2739802071170159E-2"/>
    <s v="No Campaign"/>
    <m/>
    <m/>
    <m/>
  </r>
  <r>
    <s v="P173"/>
    <x v="0"/>
    <d v="2024-12-05T00:00:00"/>
    <s v="Video"/>
    <s v="Check out our latest video on twitter!"/>
    <n v="1330"/>
    <n v="925"/>
    <n v="35"/>
    <n v="15960"/>
    <n v="15379"/>
    <n v="229"/>
    <x v="0"/>
    <s v="NewYearRefresh"/>
    <n v="2290"/>
    <n v="0.14348370927318296"/>
    <s v="No Campaign"/>
    <m/>
    <m/>
    <m/>
  </r>
  <r>
    <s v="P174"/>
    <x v="3"/>
    <d v="2024-06-22T00:00:00"/>
    <s v="Text"/>
    <s v="Check out our latest text on facebook!"/>
    <n v="3828"/>
    <n v="148"/>
    <n v="253"/>
    <n v="30624"/>
    <n v="30229"/>
    <n v="235"/>
    <x v="4"/>
    <m/>
    <n v="4229"/>
    <n v="0.13809430512016718"/>
    <s v="SummerSplash"/>
    <d v="2024-06-15T00:00:00"/>
    <d v="2024-07-15T00:00:00"/>
    <n v="150000"/>
  </r>
  <r>
    <s v="P175"/>
    <x v="2"/>
    <d v="2025-01-17T00:00:00"/>
    <s v="Reel"/>
    <s v="Check out our latest reel on instagram!"/>
    <n v="142"/>
    <n v="784"/>
    <n v="183"/>
    <n v="1704"/>
    <n v="995"/>
    <n v="154"/>
    <x v="0"/>
    <s v="DailyWellness"/>
    <n v="1109"/>
    <n v="0.6508215962441315"/>
    <s v="No Campaign"/>
    <m/>
    <m/>
    <m/>
  </r>
  <r>
    <s v="P176"/>
    <x v="3"/>
    <d v="2024-06-20T00:00:00"/>
    <s v="Video"/>
    <s v="Check out our latest video on facebook!"/>
    <n v="3798"/>
    <n v="31"/>
    <n v="279"/>
    <n v="75960"/>
    <n v="75813"/>
    <n v="266"/>
    <x v="2"/>
    <s v="SummerSplash"/>
    <n v="4108"/>
    <n v="5.4081095313322801E-2"/>
    <s v="SummerSplash"/>
    <d v="2024-06-15T00:00:00"/>
    <d v="2024-07-15T00:00:00"/>
    <n v="150000"/>
  </r>
  <r>
    <s v="P177"/>
    <x v="2"/>
    <d v="2024-07-10T00:00:00"/>
    <s v="Carousel"/>
    <s v="Check out our latest carousel on instagram!"/>
    <n v="3099"/>
    <n v="694"/>
    <n v="171"/>
    <n v="43386"/>
    <n v="42921"/>
    <n v="52"/>
    <x v="2"/>
    <s v="NewYearRefresh"/>
    <n v="3964"/>
    <n v="9.1365878393951966E-2"/>
    <s v="SummerSplash"/>
    <d v="2024-06-15T00:00:00"/>
    <d v="2024-07-15T00:00:00"/>
    <n v="150000"/>
  </r>
  <r>
    <s v="P178"/>
    <x v="2"/>
    <d v="2024-11-07T00:00:00"/>
    <s v="Video"/>
    <s v="Check out our latest video on instagram!"/>
    <n v="129"/>
    <n v="643"/>
    <n v="136"/>
    <n v="1290"/>
    <n v="839"/>
    <n v="238"/>
    <x v="2"/>
    <s v="DailyWellness"/>
    <n v="908"/>
    <n v="0.70387596899224802"/>
    <s v="No Campaign"/>
    <m/>
    <m/>
    <m/>
  </r>
  <r>
    <s v="P179"/>
    <x v="3"/>
    <d v="2024-07-15T00:00:00"/>
    <s v="Carousel"/>
    <s v="Check out our latest carousel on facebook!"/>
    <n v="3796"/>
    <n v="667"/>
    <n v="395"/>
    <n v="64532"/>
    <n v="63550"/>
    <n v="292"/>
    <x v="2"/>
    <m/>
    <n v="4858"/>
    <n v="7.5280481001673588E-2"/>
    <s v="SummerSplash"/>
    <d v="2024-06-15T00:00:00"/>
    <d v="2024-07-15T00:00:00"/>
    <n v="150000"/>
  </r>
  <r>
    <s v="P180"/>
    <x v="1"/>
    <d v="2024-12-03T00:00:00"/>
    <s v="Text"/>
    <s v="Check out our latest text on youtube!"/>
    <n v="3711"/>
    <n v="352"/>
    <n v="290"/>
    <n v="48243"/>
    <n v="47579"/>
    <n v="11"/>
    <x v="2"/>
    <s v="SummerSplash"/>
    <n v="4353"/>
    <n v="9.023070704558174E-2"/>
    <s v="No Campaign"/>
    <m/>
    <m/>
    <m/>
  </r>
  <r>
    <s v="P181"/>
    <x v="1"/>
    <d v="2025-03-21T00:00:00"/>
    <s v="Image"/>
    <s v="Check out our latest image on youtube!"/>
    <n v="606"/>
    <n v="789"/>
    <n v="470"/>
    <n v="7878"/>
    <n v="7389"/>
    <n v="239"/>
    <x v="4"/>
    <s v="NewYearRefresh"/>
    <n v="1865"/>
    <n v="0.23673521198273673"/>
    <s v="DailyWellness"/>
    <d v="2025-03-01T00:00:00"/>
    <d v="2025-03-31T00:00:00"/>
    <n v="180000"/>
  </r>
  <r>
    <s v="P182"/>
    <x v="3"/>
    <d v="2024-07-31T00:00:00"/>
    <s v="Image"/>
    <s v="Check out our latest image on facebook!"/>
    <n v="4689"/>
    <n v="134"/>
    <n v="403"/>
    <n v="51579"/>
    <n v="50924"/>
    <n v="173"/>
    <x v="2"/>
    <s v="DailyWellness"/>
    <n v="5226"/>
    <n v="0.10132030477519921"/>
    <s v="No Campaign"/>
    <m/>
    <m/>
    <m/>
  </r>
  <r>
    <s v="P183"/>
    <x v="2"/>
    <d v="2024-12-17T00:00:00"/>
    <s v="Story"/>
    <s v="Check out our latest story on instagram!"/>
    <n v="360"/>
    <n v="590"/>
    <n v="393"/>
    <n v="4680"/>
    <n v="4322"/>
    <n v="208"/>
    <x v="0"/>
    <s v="FestiveRadiance"/>
    <n v="1343"/>
    <n v="0.28696581196581195"/>
    <s v="No Campaign"/>
    <m/>
    <m/>
    <m/>
  </r>
  <r>
    <s v="P184"/>
    <x v="0"/>
    <d v="2024-07-28T00:00:00"/>
    <s v="Image"/>
    <s v="Check out our latest image on twitter!"/>
    <n v="3215"/>
    <n v="960"/>
    <n v="202"/>
    <n v="32150"/>
    <n v="31404"/>
    <n v="251"/>
    <x v="4"/>
    <s v="SummerSplash"/>
    <n v="4377"/>
    <n v="0.13614307931570763"/>
    <s v="No Campaign"/>
    <m/>
    <m/>
    <m/>
  </r>
  <r>
    <s v="P185"/>
    <x v="2"/>
    <d v="2025-01-11T00:00:00"/>
    <s v="Carousel"/>
    <s v="Check out our latest carousel on instagram!"/>
    <n v="4523"/>
    <n v="61"/>
    <n v="157"/>
    <n v="49753"/>
    <n v="49329"/>
    <n v="71"/>
    <x v="4"/>
    <m/>
    <n v="4741"/>
    <n v="9.5290736237010829E-2"/>
    <s v="No Campaign"/>
    <m/>
    <m/>
    <m/>
  </r>
  <r>
    <s v="P186"/>
    <x v="3"/>
    <d v="2024-08-24T00:00:00"/>
    <s v="Carousel"/>
    <s v="Check out our latest carousel on facebook!"/>
    <n v="4292"/>
    <n v="51"/>
    <n v="392"/>
    <n v="55796"/>
    <n v="54826"/>
    <n v="264"/>
    <x v="4"/>
    <s v="NewYearRefresh"/>
    <n v="4735"/>
    <n v="8.4862714173059003E-2"/>
    <s v="No Campaign"/>
    <m/>
    <m/>
    <m/>
  </r>
  <r>
    <s v="P187"/>
    <x v="0"/>
    <d v="2024-12-22T00:00:00"/>
    <s v="Reel"/>
    <s v="Check out our latest reel on twitter!"/>
    <n v="1644"/>
    <n v="546"/>
    <n v="150"/>
    <n v="27948"/>
    <n v="27184"/>
    <n v="300"/>
    <x v="4"/>
    <s v="NewYearRefresh"/>
    <n v="2340"/>
    <n v="8.3726921425504502E-2"/>
    <s v="No Campaign"/>
    <m/>
    <m/>
    <m/>
  </r>
  <r>
    <s v="P188"/>
    <x v="1"/>
    <d v="2024-06-06T00:00:00"/>
    <s v="Reel"/>
    <s v="Check out our latest reel on youtube!"/>
    <n v="2728"/>
    <n v="533"/>
    <n v="215"/>
    <n v="40920"/>
    <n v="40816"/>
    <n v="137"/>
    <x v="0"/>
    <s v="FestiveRadiance"/>
    <n v="3476"/>
    <n v="8.4946236559139784E-2"/>
    <s v="No Campaign"/>
    <m/>
    <m/>
    <m/>
  </r>
  <r>
    <s v="P189"/>
    <x v="3"/>
    <d v="2025-03-24T00:00:00"/>
    <s v="Reel"/>
    <s v="Check out our latest reel on facebook!"/>
    <n v="3360"/>
    <n v="525"/>
    <n v="500"/>
    <n v="60480"/>
    <n v="59610"/>
    <n v="192"/>
    <x v="2"/>
    <s v="SummerSplash"/>
    <n v="4385"/>
    <n v="7.2503306878306875E-2"/>
    <s v="DailyWellness"/>
    <d v="2025-03-01T00:00:00"/>
    <d v="2025-03-31T00:00:00"/>
    <n v="180000"/>
  </r>
  <r>
    <s v="P190"/>
    <x v="1"/>
    <d v="2024-10-04T00:00:00"/>
    <s v="Text"/>
    <s v="Check out our latest text on youtube!"/>
    <n v="1963"/>
    <n v="213"/>
    <n v="19"/>
    <n v="39260"/>
    <n v="38771"/>
    <n v="145"/>
    <x v="0"/>
    <m/>
    <n v="2195"/>
    <n v="5.5909322465613857E-2"/>
    <s v="FestiveRadiance"/>
    <d v="2024-10-01T00:00:00"/>
    <d v="2024-10-31T00:00:00"/>
    <n v="200000"/>
  </r>
  <r>
    <s v="P191"/>
    <x v="1"/>
    <d v="2024-12-03T00:00:00"/>
    <s v="Story"/>
    <s v="Check out our latest story on youtube!"/>
    <n v="4285"/>
    <n v="886"/>
    <n v="376"/>
    <n v="55705"/>
    <n v="55556"/>
    <n v="51"/>
    <x v="0"/>
    <s v="NewYearRefresh"/>
    <n v="5547"/>
    <n v="9.9578134817341346E-2"/>
    <s v="No Campaign"/>
    <m/>
    <m/>
    <m/>
  </r>
  <r>
    <s v="P192"/>
    <x v="2"/>
    <d v="2024-11-29T00:00:00"/>
    <s v="Video"/>
    <s v="Check out our latest video on instagram!"/>
    <n v="1176"/>
    <n v="464"/>
    <n v="394"/>
    <n v="14112"/>
    <n v="13588"/>
    <n v="272"/>
    <x v="4"/>
    <m/>
    <n v="2034"/>
    <n v="0.1441326530612245"/>
    <s v="No Campaign"/>
    <m/>
    <m/>
    <m/>
  </r>
  <r>
    <s v="P193"/>
    <x v="0"/>
    <d v="2024-09-11T00:00:00"/>
    <s v="Image"/>
    <s v="Check out our latest image on twitter!"/>
    <n v="4858"/>
    <n v="317"/>
    <n v="129"/>
    <n v="53438"/>
    <n v="52687"/>
    <n v="223"/>
    <x v="4"/>
    <s v="NewYearRefresh"/>
    <n v="5304"/>
    <n v="9.9255211647142488E-2"/>
    <s v="No Campaign"/>
    <m/>
    <m/>
    <m/>
  </r>
  <r>
    <s v="P194"/>
    <x v="1"/>
    <d v="2024-10-02T00:00:00"/>
    <s v="Story"/>
    <s v="Check out our latest story on youtube!"/>
    <n v="4350"/>
    <n v="771"/>
    <n v="7"/>
    <n v="60900"/>
    <n v="60592"/>
    <n v="195"/>
    <x v="4"/>
    <s v="SummerSplash"/>
    <n v="5128"/>
    <n v="8.4203612479474554E-2"/>
    <s v="FestiveRadiance"/>
    <d v="2024-10-01T00:00:00"/>
    <d v="2024-10-31T00:00:00"/>
    <n v="200000"/>
  </r>
  <r>
    <s v="P195"/>
    <x v="2"/>
    <d v="2024-08-15T00:00:00"/>
    <s v="Carousel"/>
    <s v="Check out our latest carousel on instagram!"/>
    <n v="914"/>
    <n v="464"/>
    <n v="246"/>
    <n v="11882"/>
    <n v="11500"/>
    <n v="282"/>
    <x v="0"/>
    <s v="DailyWellness"/>
    <n v="1624"/>
    <n v="0.13667732704931829"/>
    <s v="No Campaign"/>
    <m/>
    <m/>
    <m/>
  </r>
  <r>
    <s v="P195"/>
    <x v="2"/>
    <d v="2024-08-15T00:00:00"/>
    <s v="Carousel"/>
    <s v="Check out our latest carousel on instagram!"/>
    <n v="914"/>
    <n v="464"/>
    <n v="246"/>
    <n v="11882"/>
    <n v="11500"/>
    <n v="282"/>
    <x v="2"/>
    <s v="DailyWellness"/>
    <n v="1624"/>
    <n v="0.13667732704931829"/>
    <s v="No Campaign"/>
    <m/>
    <m/>
    <m/>
  </r>
  <r>
    <s v="P195"/>
    <x v="2"/>
    <d v="2024-08-15T00:00:00"/>
    <s v="Carousel"/>
    <s v="Check out our latest carousel on instagram!"/>
    <n v="914"/>
    <n v="464"/>
    <n v="246"/>
    <n v="11882"/>
    <n v="11500"/>
    <n v="282"/>
    <x v="1"/>
    <s v="DailyWellness"/>
    <n v="1624"/>
    <n v="0.13667732704931829"/>
    <s v="No Campaign"/>
    <m/>
    <m/>
    <m/>
  </r>
  <r>
    <s v="P196"/>
    <x v="2"/>
    <d v="2024-12-19T00:00:00"/>
    <s v="Text"/>
    <s v="Check out our latest text on instagram!"/>
    <n v="1813"/>
    <n v="623"/>
    <n v="72"/>
    <n v="19943"/>
    <n v="18959"/>
    <n v="85"/>
    <x v="4"/>
    <s v="NewYearRefresh"/>
    <n v="2508"/>
    <n v="0.12575841147269717"/>
    <s v="No Campaign"/>
    <m/>
    <m/>
    <m/>
  </r>
  <r>
    <s v="P197"/>
    <x v="0"/>
    <d v="2024-10-22T00:00:00"/>
    <s v="Reel"/>
    <s v="Check out our latest reel on twitter!"/>
    <n v="4782"/>
    <n v="721"/>
    <n v="82"/>
    <n v="86076"/>
    <n v="85339"/>
    <n v="19"/>
    <x v="4"/>
    <s v="SummerSplash"/>
    <n v="5585"/>
    <n v="6.4884520656164318E-2"/>
    <s v="FestiveRadiance"/>
    <d v="2024-10-01T00:00:00"/>
    <d v="2024-10-31T00:00:00"/>
    <n v="200000"/>
  </r>
  <r>
    <s v="P198"/>
    <x v="0"/>
    <d v="2024-09-14T00:00:00"/>
    <s v="Image"/>
    <s v="Check out our latest image on twitter!"/>
    <n v="1048"/>
    <n v="374"/>
    <n v="450"/>
    <n v="9432"/>
    <n v="8882"/>
    <n v="158"/>
    <x v="2"/>
    <s v="NewYearRefresh"/>
    <n v="1872"/>
    <n v="0.19847328244274809"/>
    <s v="No Campaign"/>
    <m/>
    <m/>
    <m/>
  </r>
  <r>
    <s v="P199"/>
    <x v="1"/>
    <d v="2024-11-30T00:00:00"/>
    <s v="Carousel"/>
    <s v="Check out our latest carousel on youtube!"/>
    <n v="2509"/>
    <n v="324"/>
    <n v="171"/>
    <n v="35126"/>
    <n v="34685"/>
    <n v="277"/>
    <x v="2"/>
    <s v="FestiveRadiance"/>
    <n v="3004"/>
    <n v="8.5520696919660646E-2"/>
    <s v="No Campaign"/>
    <m/>
    <m/>
    <m/>
  </r>
  <r>
    <s v="P200"/>
    <x v="3"/>
    <d v="2025-04-07T00:00:00"/>
    <s v="Reel"/>
    <s v="Check out our latest reel on facebook!"/>
    <n v="3718"/>
    <n v="385"/>
    <n v="310"/>
    <n v="70642"/>
    <n v="69749"/>
    <n v="233"/>
    <x v="2"/>
    <s v="FestiveRadiance"/>
    <n v="4413"/>
    <n v="6.246991874522239E-2"/>
    <s v="No Campaign"/>
    <m/>
    <m/>
    <m/>
  </r>
  <r>
    <s v="P201"/>
    <x v="0"/>
    <d v="2025-01-15T00:00:00"/>
    <s v="Reel"/>
    <s v="Check out our latest reel on twitter!"/>
    <n v="802"/>
    <n v="262"/>
    <n v="244"/>
    <n v="14436"/>
    <n v="14280"/>
    <n v="49"/>
    <x v="4"/>
    <s v="SummerSplash"/>
    <n v="1308"/>
    <n v="9.0606816292601824E-2"/>
    <s v="No Campaign"/>
    <m/>
    <m/>
    <m/>
  </r>
  <r>
    <s v="P202"/>
    <x v="3"/>
    <d v="2024-06-02T00:00:00"/>
    <s v="Image"/>
    <s v="Check out our latest image on facebook!"/>
    <n v="1871"/>
    <n v="252"/>
    <n v="335"/>
    <n v="29936"/>
    <n v="29576"/>
    <n v="288"/>
    <x v="4"/>
    <s v="NewYearRefresh"/>
    <n v="2458"/>
    <n v="8.2108498129342594E-2"/>
    <s v="No Campaign"/>
    <m/>
    <m/>
    <m/>
  </r>
  <r>
    <s v="P203"/>
    <x v="2"/>
    <d v="2024-11-21T00:00:00"/>
    <s v="Carousel"/>
    <s v="Check out our latest carousel on instagram!"/>
    <n v="3773"/>
    <n v="299"/>
    <n v="38"/>
    <n v="71687"/>
    <n v="71447"/>
    <n v="286"/>
    <x v="0"/>
    <s v="SummerSplash"/>
    <n v="4110"/>
    <n v="5.7332570758993957E-2"/>
    <s v="No Campaign"/>
    <m/>
    <m/>
    <m/>
  </r>
  <r>
    <s v="P204"/>
    <x v="2"/>
    <d v="2025-01-01T00:00:00"/>
    <s v="Carousel"/>
    <s v="Check out our latest carousel on instagram!"/>
    <n v="2234"/>
    <n v="653"/>
    <n v="432"/>
    <n v="11170"/>
    <n v="10569"/>
    <n v="198"/>
    <x v="0"/>
    <s v="NewYearRefresh"/>
    <n v="3319"/>
    <n v="0.29713518352730528"/>
    <s v="NewYearRefresh"/>
    <d v="2024-12-25T00:00:00"/>
    <d v="2025-01-10T00:00:00"/>
    <n v="250000"/>
  </r>
  <r>
    <s v="P205"/>
    <x v="0"/>
    <d v="2025-04-24T00:00:00"/>
    <s v="Video"/>
    <s v="Check out our latest video on twitter!"/>
    <n v="3820"/>
    <n v="697"/>
    <n v="268"/>
    <n v="45840"/>
    <n v="45631"/>
    <n v="171"/>
    <x v="2"/>
    <s v="DailyWellness"/>
    <n v="4785"/>
    <n v="0.1043848167539267"/>
    <s v="No Campaign"/>
    <m/>
    <m/>
    <m/>
  </r>
  <r>
    <s v="P205"/>
    <x v="0"/>
    <d v="2025-04-24T00:00:00"/>
    <s v="Video"/>
    <s v="Check out our latest video on twitter!"/>
    <n v="3820"/>
    <n v="697"/>
    <n v="268"/>
    <n v="45840"/>
    <n v="45631"/>
    <n v="171"/>
    <x v="5"/>
    <s v="DailyWellness"/>
    <n v="4785"/>
    <n v="0.1043848167539267"/>
    <s v="No Campaign"/>
    <m/>
    <m/>
    <m/>
  </r>
  <r>
    <s v="P206"/>
    <x v="0"/>
    <d v="2024-06-24T00:00:00"/>
    <s v="Text"/>
    <s v="Check out our latest text on twitter!"/>
    <n v="941"/>
    <n v="121"/>
    <n v="458"/>
    <n v="14115"/>
    <n v="13838"/>
    <n v="87"/>
    <x v="4"/>
    <s v="SummerSplash"/>
    <n v="1520"/>
    <n v="0.10768685795253277"/>
    <s v="SummerSplash"/>
    <d v="2024-06-15T00:00:00"/>
    <d v="2024-07-15T00:00:00"/>
    <n v="150000"/>
  </r>
  <r>
    <s v="P207"/>
    <x v="0"/>
    <d v="2024-12-29T00:00:00"/>
    <s v="Carousel"/>
    <s v="Check out our latest carousel on twitter!"/>
    <n v="4274"/>
    <n v="340"/>
    <n v="281"/>
    <n v="34192"/>
    <n v="33446"/>
    <n v="129"/>
    <x v="2"/>
    <s v="NewYearRefresh"/>
    <n v="4895"/>
    <n v="0.14316214319138981"/>
    <s v="NewYearRefresh"/>
    <d v="2024-12-25T00:00:00"/>
    <d v="2025-01-10T00:00:00"/>
    <n v="250000"/>
  </r>
  <r>
    <s v="P207"/>
    <x v="0"/>
    <d v="2024-12-29T00:00:00"/>
    <s v="Carousel"/>
    <s v="Check out our latest carousel on twitter!"/>
    <n v="4274"/>
    <n v="340"/>
    <n v="281"/>
    <n v="34192"/>
    <n v="33446"/>
    <n v="129"/>
    <x v="5"/>
    <s v="NewYearRefresh"/>
    <n v="4895"/>
    <n v="0.14316214319138981"/>
    <s v="NewYearRefresh"/>
    <d v="2024-12-25T00:00:00"/>
    <d v="2025-01-10T00:00:00"/>
    <n v="250000"/>
  </r>
  <r>
    <s v="P208"/>
    <x v="1"/>
    <d v="2024-06-24T00:00:00"/>
    <s v="Video"/>
    <s v="Check out our latest video on youtube!"/>
    <n v="2949"/>
    <n v="476"/>
    <n v="403"/>
    <n v="44235"/>
    <n v="43705"/>
    <n v="135"/>
    <x v="2"/>
    <s v="FestiveRadiance"/>
    <n v="3828"/>
    <n v="8.6537809426924378E-2"/>
    <s v="SummerSplash"/>
    <d v="2024-06-15T00:00:00"/>
    <d v="2024-07-15T00:00:00"/>
    <n v="150000"/>
  </r>
  <r>
    <s v="P209"/>
    <x v="0"/>
    <d v="2025-03-19T00:00:00"/>
    <s v="Video"/>
    <s v="Check out our latest video on twitter!"/>
    <n v="3160"/>
    <n v="204"/>
    <n v="297"/>
    <n v="44240"/>
    <n v="43666"/>
    <n v="49"/>
    <x v="0"/>
    <s v="DailyWellness"/>
    <n v="3661"/>
    <n v="8.2753164556962022E-2"/>
    <s v="DailyWellness"/>
    <d v="2025-03-01T00:00:00"/>
    <d v="2025-03-31T00:00:00"/>
    <n v="180000"/>
  </r>
  <r>
    <s v="P209"/>
    <x v="0"/>
    <d v="2025-03-19T00:00:00"/>
    <s v="Video"/>
    <s v="Check out our latest video on twitter!"/>
    <n v="3160"/>
    <n v="204"/>
    <n v="297"/>
    <n v="44240"/>
    <n v="43666"/>
    <n v="49"/>
    <x v="1"/>
    <s v="DailyWellness"/>
    <n v="3661"/>
    <n v="8.2753164556962022E-2"/>
    <s v="DailyWellness"/>
    <d v="2025-03-01T00:00:00"/>
    <d v="2025-03-31T00:00:00"/>
    <n v="180000"/>
  </r>
  <r>
    <s v="P210"/>
    <x v="1"/>
    <d v="2025-02-19T00:00:00"/>
    <s v="Image"/>
    <s v="Check out our latest image on youtube!"/>
    <n v="257"/>
    <n v="966"/>
    <n v="398"/>
    <n v="3341"/>
    <n v="2753"/>
    <n v="287"/>
    <x v="0"/>
    <s v="SummerSplash"/>
    <n v="1621"/>
    <n v="0.48518407662376534"/>
    <s v="No Campaign"/>
    <m/>
    <m/>
    <m/>
  </r>
  <r>
    <s v="P211"/>
    <x v="0"/>
    <d v="2024-07-18T00:00:00"/>
    <s v="Carousel"/>
    <s v="Check out our latest carousel on twitter!"/>
    <n v="2120"/>
    <n v="38"/>
    <n v="212"/>
    <n v="12720"/>
    <n v="12564"/>
    <n v="21"/>
    <x v="0"/>
    <s v="DailyWellness"/>
    <n v="2370"/>
    <n v="0.18632075471698112"/>
    <s v="No Campaign"/>
    <m/>
    <m/>
    <m/>
  </r>
  <r>
    <s v="P212"/>
    <x v="1"/>
    <d v="2025-03-03T00:00:00"/>
    <s v="Video"/>
    <s v="Check out our latest video on youtube!"/>
    <n v="3874"/>
    <n v="884"/>
    <n v="19"/>
    <n v="38740"/>
    <n v="38552"/>
    <n v="219"/>
    <x v="2"/>
    <s v="FestiveRadiance"/>
    <n v="4777"/>
    <n v="0.123309241094476"/>
    <s v="DailyWellness"/>
    <d v="2025-03-01T00:00:00"/>
    <d v="2025-03-31T00:00:00"/>
    <n v="180000"/>
  </r>
  <r>
    <s v="P213"/>
    <x v="3"/>
    <d v="2025-05-01T00:00:00"/>
    <s v="Carousel"/>
    <s v="Check out our latest carousel on facebook!"/>
    <n v="2696"/>
    <n v="628"/>
    <n v="443"/>
    <n v="45832"/>
    <n v="45632"/>
    <n v="248"/>
    <x v="4"/>
    <s v="DailyWellness"/>
    <n v="3767"/>
    <n v="8.21914819340199E-2"/>
    <s v="No Campaign"/>
    <m/>
    <m/>
    <m/>
  </r>
  <r>
    <s v="P214"/>
    <x v="2"/>
    <d v="2024-12-23T00:00:00"/>
    <s v="Image"/>
    <s v="Check out our latest image on instagram!"/>
    <n v="521"/>
    <n v="746"/>
    <n v="315"/>
    <n v="4168"/>
    <n v="3399"/>
    <n v="282"/>
    <x v="0"/>
    <s v="FestiveRadiance"/>
    <n v="1582"/>
    <n v="0.37955854126679461"/>
    <s v="No Campaign"/>
    <m/>
    <m/>
    <m/>
  </r>
  <r>
    <s v="P215"/>
    <x v="3"/>
    <d v="2025-05-06T00:00:00"/>
    <s v="Image"/>
    <s v="Check out our latest image on facebook!"/>
    <n v="4872"/>
    <n v="925"/>
    <n v="176"/>
    <n v="82824"/>
    <n v="82543"/>
    <n v="89"/>
    <x v="4"/>
    <s v="FestiveRadiance"/>
    <n v="5973"/>
    <n v="7.2116777745580993E-2"/>
    <s v="No Campaign"/>
    <m/>
    <m/>
    <m/>
  </r>
  <r>
    <s v="P216"/>
    <x v="1"/>
    <d v="2024-07-29T00:00:00"/>
    <s v="Story"/>
    <s v="Check out our latest story on youtube!"/>
    <n v="1509"/>
    <n v="88"/>
    <n v="163"/>
    <n v="30180"/>
    <n v="29689"/>
    <n v="119"/>
    <x v="4"/>
    <s v="FestiveRadiance"/>
    <n v="1760"/>
    <n v="5.8316766070245198E-2"/>
    <s v="No Campaign"/>
    <m/>
    <m/>
    <m/>
  </r>
  <r>
    <s v="P217"/>
    <x v="3"/>
    <d v="2024-12-03T00:00:00"/>
    <s v="Image"/>
    <s v="Check out our latest image on facebook!"/>
    <n v="4606"/>
    <n v="931"/>
    <n v="230"/>
    <n v="92120"/>
    <n v="91440"/>
    <n v="56"/>
    <x v="2"/>
    <m/>
    <n v="5767"/>
    <n v="6.2603126356925748E-2"/>
    <s v="No Campaign"/>
    <m/>
    <m/>
    <m/>
  </r>
  <r>
    <s v="P218"/>
    <x v="3"/>
    <d v="2024-06-11T00:00:00"/>
    <s v="Carousel"/>
    <s v="Check out our latest carousel on facebook!"/>
    <n v="1869"/>
    <n v="453"/>
    <n v="490"/>
    <n v="14952"/>
    <n v="14309"/>
    <n v="275"/>
    <x v="2"/>
    <s v="DailyWellness"/>
    <n v="2812"/>
    <n v="0.18806848582129482"/>
    <s v="No Campaign"/>
    <m/>
    <m/>
    <m/>
  </r>
  <r>
    <s v="P219"/>
    <x v="0"/>
    <d v="2025-01-28T00:00:00"/>
    <s v="Reel"/>
    <s v="Check out our latest reel on twitter!"/>
    <n v="1188"/>
    <n v="470"/>
    <n v="174"/>
    <n v="7128"/>
    <n v="6145"/>
    <n v="270"/>
    <x v="2"/>
    <s v="DailyWellness"/>
    <n v="1832"/>
    <n v="0.25701459034792368"/>
    <s v="No Campaign"/>
    <m/>
    <m/>
    <m/>
  </r>
  <r>
    <s v="P220"/>
    <x v="2"/>
    <d v="2024-06-02T00:00:00"/>
    <s v="Story"/>
    <s v="Check out our latest story on instagram!"/>
    <n v="84"/>
    <n v="897"/>
    <n v="85"/>
    <n v="588"/>
    <n v="8"/>
    <n v="12"/>
    <x v="4"/>
    <m/>
    <n v="1066"/>
    <n v="1.8129251700680271"/>
    <s v="No Campaign"/>
    <m/>
    <m/>
    <m/>
  </r>
  <r>
    <s v="P221"/>
    <x v="3"/>
    <d v="2025-03-23T00:00:00"/>
    <s v="Video"/>
    <s v="Check out our latest video on facebook!"/>
    <n v="4453"/>
    <n v="111"/>
    <n v="420"/>
    <n v="31171"/>
    <n v="30565"/>
    <n v="23"/>
    <x v="2"/>
    <m/>
    <n v="4984"/>
    <n v="0.15989220750056141"/>
    <s v="DailyWellness"/>
    <d v="2025-03-01T00:00:00"/>
    <d v="2025-03-31T00:00:00"/>
    <n v="180000"/>
  </r>
  <r>
    <s v="P222"/>
    <x v="3"/>
    <d v="2024-10-08T00:00:00"/>
    <s v="Reel"/>
    <s v="Check out our latest reel on facebook!"/>
    <n v="1814"/>
    <n v="653"/>
    <n v="363"/>
    <n v="25396"/>
    <n v="25286"/>
    <n v="39"/>
    <x v="0"/>
    <s v="SummerSplash"/>
    <n v="2830"/>
    <n v="0.11143487163332809"/>
    <s v="FestiveRadiance"/>
    <d v="2024-10-01T00:00:00"/>
    <d v="2024-10-31T00:00:00"/>
    <n v="200000"/>
  </r>
  <r>
    <s v="P222"/>
    <x v="3"/>
    <d v="2024-10-08T00:00:00"/>
    <s v="Reel"/>
    <s v="Check out our latest reel on facebook!"/>
    <n v="1814"/>
    <n v="653"/>
    <n v="363"/>
    <n v="25396"/>
    <n v="25286"/>
    <n v="39"/>
    <x v="5"/>
    <s v="SummerSplash"/>
    <n v="2830"/>
    <n v="0.11143487163332809"/>
    <s v="FestiveRadiance"/>
    <d v="2024-10-01T00:00:00"/>
    <d v="2024-10-31T00:00:00"/>
    <n v="200000"/>
  </r>
  <r>
    <s v="P223"/>
    <x v="0"/>
    <d v="2024-11-12T00:00:00"/>
    <s v="Image"/>
    <s v="Check out our latest image on twitter!"/>
    <n v="3338"/>
    <n v="277"/>
    <n v="118"/>
    <n v="60084"/>
    <n v="59842"/>
    <n v="252"/>
    <x v="2"/>
    <m/>
    <n v="3733"/>
    <n v="6.2129685107516146E-2"/>
    <s v="No Campaign"/>
    <m/>
    <m/>
    <m/>
  </r>
  <r>
    <s v="P224"/>
    <x v="3"/>
    <d v="2025-05-13T00:00:00"/>
    <s v="Image"/>
    <s v="Check out our latest image on facebook!"/>
    <n v="602"/>
    <n v="594"/>
    <n v="156"/>
    <n v="4214"/>
    <n v="3363"/>
    <n v="164"/>
    <x v="2"/>
    <s v="NewYearRefresh"/>
    <n v="1352"/>
    <n v="0.32083531086853345"/>
    <s v="No Campaign"/>
    <m/>
    <m/>
    <m/>
  </r>
  <r>
    <s v="P225"/>
    <x v="0"/>
    <d v="2024-06-20T00:00:00"/>
    <s v="Carousel"/>
    <s v="Check out our latest carousel on twitter!"/>
    <n v="4672"/>
    <n v="325"/>
    <n v="32"/>
    <n v="88768"/>
    <n v="87833"/>
    <n v="118"/>
    <x v="4"/>
    <m/>
    <n v="5029"/>
    <n v="5.6653298485940883E-2"/>
    <s v="SummerSplash"/>
    <d v="2024-06-15T00:00:00"/>
    <d v="2024-07-15T00:00:00"/>
    <n v="150000"/>
  </r>
  <r>
    <s v="P226"/>
    <x v="2"/>
    <d v="2024-08-07T00:00:00"/>
    <s v="Carousel"/>
    <s v="Check out our latest carousel on instagram!"/>
    <n v="1741"/>
    <n v="164"/>
    <n v="318"/>
    <n v="8705"/>
    <n v="8272"/>
    <n v="121"/>
    <x v="2"/>
    <m/>
    <n v="2223"/>
    <n v="0.25537047673750718"/>
    <s v="No Campaign"/>
    <m/>
    <m/>
    <m/>
  </r>
  <r>
    <s v="P227"/>
    <x v="2"/>
    <d v="2024-06-12T00:00:00"/>
    <s v="Text"/>
    <s v="Check out our latest text on instagram!"/>
    <n v="246"/>
    <n v="149"/>
    <n v="130"/>
    <n v="4674"/>
    <n v="4390"/>
    <n v="217"/>
    <x v="0"/>
    <s v="NewYearRefresh"/>
    <n v="525"/>
    <n v="0.11232349165596919"/>
    <s v="No Campaign"/>
    <m/>
    <m/>
    <m/>
  </r>
  <r>
    <s v="P228"/>
    <x v="2"/>
    <d v="2024-07-01T00:00:00"/>
    <s v="Story"/>
    <s v="Check out our latest story on instagram!"/>
    <n v="4808"/>
    <n v="772"/>
    <n v="320"/>
    <n v="72120"/>
    <n v="71696"/>
    <n v="195"/>
    <x v="4"/>
    <s v="SummerSplash"/>
    <n v="5900"/>
    <n v="8.1808097615085965E-2"/>
    <s v="SummerSplash"/>
    <d v="2024-06-15T00:00:00"/>
    <d v="2024-07-15T00:00:00"/>
    <n v="150000"/>
  </r>
  <r>
    <s v="P229"/>
    <x v="2"/>
    <d v="2024-07-03T00:00:00"/>
    <s v="Carousel"/>
    <s v="Check out our latest carousel on instagram!"/>
    <n v="4799"/>
    <n v="694"/>
    <n v="289"/>
    <n v="43191"/>
    <n v="42228"/>
    <n v="118"/>
    <x v="2"/>
    <m/>
    <n v="5782"/>
    <n v="0.13387048227640017"/>
    <s v="SummerSplash"/>
    <d v="2024-06-15T00:00:00"/>
    <d v="2024-07-15T00:00:00"/>
    <n v="150000"/>
  </r>
  <r>
    <s v="P230"/>
    <x v="3"/>
    <d v="2024-07-15T00:00:00"/>
    <s v="Reel"/>
    <s v="Check out our latest reel on facebook!"/>
    <n v="3663"/>
    <n v="17"/>
    <n v="295"/>
    <n v="51282"/>
    <n v="50567"/>
    <n v="84"/>
    <x v="4"/>
    <s v="NewYearRefresh"/>
    <n v="3975"/>
    <n v="7.7512577512577507E-2"/>
    <s v="SummerSplash"/>
    <d v="2024-06-15T00:00:00"/>
    <d v="2024-07-15T00:00:00"/>
    <n v="150000"/>
  </r>
  <r>
    <s v="P231"/>
    <x v="2"/>
    <d v="2025-05-01T00:00:00"/>
    <s v="Text"/>
    <s v="Check out our latest text on instagram!"/>
    <n v="1430"/>
    <n v="376"/>
    <n v="33"/>
    <n v="21450"/>
    <n v="20509"/>
    <n v="251"/>
    <x v="0"/>
    <s v="SummerSplash"/>
    <n v="1839"/>
    <n v="8.5734265734265735E-2"/>
    <s v="No Campaign"/>
    <m/>
    <m/>
    <m/>
  </r>
  <r>
    <s v="P232"/>
    <x v="0"/>
    <d v="2025-04-29T00:00:00"/>
    <s v="Story"/>
    <s v="Check out our latest story on twitter!"/>
    <n v="249"/>
    <n v="592"/>
    <n v="230"/>
    <n v="1494"/>
    <n v="1044"/>
    <n v="201"/>
    <x v="4"/>
    <s v="DailyWellness"/>
    <n v="1071"/>
    <n v="0.7168674698795181"/>
    <s v="No Campaign"/>
    <m/>
    <m/>
    <m/>
  </r>
  <r>
    <s v="P233"/>
    <x v="3"/>
    <d v="2025-03-08T00:00:00"/>
    <s v="Image"/>
    <s v="Check out our latest image on facebook!"/>
    <n v="2382"/>
    <n v="265"/>
    <n v="134"/>
    <n v="38112"/>
    <n v="37437"/>
    <n v="249"/>
    <x v="0"/>
    <s v="DailyWellness"/>
    <n v="2781"/>
    <n v="7.2969143576826198E-2"/>
    <s v="DailyWellness"/>
    <d v="2025-03-01T00:00:00"/>
    <d v="2025-03-31T00:00:00"/>
    <n v="180000"/>
  </r>
  <r>
    <s v="P234"/>
    <x v="3"/>
    <d v="2024-06-01T00:00:00"/>
    <s v="Text"/>
    <s v="Check out our latest text on facebook!"/>
    <n v="1272"/>
    <n v="465"/>
    <n v="99"/>
    <n v="24168"/>
    <n v="23719"/>
    <n v="42"/>
    <x v="2"/>
    <m/>
    <n v="1836"/>
    <n v="7.5968222442899705E-2"/>
    <s v="No Campaign"/>
    <m/>
    <m/>
    <m/>
  </r>
  <r>
    <s v="P235"/>
    <x v="3"/>
    <d v="2024-12-22T00:00:00"/>
    <s v="Image"/>
    <s v="Check out our latest image on facebook!"/>
    <n v="3196"/>
    <n v="941"/>
    <n v="376"/>
    <n v="35156"/>
    <n v="34444"/>
    <n v="241"/>
    <x v="2"/>
    <s v="NewYearRefresh"/>
    <n v="4513"/>
    <n v="0.1283706906360223"/>
    <s v="No Campaign"/>
    <m/>
    <m/>
    <m/>
  </r>
  <r>
    <s v="P236"/>
    <x v="3"/>
    <d v="2024-08-19T00:00:00"/>
    <s v="Text"/>
    <s v="Check out our latest text on facebook!"/>
    <n v="1257"/>
    <n v="19"/>
    <n v="351"/>
    <n v="12570"/>
    <n v="11660"/>
    <n v="194"/>
    <x v="0"/>
    <s v="FestiveRadiance"/>
    <n v="1627"/>
    <n v="0.12943516308671441"/>
    <s v="No Campaign"/>
    <m/>
    <m/>
    <m/>
  </r>
  <r>
    <s v="P236"/>
    <x v="3"/>
    <d v="2024-08-19T00:00:00"/>
    <s v="Text"/>
    <s v="Check out our latest text on facebook!"/>
    <n v="1257"/>
    <n v="19"/>
    <n v="351"/>
    <n v="12570"/>
    <n v="11660"/>
    <n v="194"/>
    <x v="1"/>
    <s v="FestiveRadiance"/>
    <n v="1627"/>
    <n v="0.12943516308671441"/>
    <s v="No Campaign"/>
    <m/>
    <m/>
    <m/>
  </r>
  <r>
    <s v="P236"/>
    <x v="3"/>
    <d v="2024-08-19T00:00:00"/>
    <s v="Text"/>
    <s v="Check out our latest text on facebook!"/>
    <n v="1257"/>
    <n v="19"/>
    <n v="351"/>
    <n v="12570"/>
    <n v="11660"/>
    <n v="194"/>
    <x v="4"/>
    <s v="FestiveRadiance"/>
    <n v="1627"/>
    <n v="0.12943516308671441"/>
    <s v="No Campaign"/>
    <m/>
    <m/>
    <m/>
  </r>
  <r>
    <s v="P237"/>
    <x v="2"/>
    <d v="2024-10-22T00:00:00"/>
    <s v="Story"/>
    <s v="Check out our latest story on instagram!"/>
    <n v="3770"/>
    <n v="917"/>
    <n v="129"/>
    <n v="71630"/>
    <n v="71322"/>
    <n v="76"/>
    <x v="0"/>
    <s v="SummerSplash"/>
    <n v="4816"/>
    <n v="6.7234398994834563E-2"/>
    <s v="FestiveRadiance"/>
    <d v="2024-10-01T00:00:00"/>
    <d v="2024-10-31T00:00:00"/>
    <n v="200000"/>
  </r>
  <r>
    <s v="P238"/>
    <x v="0"/>
    <d v="2024-07-16T00:00:00"/>
    <s v="Text"/>
    <s v="Check out our latest text on twitter!"/>
    <n v="4725"/>
    <n v="400"/>
    <n v="362"/>
    <n v="75600"/>
    <n v="74927"/>
    <n v="43"/>
    <x v="0"/>
    <s v="DailyWellness"/>
    <n v="5487"/>
    <n v="7.2579365079365077E-2"/>
    <s v="No Campaign"/>
    <m/>
    <m/>
    <m/>
  </r>
  <r>
    <s v="P239"/>
    <x v="1"/>
    <d v="2025-02-24T00:00:00"/>
    <s v="Text"/>
    <s v="Check out our latest text on youtube!"/>
    <n v="4188"/>
    <n v="942"/>
    <n v="118"/>
    <n v="20940"/>
    <n v="20471"/>
    <n v="102"/>
    <x v="0"/>
    <m/>
    <n v="5248"/>
    <n v="0.25062082139446035"/>
    <s v="No Campaign"/>
    <m/>
    <m/>
    <m/>
  </r>
  <r>
    <s v="P240"/>
    <x v="0"/>
    <d v="2024-08-26T00:00:00"/>
    <s v="Carousel"/>
    <s v="Check out our latest carousel on twitter!"/>
    <n v="929"/>
    <n v="192"/>
    <n v="322"/>
    <n v="16722"/>
    <n v="15996"/>
    <n v="145"/>
    <x v="4"/>
    <s v="NewYearRefresh"/>
    <n v="1443"/>
    <n v="8.6293505561535699E-2"/>
    <s v="No Campaign"/>
    <m/>
    <m/>
    <m/>
  </r>
  <r>
    <s v="P240"/>
    <x v="0"/>
    <d v="2024-08-26T00:00:00"/>
    <s v="Carousel"/>
    <s v="Check out our latest carousel on twitter!"/>
    <n v="929"/>
    <n v="192"/>
    <n v="322"/>
    <n v="16722"/>
    <n v="15996"/>
    <n v="145"/>
    <x v="2"/>
    <s v="NewYearRefresh"/>
    <n v="1443"/>
    <n v="8.6293505561535699E-2"/>
    <s v="No Campaign"/>
    <m/>
    <m/>
    <m/>
  </r>
  <r>
    <s v="P240"/>
    <x v="0"/>
    <d v="2024-08-26T00:00:00"/>
    <s v="Carousel"/>
    <s v="Check out our latest carousel on twitter!"/>
    <n v="929"/>
    <n v="192"/>
    <n v="322"/>
    <n v="16722"/>
    <n v="15996"/>
    <n v="145"/>
    <x v="1"/>
    <s v="NewYearRefresh"/>
    <n v="1443"/>
    <n v="8.6293505561535699E-2"/>
    <s v="No Campaign"/>
    <m/>
    <m/>
    <m/>
  </r>
  <r>
    <s v="P241"/>
    <x v="3"/>
    <d v="2025-01-18T00:00:00"/>
    <s v="Story"/>
    <s v="Check out our latest story on facebook!"/>
    <n v="4321"/>
    <n v="874"/>
    <n v="172"/>
    <n v="30247"/>
    <n v="29254"/>
    <n v="122"/>
    <x v="2"/>
    <s v="DailyWellness"/>
    <n v="5367"/>
    <n v="0.17743908486792079"/>
    <s v="No Campaign"/>
    <m/>
    <m/>
    <m/>
  </r>
  <r>
    <s v="P242"/>
    <x v="3"/>
    <d v="2024-07-07T00:00:00"/>
    <s v="Reel"/>
    <s v="Check out our latest reel on facebook!"/>
    <n v="4767"/>
    <n v="190"/>
    <n v="340"/>
    <n v="28602"/>
    <n v="28044"/>
    <n v="210"/>
    <x v="4"/>
    <s v="NewYearRefresh"/>
    <n v="5297"/>
    <n v="0.18519683938186141"/>
    <s v="SummerSplash"/>
    <d v="2024-06-15T00:00:00"/>
    <d v="2024-07-15T00:00:00"/>
    <n v="150000"/>
  </r>
  <r>
    <s v="P243"/>
    <x v="0"/>
    <d v="2025-03-06T00:00:00"/>
    <s v="Image"/>
    <s v="Check out our latest image on twitter!"/>
    <n v="3592"/>
    <n v="911"/>
    <n v="375"/>
    <n v="50288"/>
    <n v="49490"/>
    <n v="32"/>
    <x v="0"/>
    <s v="DailyWellness"/>
    <n v="4878"/>
    <n v="9.7001272669424113E-2"/>
    <s v="DailyWellness"/>
    <d v="2025-03-01T00:00:00"/>
    <d v="2025-03-31T00:00:00"/>
    <n v="180000"/>
  </r>
  <r>
    <s v="P244"/>
    <x v="1"/>
    <d v="2024-10-25T00:00:00"/>
    <s v="Video"/>
    <s v="Check out our latest video on youtube!"/>
    <n v="4661"/>
    <n v="935"/>
    <n v="433"/>
    <n v="23305"/>
    <n v="22583"/>
    <n v="63"/>
    <x v="0"/>
    <s v="NewYearRefresh"/>
    <n v="6029"/>
    <n v="0.25869984981763572"/>
    <s v="FestiveRadiance"/>
    <d v="2024-10-01T00:00:00"/>
    <d v="2024-10-31T00:00:00"/>
    <n v="200000"/>
  </r>
  <r>
    <s v="P245"/>
    <x v="3"/>
    <d v="2025-01-12T00:00:00"/>
    <s v="Reel"/>
    <s v="Check out our latest reel on facebook!"/>
    <n v="4134"/>
    <n v="824"/>
    <n v="99"/>
    <n v="41340"/>
    <n v="41050"/>
    <n v="177"/>
    <x v="4"/>
    <s v="SummerSplash"/>
    <n v="5057"/>
    <n v="0.12232704402515723"/>
    <s v="No Campaign"/>
    <m/>
    <m/>
    <m/>
  </r>
  <r>
    <s v="P246"/>
    <x v="3"/>
    <d v="2024-10-11T00:00:00"/>
    <s v="Image"/>
    <s v="Check out our latest image on facebook!"/>
    <n v="400"/>
    <n v="680"/>
    <n v="434"/>
    <n v="6400"/>
    <n v="5472"/>
    <n v="160"/>
    <x v="0"/>
    <s v="FestiveRadiance"/>
    <n v="1514"/>
    <n v="0.23656250000000001"/>
    <s v="FestiveRadiance"/>
    <d v="2024-10-01T00:00:00"/>
    <d v="2024-10-31T00:00:00"/>
    <n v="200000"/>
  </r>
  <r>
    <s v="P247"/>
    <x v="3"/>
    <d v="2024-08-27T00:00:00"/>
    <s v="Reel"/>
    <s v="Check out our latest reel on facebook!"/>
    <n v="3960"/>
    <n v="266"/>
    <n v="8"/>
    <n v="35640"/>
    <n v="34850"/>
    <n v="208"/>
    <x v="0"/>
    <m/>
    <n v="4234"/>
    <n v="0.11879910213243547"/>
    <s v="No Campaign"/>
    <m/>
    <m/>
    <m/>
  </r>
  <r>
    <s v="P247"/>
    <x v="3"/>
    <d v="2024-08-27T00:00:00"/>
    <s v="Reel"/>
    <s v="Check out our latest reel on facebook!"/>
    <n v="3960"/>
    <n v="266"/>
    <n v="8"/>
    <n v="35640"/>
    <n v="34850"/>
    <n v="208"/>
    <x v="4"/>
    <m/>
    <n v="4234"/>
    <n v="0.11879910213243547"/>
    <s v="No Campaign"/>
    <m/>
    <m/>
    <m/>
  </r>
  <r>
    <s v="P247"/>
    <x v="3"/>
    <d v="2024-08-27T00:00:00"/>
    <s v="Reel"/>
    <s v="Check out our latest reel on facebook!"/>
    <n v="3960"/>
    <n v="266"/>
    <n v="8"/>
    <n v="35640"/>
    <n v="34850"/>
    <n v="208"/>
    <x v="3"/>
    <m/>
    <n v="4234"/>
    <n v="0.11879910213243547"/>
    <s v="No Campaign"/>
    <m/>
    <m/>
    <m/>
  </r>
  <r>
    <s v="P248"/>
    <x v="3"/>
    <d v="2025-02-02T00:00:00"/>
    <s v="Story"/>
    <s v="Check out our latest story on facebook!"/>
    <n v="886"/>
    <n v="126"/>
    <n v="153"/>
    <n v="4430"/>
    <n v="4037"/>
    <n v="212"/>
    <x v="4"/>
    <m/>
    <n v="1165"/>
    <n v="0.26297968397291194"/>
    <s v="No Campaign"/>
    <m/>
    <m/>
    <m/>
  </r>
  <r>
    <s v="P249"/>
    <x v="0"/>
    <d v="2024-07-18T00:00:00"/>
    <s v="Image"/>
    <s v="Check out our latest image on twitter!"/>
    <n v="827"/>
    <n v="77"/>
    <n v="402"/>
    <n v="14886"/>
    <n v="14129"/>
    <n v="254"/>
    <x v="4"/>
    <s v="FestiveRadiance"/>
    <n v="1306"/>
    <n v="8.7733440816874911E-2"/>
    <s v="No Campaign"/>
    <m/>
    <m/>
    <m/>
  </r>
  <r>
    <s v="P250"/>
    <x v="3"/>
    <d v="2024-06-22T00:00:00"/>
    <s v="Reel"/>
    <s v="Check out our latest reel on facebook!"/>
    <n v="3813"/>
    <n v="935"/>
    <n v="274"/>
    <n v="68634"/>
    <n v="68488"/>
    <n v="251"/>
    <x v="0"/>
    <m/>
    <n v="5022"/>
    <n v="7.3170731707317069E-2"/>
    <s v="SummerSplash"/>
    <d v="2024-06-15T00:00:00"/>
    <d v="2024-07-15T00:00:00"/>
    <n v="150000"/>
  </r>
  <r>
    <s v="P251"/>
    <x v="2"/>
    <d v="2025-03-27T00:00:00"/>
    <s v="Carousel"/>
    <s v="Check out our latest carousel on instagram!"/>
    <n v="1377"/>
    <n v="796"/>
    <n v="387"/>
    <n v="22032"/>
    <n v="21869"/>
    <n v="189"/>
    <x v="0"/>
    <m/>
    <n v="2560"/>
    <n v="0.11619462599854757"/>
    <s v="DailyWellness"/>
    <d v="2025-03-01T00:00:00"/>
    <d v="2025-03-31T00:00:00"/>
    <n v="180000"/>
  </r>
  <r>
    <s v="P252"/>
    <x v="3"/>
    <d v="2025-04-28T00:00:00"/>
    <s v="Carousel"/>
    <s v="Check out our latest carousel on facebook!"/>
    <n v="2089"/>
    <n v="476"/>
    <n v="69"/>
    <n v="16712"/>
    <n v="16309"/>
    <n v="64"/>
    <x v="0"/>
    <s v="NewYearRefresh"/>
    <n v="2634"/>
    <n v="0.15761129727142173"/>
    <s v="No Campaign"/>
    <m/>
    <m/>
    <m/>
  </r>
  <r>
    <s v="P253"/>
    <x v="0"/>
    <d v="2024-08-03T00:00:00"/>
    <s v="Reel"/>
    <s v="Check out our latest reel on twitter!"/>
    <n v="3791"/>
    <n v="593"/>
    <n v="228"/>
    <n v="53074"/>
    <n v="52613"/>
    <n v="205"/>
    <x v="4"/>
    <m/>
    <n v="4612"/>
    <n v="8.6897539284772202E-2"/>
    <s v="No Campaign"/>
    <m/>
    <m/>
    <m/>
  </r>
  <r>
    <s v="P254"/>
    <x v="0"/>
    <d v="2025-01-14T00:00:00"/>
    <s v="Image"/>
    <s v="Check out our latest image on twitter!"/>
    <n v="2692"/>
    <n v="115"/>
    <n v="64"/>
    <n v="21536"/>
    <n v="21120"/>
    <n v="224"/>
    <x v="0"/>
    <s v="FestiveRadiance"/>
    <n v="2871"/>
    <n v="0.13331166419019316"/>
    <s v="No Campaign"/>
    <m/>
    <m/>
    <m/>
  </r>
  <r>
    <s v="P255"/>
    <x v="3"/>
    <d v="2025-04-03T00:00:00"/>
    <s v="Story"/>
    <s v="Check out our latest story on facebook!"/>
    <n v="3767"/>
    <n v="514"/>
    <n v="238"/>
    <n v="37670"/>
    <n v="36807"/>
    <n v="226"/>
    <x v="0"/>
    <s v="DailyWellness"/>
    <n v="4519"/>
    <n v="0.11996283514733209"/>
    <s v="No Campaign"/>
    <m/>
    <m/>
    <m/>
  </r>
  <r>
    <s v="P256"/>
    <x v="1"/>
    <d v="2024-09-18T00:00:00"/>
    <s v="Carousel"/>
    <s v="Check out our latest carousel on youtube!"/>
    <n v="2143"/>
    <n v="12"/>
    <n v="204"/>
    <n v="40717"/>
    <n v="40125"/>
    <n v="248"/>
    <x v="4"/>
    <s v="FestiveRadiance"/>
    <n v="2359"/>
    <n v="5.7936488444630008E-2"/>
    <s v="No Campaign"/>
    <m/>
    <m/>
    <m/>
  </r>
  <r>
    <s v="P257"/>
    <x v="3"/>
    <d v="2025-04-06T00:00:00"/>
    <s v="Image"/>
    <s v="Check out our latest image on facebook!"/>
    <n v="3090"/>
    <n v="697"/>
    <n v="164"/>
    <n v="49440"/>
    <n v="48524"/>
    <n v="25"/>
    <x v="4"/>
    <s v="FestiveRadiance"/>
    <n v="3951"/>
    <n v="7.9915048543689318E-2"/>
    <s v="No Campaign"/>
    <m/>
    <m/>
    <m/>
  </r>
  <r>
    <s v="P257"/>
    <x v="3"/>
    <d v="2025-04-06T00:00:00"/>
    <s v="Image"/>
    <s v="Check out our latest image on facebook!"/>
    <n v="3090"/>
    <n v="697"/>
    <n v="164"/>
    <n v="49440"/>
    <n v="48524"/>
    <n v="25"/>
    <x v="4"/>
    <s v="FestiveRadiance"/>
    <n v="3951"/>
    <n v="7.9915048543689318E-2"/>
    <s v="No Campaign"/>
    <m/>
    <m/>
    <m/>
  </r>
  <r>
    <s v="P257"/>
    <x v="3"/>
    <d v="2025-04-06T00:00:00"/>
    <s v="Image"/>
    <s v="Check out our latest image on facebook!"/>
    <n v="3090"/>
    <n v="697"/>
    <n v="164"/>
    <n v="49440"/>
    <n v="48524"/>
    <n v="25"/>
    <x v="3"/>
    <s v="FestiveRadiance"/>
    <n v="3951"/>
    <n v="7.9915048543689318E-2"/>
    <s v="No Campaign"/>
    <m/>
    <m/>
    <m/>
  </r>
  <r>
    <s v="P258"/>
    <x v="2"/>
    <d v="2024-08-05T00:00:00"/>
    <s v="Story"/>
    <s v="Check out our latest story on instagram!"/>
    <n v="3601"/>
    <n v="695"/>
    <n v="75"/>
    <n v="21606"/>
    <n v="21454"/>
    <n v="172"/>
    <x v="4"/>
    <s v="FestiveRadiance"/>
    <n v="4371"/>
    <n v="0.2023049153013052"/>
    <s v="No Campaign"/>
    <m/>
    <m/>
    <m/>
  </r>
  <r>
    <s v="P259"/>
    <x v="3"/>
    <d v="2025-02-10T00:00:00"/>
    <s v="Text"/>
    <s v="Check out our latest text on facebook!"/>
    <n v="562"/>
    <n v="158"/>
    <n v="149"/>
    <n v="3372"/>
    <n v="2940"/>
    <n v="93"/>
    <x v="2"/>
    <s v="SummerSplash"/>
    <n v="869"/>
    <n v="0.25771055753262156"/>
    <s v="No Campaign"/>
    <m/>
    <m/>
    <m/>
  </r>
  <r>
    <s v="P260"/>
    <x v="2"/>
    <d v="2025-02-12T00:00:00"/>
    <s v="Story"/>
    <s v="Check out our latest story on instagram!"/>
    <n v="4332"/>
    <n v="771"/>
    <n v="219"/>
    <n v="60648"/>
    <n v="60397"/>
    <n v="10"/>
    <x v="2"/>
    <s v="NewYearRefresh"/>
    <n v="5322"/>
    <n v="8.7752275425405618E-2"/>
    <s v="No Campaign"/>
    <m/>
    <m/>
    <m/>
  </r>
  <r>
    <s v="P260"/>
    <x v="2"/>
    <d v="2025-02-12T00:00:00"/>
    <s v="Story"/>
    <s v="Check out our latest story on instagram!"/>
    <n v="4332"/>
    <n v="771"/>
    <n v="219"/>
    <n v="60648"/>
    <n v="60397"/>
    <n v="10"/>
    <x v="4"/>
    <s v="NewYearRefresh"/>
    <n v="5322"/>
    <n v="8.7752275425405618E-2"/>
    <s v="No Campaign"/>
    <m/>
    <m/>
    <m/>
  </r>
  <r>
    <s v="P260"/>
    <x v="2"/>
    <d v="2025-02-12T00:00:00"/>
    <s v="Story"/>
    <s v="Check out our latest story on instagram!"/>
    <n v="4332"/>
    <n v="771"/>
    <n v="219"/>
    <n v="60648"/>
    <n v="60397"/>
    <n v="10"/>
    <x v="3"/>
    <s v="NewYearRefresh"/>
    <n v="5322"/>
    <n v="8.7752275425405618E-2"/>
    <s v="No Campaign"/>
    <m/>
    <m/>
    <m/>
  </r>
  <r>
    <s v="P261"/>
    <x v="2"/>
    <d v="2024-10-27T00:00:00"/>
    <s v="Image"/>
    <s v="Check out our latest image on instagram!"/>
    <n v="4853"/>
    <n v="837"/>
    <n v="340"/>
    <n v="72795"/>
    <n v="72237"/>
    <n v="170"/>
    <x v="4"/>
    <s v="SummerSplash"/>
    <n v="6030"/>
    <n v="8.2835359571399134E-2"/>
    <s v="FestiveRadiance"/>
    <d v="2024-10-01T00:00:00"/>
    <d v="2024-10-31T00:00:00"/>
    <n v="200000"/>
  </r>
  <r>
    <s v="P262"/>
    <x v="1"/>
    <d v="2025-01-18T00:00:00"/>
    <s v="Image"/>
    <s v="Check out our latest image on youtube!"/>
    <n v="1206"/>
    <n v="238"/>
    <n v="36"/>
    <n v="9648"/>
    <n v="9417"/>
    <n v="237"/>
    <x v="2"/>
    <m/>
    <n v="1480"/>
    <n v="0.15339966832504145"/>
    <s v="No Campaign"/>
    <m/>
    <m/>
    <m/>
  </r>
  <r>
    <s v="P263"/>
    <x v="2"/>
    <d v="2024-08-20T00:00:00"/>
    <s v="Reel"/>
    <s v="Check out our latest reel on instagram!"/>
    <n v="2603"/>
    <n v="690"/>
    <n v="205"/>
    <n v="13015"/>
    <n v="12130"/>
    <n v="20"/>
    <x v="0"/>
    <s v="FestiveRadiance"/>
    <n v="3498"/>
    <n v="0.26876680752977333"/>
    <s v="No Campaign"/>
    <m/>
    <m/>
    <m/>
  </r>
  <r>
    <s v="P264"/>
    <x v="0"/>
    <d v="2025-01-30T00:00:00"/>
    <s v="Image"/>
    <s v="Check out our latest image on twitter!"/>
    <n v="59"/>
    <n v="163"/>
    <n v="93"/>
    <n v="590"/>
    <n v="475"/>
    <n v="293"/>
    <x v="2"/>
    <s v="FestiveRadiance"/>
    <n v="315"/>
    <n v="0.53389830508474578"/>
    <s v="No Campaign"/>
    <m/>
    <m/>
    <m/>
  </r>
  <r>
    <s v="P265"/>
    <x v="0"/>
    <d v="2025-02-20T00:00:00"/>
    <s v="Carousel"/>
    <s v="Check out our latest carousel on twitter!"/>
    <n v="1877"/>
    <n v="745"/>
    <n v="225"/>
    <n v="11262"/>
    <n v="10967"/>
    <n v="41"/>
    <x v="4"/>
    <s v="DailyWellness"/>
    <n v="2847"/>
    <n v="0.25279701651571657"/>
    <s v="No Campaign"/>
    <m/>
    <m/>
    <m/>
  </r>
  <r>
    <s v="P266"/>
    <x v="3"/>
    <d v="2024-11-25T00:00:00"/>
    <s v="Story"/>
    <s v="Check out our latest story on facebook!"/>
    <n v="4182"/>
    <n v="640"/>
    <n v="240"/>
    <n v="50184"/>
    <n v="49351"/>
    <n v="10"/>
    <x v="2"/>
    <s v="NewYearRefresh"/>
    <n v="5062"/>
    <n v="0.10086880280567512"/>
    <s v="No Campaign"/>
    <m/>
    <m/>
    <m/>
  </r>
  <r>
    <s v="P267"/>
    <x v="0"/>
    <d v="2024-10-04T00:00:00"/>
    <s v="Reel"/>
    <s v="Check out our latest reel on twitter!"/>
    <n v="4187"/>
    <n v="66"/>
    <n v="31"/>
    <n v="66992"/>
    <n v="66614"/>
    <n v="62"/>
    <x v="0"/>
    <m/>
    <n v="4284"/>
    <n v="6.3947934081681396E-2"/>
    <s v="FestiveRadiance"/>
    <d v="2024-10-01T00:00:00"/>
    <d v="2024-10-31T00:00:00"/>
    <n v="200000"/>
  </r>
  <r>
    <s v="P268"/>
    <x v="2"/>
    <d v="2025-04-13T00:00:00"/>
    <s v="Reel"/>
    <s v="Check out our latest reel on instagram!"/>
    <n v="4579"/>
    <n v="125"/>
    <n v="300"/>
    <n v="59527"/>
    <n v="59400"/>
    <n v="269"/>
    <x v="4"/>
    <s v="SummerSplash"/>
    <n v="5004"/>
    <n v="8.4062694239588759E-2"/>
    <s v="No Campaign"/>
    <m/>
    <m/>
    <m/>
  </r>
  <r>
    <s v="P269"/>
    <x v="2"/>
    <d v="2024-11-05T00:00:00"/>
    <s v="Video"/>
    <s v="Check out our latest video on instagram!"/>
    <n v="4561"/>
    <n v="51"/>
    <n v="441"/>
    <n v="22805"/>
    <n v="21890"/>
    <n v="45"/>
    <x v="2"/>
    <s v="FestiveRadiance"/>
    <n v="5053"/>
    <n v="0.22157421618066214"/>
    <s v="No Campaign"/>
    <m/>
    <m/>
    <m/>
  </r>
  <r>
    <s v="P270"/>
    <x v="1"/>
    <d v="2025-01-15T00:00:00"/>
    <s v="Reel"/>
    <s v="Check out our latest reel on youtube!"/>
    <n v="3774"/>
    <n v="239"/>
    <n v="39"/>
    <n v="60384"/>
    <n v="59490"/>
    <n v="241"/>
    <x v="2"/>
    <s v="NewYearRefresh"/>
    <n v="4052"/>
    <n v="6.7103868574456813E-2"/>
    <s v="No Campaign"/>
    <m/>
    <m/>
    <m/>
  </r>
  <r>
    <s v="P271"/>
    <x v="2"/>
    <d v="2024-10-17T00:00:00"/>
    <s v="Video"/>
    <s v="Check out our latest video on instagram!"/>
    <n v="3575"/>
    <n v="749"/>
    <n v="111"/>
    <n v="21450"/>
    <n v="20785"/>
    <n v="195"/>
    <x v="4"/>
    <s v="FestiveRadiance"/>
    <n v="4435"/>
    <n v="0.20675990675990677"/>
    <s v="FestiveRadiance"/>
    <d v="2024-10-01T00:00:00"/>
    <d v="2024-10-31T00:00:00"/>
    <n v="200000"/>
  </r>
  <r>
    <s v="P272"/>
    <x v="2"/>
    <d v="2025-03-27T00:00:00"/>
    <s v="Text"/>
    <s v="Check out our latest text on instagram!"/>
    <n v="4941"/>
    <n v="414"/>
    <n v="266"/>
    <n v="39528"/>
    <n v="39154"/>
    <n v="217"/>
    <x v="2"/>
    <s v="NewYearRefresh"/>
    <n v="5621"/>
    <n v="0.14220299534507186"/>
    <s v="DailyWellness"/>
    <d v="2025-03-01T00:00:00"/>
    <d v="2025-03-31T00:00:00"/>
    <n v="180000"/>
  </r>
  <r>
    <s v="P273"/>
    <x v="1"/>
    <d v="2024-10-12T00:00:00"/>
    <s v="Story"/>
    <s v="Check out our latest story on youtube!"/>
    <n v="3641"/>
    <n v="226"/>
    <n v="46"/>
    <n v="40051"/>
    <n v="39319"/>
    <n v="296"/>
    <x v="4"/>
    <s v="DailyWellness"/>
    <n v="3913"/>
    <n v="9.7700431949264685E-2"/>
    <s v="FestiveRadiance"/>
    <d v="2024-10-01T00:00:00"/>
    <d v="2024-10-31T00:00:00"/>
    <n v="200000"/>
  </r>
  <r>
    <s v="P274"/>
    <x v="0"/>
    <d v="2025-01-01T00:00:00"/>
    <s v="Carousel"/>
    <s v="Check out our latest carousel on twitter!"/>
    <n v="3535"/>
    <n v="494"/>
    <n v="152"/>
    <n v="53025"/>
    <n v="52791"/>
    <n v="44"/>
    <x v="2"/>
    <s v="DailyWellness"/>
    <n v="4181"/>
    <n v="7.8849599245638849E-2"/>
    <s v="NewYearRefresh"/>
    <d v="2024-12-25T00:00:00"/>
    <d v="2025-01-10T00:00:00"/>
    <n v="250000"/>
  </r>
  <r>
    <s v="P275"/>
    <x v="3"/>
    <d v="2024-08-05T00:00:00"/>
    <s v="Reel"/>
    <s v="Check out our latest reel on facebook!"/>
    <n v="1741"/>
    <n v="831"/>
    <n v="345"/>
    <n v="17410"/>
    <n v="16844"/>
    <n v="58"/>
    <x v="4"/>
    <s v="NewYearRefresh"/>
    <n v="2917"/>
    <n v="0.16754738655944859"/>
    <s v="No Campaign"/>
    <m/>
    <m/>
    <m/>
  </r>
  <r>
    <s v="P276"/>
    <x v="0"/>
    <d v="2024-06-07T00:00:00"/>
    <s v="Carousel"/>
    <s v="Check out our latest carousel on twitter!"/>
    <n v="1556"/>
    <n v="195"/>
    <n v="131"/>
    <n v="9336"/>
    <n v="8875"/>
    <n v="137"/>
    <x v="2"/>
    <s v="FestiveRadiance"/>
    <n v="1882"/>
    <n v="0.2015852613538989"/>
    <s v="No Campaign"/>
    <m/>
    <m/>
    <m/>
  </r>
  <r>
    <s v="P277"/>
    <x v="3"/>
    <d v="2025-04-06T00:00:00"/>
    <s v="Image"/>
    <s v="Check out our latest image on facebook!"/>
    <n v="4236"/>
    <n v="711"/>
    <n v="298"/>
    <n v="21180"/>
    <n v="20516"/>
    <n v="238"/>
    <x v="0"/>
    <s v="SummerSplash"/>
    <n v="5245"/>
    <n v="0.24763928234183191"/>
    <s v="No Campaign"/>
    <m/>
    <m/>
    <m/>
  </r>
  <r>
    <s v="P278"/>
    <x v="0"/>
    <d v="2024-11-26T00:00:00"/>
    <s v="Text"/>
    <s v="Check out our latest text on twitter!"/>
    <n v="4516"/>
    <n v="836"/>
    <n v="169"/>
    <n v="49676"/>
    <n v="49257"/>
    <n v="282"/>
    <x v="4"/>
    <s v="DailyWellness"/>
    <n v="5521"/>
    <n v="0.11114018842096787"/>
    <s v="No Campaign"/>
    <m/>
    <m/>
    <m/>
  </r>
  <r>
    <s v="P279"/>
    <x v="1"/>
    <d v="2024-09-02T00:00:00"/>
    <s v="Image"/>
    <s v="Check out our latest image on youtube!"/>
    <n v="4905"/>
    <n v="845"/>
    <n v="129"/>
    <n v="98100"/>
    <n v="97772"/>
    <n v="279"/>
    <x v="2"/>
    <s v="FestiveRadiance"/>
    <n v="5879"/>
    <n v="5.9928644240570844E-2"/>
    <s v="No Campaign"/>
    <m/>
    <m/>
    <m/>
  </r>
  <r>
    <s v="P280"/>
    <x v="1"/>
    <d v="2024-10-21T00:00:00"/>
    <s v="Video"/>
    <s v="Check out our latest video on youtube!"/>
    <n v="4275"/>
    <n v="680"/>
    <n v="385"/>
    <n v="64125"/>
    <n v="63650"/>
    <n v="104"/>
    <x v="4"/>
    <s v="DailyWellness"/>
    <n v="5340"/>
    <n v="8.3274853801169585E-2"/>
    <s v="FestiveRadiance"/>
    <d v="2024-10-01T00:00:00"/>
    <d v="2024-10-31T00:00:00"/>
    <n v="200000"/>
  </r>
  <r>
    <s v="P280"/>
    <x v="1"/>
    <d v="2024-10-21T00:00:00"/>
    <s v="Video"/>
    <s v="Check out our latest video on youtube!"/>
    <n v="4275"/>
    <n v="680"/>
    <n v="385"/>
    <n v="64125"/>
    <n v="63650"/>
    <n v="104"/>
    <x v="2"/>
    <s v="DailyWellness"/>
    <n v="5340"/>
    <n v="8.3274853801169585E-2"/>
    <s v="FestiveRadiance"/>
    <d v="2024-10-01T00:00:00"/>
    <d v="2024-10-31T00:00:00"/>
    <n v="200000"/>
  </r>
  <r>
    <s v="P280"/>
    <x v="1"/>
    <d v="2024-10-21T00:00:00"/>
    <s v="Video"/>
    <s v="Check out our latest video on youtube!"/>
    <n v="4275"/>
    <n v="680"/>
    <n v="385"/>
    <n v="64125"/>
    <n v="63650"/>
    <n v="104"/>
    <x v="1"/>
    <s v="DailyWellness"/>
    <n v="5340"/>
    <n v="8.3274853801169585E-2"/>
    <s v="FestiveRadiance"/>
    <d v="2024-10-01T00:00:00"/>
    <d v="2024-10-31T00:00:00"/>
    <n v="200000"/>
  </r>
  <r>
    <s v="P281"/>
    <x v="1"/>
    <d v="2025-03-22T00:00:00"/>
    <s v="Image"/>
    <s v="Check out our latest image on youtube!"/>
    <n v="3166"/>
    <n v="90"/>
    <n v="341"/>
    <n v="56988"/>
    <n v="56125"/>
    <n v="135"/>
    <x v="4"/>
    <s v="FestiveRadiance"/>
    <n v="3597"/>
    <n v="6.3118551273952411E-2"/>
    <s v="DailyWellness"/>
    <d v="2025-03-01T00:00:00"/>
    <d v="2025-03-31T00:00:00"/>
    <n v="180000"/>
  </r>
  <r>
    <s v="P282"/>
    <x v="2"/>
    <d v="2024-10-03T00:00:00"/>
    <s v="Video"/>
    <s v="Check out our latest video on instagram!"/>
    <n v="1488"/>
    <n v="417"/>
    <n v="168"/>
    <n v="19344"/>
    <n v="18395"/>
    <n v="30"/>
    <x v="0"/>
    <s v="NewYearRefresh"/>
    <n v="2073"/>
    <n v="0.1071650124069479"/>
    <s v="FestiveRadiance"/>
    <d v="2024-10-01T00:00:00"/>
    <d v="2024-10-31T00:00:00"/>
    <n v="200000"/>
  </r>
  <r>
    <s v="P283"/>
    <x v="0"/>
    <d v="2025-05-09T00:00:00"/>
    <s v="Reel"/>
    <s v="Check out our latest reel on twitter!"/>
    <n v="3367"/>
    <n v="302"/>
    <n v="57"/>
    <n v="63973"/>
    <n v="63789"/>
    <n v="157"/>
    <x v="0"/>
    <s v="FestiveRadiance"/>
    <n v="3726"/>
    <n v="5.8243321401216137E-2"/>
    <s v="No Campaign"/>
    <m/>
    <m/>
    <m/>
  </r>
  <r>
    <s v="P284"/>
    <x v="0"/>
    <d v="2024-09-17T00:00:00"/>
    <s v="Text"/>
    <s v="Check out our latest text on twitter!"/>
    <n v="571"/>
    <n v="190"/>
    <n v="352"/>
    <n v="9707"/>
    <n v="9418"/>
    <n v="231"/>
    <x v="2"/>
    <s v="DailyWellness"/>
    <n v="1113"/>
    <n v="0.11465952405480581"/>
    <s v="No Campaign"/>
    <m/>
    <m/>
    <m/>
  </r>
  <r>
    <s v="P285"/>
    <x v="1"/>
    <d v="2024-07-18T00:00:00"/>
    <s v="Text"/>
    <s v="Check out our latest text on youtube!"/>
    <n v="4021"/>
    <n v="794"/>
    <n v="77"/>
    <n v="36189"/>
    <n v="35505"/>
    <n v="174"/>
    <x v="4"/>
    <m/>
    <n v="4892"/>
    <n v="0.13517919809886983"/>
    <s v="No Campaign"/>
    <m/>
    <m/>
    <m/>
  </r>
  <r>
    <s v="P286"/>
    <x v="1"/>
    <d v="2024-09-25T00:00:00"/>
    <s v="Video"/>
    <s v="Check out our latest video on youtube!"/>
    <n v="3389"/>
    <n v="344"/>
    <n v="229"/>
    <n v="20334"/>
    <n v="19443"/>
    <n v="228"/>
    <x v="0"/>
    <s v="NewYearRefresh"/>
    <n v="3962"/>
    <n v="0.19484607062063539"/>
    <s v="No Campaign"/>
    <m/>
    <m/>
    <m/>
  </r>
  <r>
    <s v="P287"/>
    <x v="2"/>
    <d v="2024-08-15T00:00:00"/>
    <s v="Reel"/>
    <s v="Check out our latest reel on instagram!"/>
    <n v="1164"/>
    <n v="616"/>
    <n v="324"/>
    <n v="6984"/>
    <n v="6636"/>
    <n v="82"/>
    <x v="4"/>
    <s v="SummerSplash"/>
    <n v="2104"/>
    <n v="0.30126002290950743"/>
    <s v="No Campaign"/>
    <m/>
    <m/>
    <m/>
  </r>
  <r>
    <s v="P288"/>
    <x v="1"/>
    <d v="2025-04-17T00:00:00"/>
    <s v="Carousel"/>
    <s v="Check out our latest carousel on youtube!"/>
    <n v="4780"/>
    <n v="691"/>
    <n v="380"/>
    <n v="86040"/>
    <n v="85743"/>
    <n v="262"/>
    <x v="0"/>
    <s v="NewYearRefresh"/>
    <n v="5851"/>
    <n v="6.800325430032543E-2"/>
    <s v="No Campaign"/>
    <m/>
    <m/>
    <m/>
  </r>
  <r>
    <s v="P289"/>
    <x v="3"/>
    <d v="2024-11-28T00:00:00"/>
    <s v="Carousel"/>
    <s v="Check out our latest carousel on facebook!"/>
    <n v="2751"/>
    <n v="33"/>
    <n v="430"/>
    <n v="44016"/>
    <n v="43415"/>
    <n v="129"/>
    <x v="0"/>
    <m/>
    <n v="3214"/>
    <n v="7.3018902217375503E-2"/>
    <s v="No Campaign"/>
    <m/>
    <m/>
    <m/>
  </r>
  <r>
    <s v="P290"/>
    <x v="2"/>
    <d v="2024-12-20T00:00:00"/>
    <s v="Carousel"/>
    <s v="Check out our latest carousel on instagram!"/>
    <n v="2107"/>
    <n v="550"/>
    <n v="349"/>
    <n v="35819"/>
    <n v="35340"/>
    <n v="191"/>
    <x v="4"/>
    <s v="DailyWellness"/>
    <n v="3006"/>
    <n v="8.3921940869371006E-2"/>
    <s v="No Campaign"/>
    <m/>
    <m/>
    <m/>
  </r>
  <r>
    <s v="P291"/>
    <x v="3"/>
    <d v="2024-11-06T00:00:00"/>
    <s v="Video"/>
    <s v="Check out our latest video on facebook!"/>
    <n v="4663"/>
    <n v="145"/>
    <n v="225"/>
    <n v="69945"/>
    <n v="69596"/>
    <n v="35"/>
    <x v="4"/>
    <s v="DailyWellness"/>
    <n v="5033"/>
    <n v="7.1956537279290869E-2"/>
    <s v="No Campaign"/>
    <m/>
    <m/>
    <m/>
  </r>
  <r>
    <s v="P292"/>
    <x v="3"/>
    <d v="2024-11-17T00:00:00"/>
    <s v="Text"/>
    <s v="Check out our latest text on facebook!"/>
    <n v="880"/>
    <n v="297"/>
    <n v="345"/>
    <n v="12320"/>
    <n v="11978"/>
    <n v="238"/>
    <x v="2"/>
    <m/>
    <n v="1522"/>
    <n v="0.12353896103896105"/>
    <s v="No Campaign"/>
    <m/>
    <m/>
    <m/>
  </r>
  <r>
    <s v="P292"/>
    <x v="3"/>
    <d v="2024-11-17T00:00:00"/>
    <s v="Text"/>
    <s v="Check out our latest text on facebook!"/>
    <n v="880"/>
    <n v="297"/>
    <n v="345"/>
    <n v="12320"/>
    <n v="11978"/>
    <n v="238"/>
    <x v="1"/>
    <m/>
    <n v="1522"/>
    <n v="0.12353896103896105"/>
    <s v="No Campaign"/>
    <m/>
    <m/>
    <m/>
  </r>
  <r>
    <s v="P293"/>
    <x v="3"/>
    <d v="2025-05-14T00:00:00"/>
    <s v="Text"/>
    <s v="Check out our latest text on facebook!"/>
    <n v="2634"/>
    <n v="726"/>
    <n v="241"/>
    <n v="28974"/>
    <n v="28102"/>
    <n v="277"/>
    <x v="4"/>
    <s v="SummerSplash"/>
    <n v="3601"/>
    <n v="0.12428384068475185"/>
    <s v="No Campaign"/>
    <m/>
    <m/>
    <m/>
  </r>
  <r>
    <s v="P294"/>
    <x v="3"/>
    <d v="2024-06-19T00:00:00"/>
    <s v="Carousel"/>
    <s v="Check out our latest carousel on facebook!"/>
    <n v="4731"/>
    <n v="173"/>
    <n v="276"/>
    <n v="28386"/>
    <n v="28185"/>
    <n v="89"/>
    <x v="4"/>
    <s v="NewYearRefresh"/>
    <n v="5180"/>
    <n v="0.18248432325794406"/>
    <s v="SummerSplash"/>
    <d v="2024-06-15T00:00:00"/>
    <d v="2024-07-15T00:00:00"/>
    <n v="150000"/>
  </r>
  <r>
    <s v="P295"/>
    <x v="0"/>
    <d v="2025-05-06T00:00:00"/>
    <s v="Image"/>
    <s v="Check out our latest image on twitter!"/>
    <n v="1952"/>
    <n v="344"/>
    <n v="287"/>
    <n v="15616"/>
    <n v="15403"/>
    <n v="235"/>
    <x v="0"/>
    <s v="FestiveRadiance"/>
    <n v="2583"/>
    <n v="0.16540727459016394"/>
    <s v="No Campaign"/>
    <m/>
    <m/>
    <m/>
  </r>
  <r>
    <s v="P295"/>
    <x v="0"/>
    <d v="2025-05-06T00:00:00"/>
    <s v="Image"/>
    <s v="Check out our latest image on twitter!"/>
    <n v="1952"/>
    <n v="344"/>
    <n v="287"/>
    <n v="15616"/>
    <n v="15403"/>
    <n v="235"/>
    <x v="2"/>
    <s v="FestiveRadiance"/>
    <n v="2583"/>
    <n v="0.16540727459016394"/>
    <s v="No Campaign"/>
    <m/>
    <m/>
    <m/>
  </r>
  <r>
    <s v="P295"/>
    <x v="0"/>
    <d v="2025-05-06T00:00:00"/>
    <s v="Image"/>
    <s v="Check out our latest image on twitter!"/>
    <n v="1952"/>
    <n v="344"/>
    <n v="287"/>
    <n v="15616"/>
    <n v="15403"/>
    <n v="235"/>
    <x v="1"/>
    <s v="FestiveRadiance"/>
    <n v="2583"/>
    <n v="0.16540727459016394"/>
    <s v="No Campaign"/>
    <m/>
    <m/>
    <m/>
  </r>
  <r>
    <s v="P296"/>
    <x v="0"/>
    <d v="2025-02-11T00:00:00"/>
    <s v="Video"/>
    <s v="Check out our latest video on twitter!"/>
    <n v="3440"/>
    <n v="13"/>
    <n v="20"/>
    <n v="58480"/>
    <n v="58146"/>
    <n v="210"/>
    <x v="2"/>
    <s v="DailyWellness"/>
    <n v="3473"/>
    <n v="5.9387824897400819E-2"/>
    <s v="No Campaign"/>
    <m/>
    <m/>
    <m/>
  </r>
  <r>
    <s v="P296"/>
    <x v="0"/>
    <d v="2025-02-11T00:00:00"/>
    <s v="Video"/>
    <s v="Check out our latest video on twitter!"/>
    <n v="3440"/>
    <n v="13"/>
    <n v="20"/>
    <n v="58480"/>
    <n v="58146"/>
    <n v="210"/>
    <x v="5"/>
    <s v="DailyWellness"/>
    <n v="3473"/>
    <n v="5.9387824897400819E-2"/>
    <s v="No Campaign"/>
    <m/>
    <m/>
    <m/>
  </r>
  <r>
    <s v="P297"/>
    <x v="0"/>
    <d v="2024-12-24T00:00:00"/>
    <s v="Text"/>
    <s v="Check out our latest text on twitter!"/>
    <n v="2166"/>
    <n v="354"/>
    <n v="117"/>
    <n v="10830"/>
    <n v="10245"/>
    <n v="24"/>
    <x v="4"/>
    <s v="DailyWellness"/>
    <n v="2637"/>
    <n v="0.24349030470914126"/>
    <s v="No Campaign"/>
    <m/>
    <m/>
    <m/>
  </r>
  <r>
    <s v="P298"/>
    <x v="3"/>
    <d v="2024-10-24T00:00:00"/>
    <s v="Image"/>
    <s v="Check out our latest image on facebook!"/>
    <n v="4303"/>
    <n v="451"/>
    <n v="286"/>
    <n v="86060"/>
    <n v="85823"/>
    <n v="14"/>
    <x v="2"/>
    <s v="NewYearRefresh"/>
    <n v="5040"/>
    <n v="5.8563792702765516E-2"/>
    <s v="FestiveRadiance"/>
    <d v="2024-10-01T00:00:00"/>
    <d v="2024-10-31T00:00:00"/>
    <n v="200000"/>
  </r>
  <r>
    <s v="P299"/>
    <x v="3"/>
    <d v="2024-08-26T00:00:00"/>
    <s v="Image"/>
    <s v="Check out our latest image on facebook!"/>
    <n v="2581"/>
    <n v="517"/>
    <n v="117"/>
    <n v="23229"/>
    <n v="22331"/>
    <n v="70"/>
    <x v="0"/>
    <s v="NewYearRefresh"/>
    <n v="3215"/>
    <n v="0.13840458048129492"/>
    <s v="No Campaign"/>
    <m/>
    <m/>
    <m/>
  </r>
  <r>
    <s v="P300"/>
    <x v="0"/>
    <d v="2024-08-31T00:00:00"/>
    <s v="Carousel"/>
    <s v="Check out our latest carousel on twitter!"/>
    <n v="4494"/>
    <n v="717"/>
    <n v="45"/>
    <n v="62916"/>
    <n v="62688"/>
    <n v="191"/>
    <x v="2"/>
    <s v="SummerSplash"/>
    <n v="5256"/>
    <n v="8.3539958039290485E-2"/>
    <s v="No Campaign"/>
    <m/>
    <m/>
    <m/>
  </r>
  <r>
    <s v="P300"/>
    <x v="0"/>
    <d v="2024-08-31T00:00:00"/>
    <s v="Carousel"/>
    <s v="Check out our latest carousel on twitter!"/>
    <n v="4494"/>
    <n v="717"/>
    <n v="45"/>
    <n v="62916"/>
    <n v="62688"/>
    <n v="191"/>
    <x v="4"/>
    <s v="SummerSplash"/>
    <n v="5256"/>
    <n v="8.3539958039290485E-2"/>
    <s v="No Campaign"/>
    <m/>
    <m/>
    <m/>
  </r>
  <r>
    <s v="P300"/>
    <x v="0"/>
    <d v="2024-08-31T00:00:00"/>
    <s v="Carousel"/>
    <s v="Check out our latest carousel on twitter!"/>
    <n v="4494"/>
    <n v="717"/>
    <n v="45"/>
    <n v="62916"/>
    <n v="62688"/>
    <n v="191"/>
    <x v="3"/>
    <s v="SummerSplash"/>
    <n v="5256"/>
    <n v="8.3539958039290485E-2"/>
    <s v="No Campaign"/>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d v="2024-12-23T00:00:00"/>
    <x v="0"/>
    <s v="Check out our latest reel on twitter!"/>
    <n v="1461"/>
    <n v="184"/>
    <n v="344"/>
    <n v="21915"/>
    <n v="21675"/>
    <n v="15"/>
    <x v="0"/>
    <s v="SummerSplash"/>
    <n v="1989"/>
    <n v="9.0759753593429152E-2"/>
    <x v="0"/>
    <e v="#N/A"/>
    <e v="#N/A"/>
    <e v="#N/A"/>
    <n v="0"/>
  </r>
  <r>
    <s v="P002"/>
    <x v="0"/>
    <d v="2025-04-03T00:00:00"/>
    <x v="1"/>
    <s v="Check out our latest text on twitter!"/>
    <n v="4054"/>
    <n v="389"/>
    <n v="493"/>
    <n v="64864"/>
    <n v="64383"/>
    <n v="117"/>
    <x v="1"/>
    <s v="FestiveRadiance"/>
    <n v="4936"/>
    <n v="7.6097681302417369E-2"/>
    <x v="0"/>
    <e v="#N/A"/>
    <e v="#N/A"/>
    <e v="#N/A"/>
    <n v="0"/>
  </r>
  <r>
    <s v="P003"/>
    <x v="1"/>
    <d v="2025-05-12T00:00:00"/>
    <x v="0"/>
    <s v="Check out our latest reel on youtube!"/>
    <n v="2795"/>
    <n v="105"/>
    <n v="49"/>
    <n v="53105"/>
    <n v="52307"/>
    <n v="204"/>
    <x v="2"/>
    <s v="NewYearRefresh"/>
    <n v="2949"/>
    <n v="5.5531494209584788E-2"/>
    <x v="0"/>
    <e v="#N/A"/>
    <e v="#N/A"/>
    <e v="#N/A"/>
    <n v="0"/>
  </r>
  <r>
    <s v="P004"/>
    <x v="2"/>
    <d v="2024-08-12T00:00:00"/>
    <x v="2"/>
    <s v="Check out our latest story on instagram!"/>
    <n v="2404"/>
    <n v="363"/>
    <n v="138"/>
    <n v="19232"/>
    <n v="18636"/>
    <n v="128"/>
    <x v="3"/>
    <s v="DailyWellness"/>
    <n v="2905"/>
    <n v="0.15105033277870217"/>
    <x v="0"/>
    <e v="#N/A"/>
    <e v="#N/A"/>
    <e v="#N/A"/>
    <n v="0"/>
  </r>
  <r>
    <s v="P005"/>
    <x v="1"/>
    <d v="2024-06-26T00:00:00"/>
    <x v="0"/>
    <s v="Check out our latest reel on youtube!"/>
    <n v="3557"/>
    <n v="687"/>
    <n v="424"/>
    <n v="71140"/>
    <n v="70701"/>
    <n v="224"/>
    <x v="4"/>
    <s v="SummerSplash"/>
    <n v="4668"/>
    <n v="6.5617093055946027E-2"/>
    <x v="1"/>
    <d v="2024-06-15T00:00:00"/>
    <d v="2024-07-15T00:00:00"/>
    <n v="150000"/>
    <n v="5555.5555555555557"/>
  </r>
  <r>
    <s v="P006"/>
    <x v="3"/>
    <d v="2024-10-31T00:00:00"/>
    <x v="3"/>
    <s v="Check out our latest carousel on facebook!"/>
    <n v="2945"/>
    <n v="930"/>
    <n v="355"/>
    <n v="23560"/>
    <n v="23275"/>
    <n v="256"/>
    <x v="2"/>
    <s v="FestiveRadiance"/>
    <n v="4230"/>
    <n v="0.17954159592529711"/>
    <x v="2"/>
    <d v="2024-10-01T00:00:00"/>
    <d v="2024-10-31T00:00:00"/>
    <n v="200000"/>
    <n v="5714.2857142857147"/>
  </r>
  <r>
    <s v="P007"/>
    <x v="0"/>
    <d v="2024-06-24T00:00:00"/>
    <x v="3"/>
    <s v="Check out our latest carousel on twitter!"/>
    <n v="3860"/>
    <n v="201"/>
    <n v="279"/>
    <n v="61760"/>
    <n v="61660"/>
    <n v="235"/>
    <x v="2"/>
    <s v="FestiveRadiance"/>
    <n v="4340"/>
    <n v="7.0272020725388601E-2"/>
    <x v="1"/>
    <d v="2024-06-15T00:00:00"/>
    <d v="2024-07-15T00:00:00"/>
    <n v="150000"/>
    <n v="5555.5555555555557"/>
  </r>
  <r>
    <s v="P008"/>
    <x v="1"/>
    <d v="2024-07-13T00:00:00"/>
    <x v="4"/>
    <s v="Check out our latest image on youtube!"/>
    <n v="3929"/>
    <n v="262"/>
    <n v="278"/>
    <n v="43219"/>
    <n v="42841"/>
    <n v="39"/>
    <x v="3"/>
    <s v="DailyWellness"/>
    <n v="4469"/>
    <n v="0.10340359564080613"/>
    <x v="1"/>
    <d v="2024-06-15T00:00:00"/>
    <d v="2024-07-15T00:00:00"/>
    <n v="150000"/>
    <n v="5555.5555555555557"/>
  </r>
  <r>
    <s v="P009"/>
    <x v="3"/>
    <d v="2024-08-30T00:00:00"/>
    <x v="1"/>
    <s v="Check out our latest text on facebook!"/>
    <n v="3784"/>
    <n v="808"/>
    <n v="404"/>
    <n v="56760"/>
    <n v="56343"/>
    <n v="131"/>
    <x v="2"/>
    <s v="FestiveRadiance"/>
    <n v="4996"/>
    <n v="8.8019732205778717E-2"/>
    <x v="0"/>
    <e v="#N/A"/>
    <e v="#N/A"/>
    <e v="#N/A"/>
    <n v="0"/>
  </r>
  <r>
    <s v="P010"/>
    <x v="3"/>
    <d v="2025-03-11T00:00:00"/>
    <x v="4"/>
    <s v="Check out our latest image on facebook!"/>
    <n v="4241"/>
    <n v="902"/>
    <n v="47"/>
    <n v="72097"/>
    <n v="71598"/>
    <n v="167"/>
    <x v="2"/>
    <s v="FestiveRadiance"/>
    <n v="5190"/>
    <n v="7.198635172059864E-2"/>
    <x v="3"/>
    <d v="2025-03-01T00:00:00"/>
    <d v="2025-03-31T00:00:00"/>
    <n v="180000"/>
    <n v="5625"/>
  </r>
  <r>
    <s v="P011"/>
    <x v="2"/>
    <d v="2025-02-02T00:00:00"/>
    <x v="2"/>
    <s v="Check out our latest story on instagram!"/>
    <n v="1792"/>
    <n v="614"/>
    <n v="497"/>
    <n v="25088"/>
    <n v="24675"/>
    <n v="65"/>
    <x v="5"/>
    <s v="DailyWellness"/>
    <n v="2903"/>
    <n v="0.11571269132653061"/>
    <x v="0"/>
    <e v="#N/A"/>
    <e v="#N/A"/>
    <e v="#N/A"/>
    <n v="0"/>
  </r>
  <r>
    <s v="P012"/>
    <x v="3"/>
    <d v="2024-07-21T00:00:00"/>
    <x v="0"/>
    <s v="Check out our latest reel on facebook!"/>
    <n v="1946"/>
    <n v="686"/>
    <n v="377"/>
    <n v="23352"/>
    <n v="22982"/>
    <n v="213"/>
    <x v="5"/>
    <s v="NewYearRefresh"/>
    <n v="3009"/>
    <n v="0.12885405960945528"/>
    <x v="0"/>
    <e v="#N/A"/>
    <e v="#N/A"/>
    <e v="#N/A"/>
    <n v="0"/>
  </r>
  <r>
    <s v="P013"/>
    <x v="1"/>
    <d v="2024-11-18T00:00:00"/>
    <x v="3"/>
    <s v="Check out our latest carousel on youtube!"/>
    <n v="1171"/>
    <n v="286"/>
    <n v="231"/>
    <n v="22249"/>
    <n v="21282"/>
    <n v="114"/>
    <x v="3"/>
    <s v="SummerSplash"/>
    <n v="1688"/>
    <n v="7.5868578363072495E-2"/>
    <x v="0"/>
    <e v="#N/A"/>
    <e v="#N/A"/>
    <e v="#N/A"/>
    <n v="0"/>
  </r>
  <r>
    <s v="P014"/>
    <x v="3"/>
    <d v="2025-02-16T00:00:00"/>
    <x v="2"/>
    <s v="Check out our latest story on facebook!"/>
    <n v="4242"/>
    <n v="555"/>
    <n v="131"/>
    <n v="33936"/>
    <n v="33802"/>
    <n v="265"/>
    <x v="5"/>
    <m/>
    <n v="4928"/>
    <n v="0.14521452145214522"/>
    <x v="0"/>
    <e v="#N/A"/>
    <e v="#N/A"/>
    <e v="#N/A"/>
    <n v="0"/>
  </r>
  <r>
    <s v="P015"/>
    <x v="3"/>
    <d v="2024-10-24T00:00:00"/>
    <x v="5"/>
    <s v="Check out our latest video on facebook!"/>
    <n v="3888"/>
    <n v="604"/>
    <n v="128"/>
    <n v="77760"/>
    <n v="77167"/>
    <n v="20"/>
    <x v="5"/>
    <s v="SummerSplash"/>
    <n v="4620"/>
    <n v="5.941358024691358E-2"/>
    <x v="2"/>
    <d v="2024-10-01T00:00:00"/>
    <d v="2024-10-31T00:00:00"/>
    <n v="200000"/>
    <n v="5714.2857142857147"/>
  </r>
  <r>
    <s v="P016"/>
    <x v="3"/>
    <d v="2024-08-26T00:00:00"/>
    <x v="1"/>
    <s v="Check out our latest text on facebook!"/>
    <n v="3452"/>
    <n v="377"/>
    <n v="360"/>
    <n v="55232"/>
    <n v="55075"/>
    <n v="87"/>
    <x v="5"/>
    <s v="NewYearRefresh"/>
    <n v="4189"/>
    <n v="7.5843713789107758E-2"/>
    <x v="0"/>
    <e v="#N/A"/>
    <e v="#N/A"/>
    <e v="#N/A"/>
    <n v="0"/>
  </r>
  <r>
    <s v="P017"/>
    <x v="3"/>
    <d v="2025-05-05T00:00:00"/>
    <x v="1"/>
    <s v="Check out our latest text on facebook!"/>
    <n v="4441"/>
    <n v="511"/>
    <n v="70"/>
    <n v="53292"/>
    <n v="53082"/>
    <n v="159"/>
    <x v="3"/>
    <s v="DailyWellness"/>
    <n v="5022"/>
    <n v="9.4235532537716729E-2"/>
    <x v="0"/>
    <e v="#N/A"/>
    <e v="#N/A"/>
    <e v="#N/A"/>
    <n v="0"/>
  </r>
  <r>
    <s v="P018"/>
    <x v="2"/>
    <d v="2024-08-19T00:00:00"/>
    <x v="0"/>
    <s v="Check out our latest reel on instagram!"/>
    <n v="3000"/>
    <n v="382"/>
    <n v="325"/>
    <n v="36000"/>
    <n v="35819"/>
    <n v="19"/>
    <x v="5"/>
    <s v="SummerSplash"/>
    <n v="3707"/>
    <n v="0.10297222222222223"/>
    <x v="0"/>
    <e v="#N/A"/>
    <e v="#N/A"/>
    <e v="#N/A"/>
    <n v="0"/>
  </r>
  <r>
    <s v="P019"/>
    <x v="2"/>
    <d v="2024-06-23T00:00:00"/>
    <x v="5"/>
    <s v="Check out our latest video on instagram!"/>
    <n v="1071"/>
    <n v="519"/>
    <n v="22"/>
    <n v="16065"/>
    <n v="15865"/>
    <n v="103"/>
    <x v="2"/>
    <s v="DailyWellness"/>
    <n v="1612"/>
    <n v="0.10034235916588857"/>
    <x v="1"/>
    <d v="2024-06-15T00:00:00"/>
    <d v="2024-07-15T00:00:00"/>
    <n v="150000"/>
    <n v="5555.5555555555557"/>
  </r>
  <r>
    <s v="P020"/>
    <x v="2"/>
    <d v="2024-09-09T00:00:00"/>
    <x v="3"/>
    <s v="Check out our latest carousel on instagram!"/>
    <n v="4054"/>
    <n v="488"/>
    <n v="373"/>
    <n v="77026"/>
    <n v="76881"/>
    <n v="25"/>
    <x v="2"/>
    <s v="SummerSplash"/>
    <n v="4915"/>
    <n v="6.3809622724794221E-2"/>
    <x v="0"/>
    <e v="#N/A"/>
    <e v="#N/A"/>
    <e v="#N/A"/>
    <n v="0"/>
  </r>
  <r>
    <s v="P021"/>
    <x v="2"/>
    <d v="2025-01-04T00:00:00"/>
    <x v="0"/>
    <s v="Check out our latest reel on instagram!"/>
    <n v="4838"/>
    <n v="640"/>
    <n v="128"/>
    <n v="72570"/>
    <n v="72396"/>
    <n v="83"/>
    <x v="5"/>
    <s v="DailyWellness"/>
    <n v="5606"/>
    <n v="7.7249552156538517E-2"/>
    <x v="4"/>
    <d v="2024-12-25T00:00:00"/>
    <d v="2025-01-10T00:00:00"/>
    <n v="250000"/>
    <n v="25000"/>
  </r>
  <r>
    <s v="P022"/>
    <x v="3"/>
    <d v="2025-02-27T00:00:00"/>
    <x v="1"/>
    <s v="Check out our latest text on facebook!"/>
    <n v="1570"/>
    <n v="187"/>
    <n v="260"/>
    <n v="25120"/>
    <n v="24613"/>
    <n v="133"/>
    <x v="2"/>
    <s v="DailyWellness"/>
    <n v="2017"/>
    <n v="8.0294585987261149E-2"/>
    <x v="0"/>
    <e v="#N/A"/>
    <e v="#N/A"/>
    <e v="#N/A"/>
    <n v="0"/>
  </r>
  <r>
    <s v="P023"/>
    <x v="3"/>
    <d v="2024-11-06T00:00:00"/>
    <x v="5"/>
    <s v="Check out our latest video on facebook!"/>
    <n v="1606"/>
    <n v="547"/>
    <n v="316"/>
    <n v="32120"/>
    <n v="31736"/>
    <n v="225"/>
    <x v="6"/>
    <s v="FestiveRadiance"/>
    <n v="2469"/>
    <n v="7.6867995018679955E-2"/>
    <x v="0"/>
    <e v="#N/A"/>
    <e v="#N/A"/>
    <e v="#N/A"/>
    <n v="0"/>
  </r>
  <r>
    <s v="P024"/>
    <x v="3"/>
    <d v="2025-01-23T00:00:00"/>
    <x v="5"/>
    <s v="Check out our latest video on facebook!"/>
    <n v="3961"/>
    <n v="761"/>
    <n v="131"/>
    <n v="67337"/>
    <n v="66615"/>
    <n v="161"/>
    <x v="5"/>
    <s v="NewYearRefresh"/>
    <n v="4853"/>
    <n v="7.2070332803659209E-2"/>
    <x v="0"/>
    <e v="#N/A"/>
    <e v="#N/A"/>
    <e v="#N/A"/>
    <n v="0"/>
  </r>
  <r>
    <s v="P025"/>
    <x v="0"/>
    <d v="2025-04-10T00:00:00"/>
    <x v="3"/>
    <s v="Check out our latest carousel on twitter!"/>
    <n v="3128"/>
    <n v="211"/>
    <n v="197"/>
    <n v="59432"/>
    <n v="59182"/>
    <n v="238"/>
    <x v="3"/>
    <m/>
    <n v="3536"/>
    <n v="5.9496567505720827E-2"/>
    <x v="0"/>
    <e v="#N/A"/>
    <e v="#N/A"/>
    <e v="#N/A"/>
    <n v="0"/>
  </r>
  <r>
    <s v="P026"/>
    <x v="1"/>
    <d v="2025-04-05T00:00:00"/>
    <x v="0"/>
    <s v="Check out our latest reel on youtube!"/>
    <n v="3009"/>
    <n v="413"/>
    <n v="358"/>
    <n v="42126"/>
    <n v="41309"/>
    <n v="211"/>
    <x v="5"/>
    <s v="FestiveRadiance"/>
    <n v="3780"/>
    <n v="8.9730807577268201E-2"/>
    <x v="0"/>
    <e v="#N/A"/>
    <e v="#N/A"/>
    <e v="#N/A"/>
    <n v="0"/>
  </r>
  <r>
    <s v="P027"/>
    <x v="1"/>
    <d v="2024-09-17T00:00:00"/>
    <x v="1"/>
    <s v="Check out our latest text on youtube!"/>
    <n v="2076"/>
    <n v="195"/>
    <n v="104"/>
    <n v="33216"/>
    <n v="32244"/>
    <n v="51"/>
    <x v="5"/>
    <s v="DailyWellness"/>
    <n v="2375"/>
    <n v="7.1501685934489398E-2"/>
    <x v="0"/>
    <e v="#N/A"/>
    <e v="#N/A"/>
    <e v="#N/A"/>
    <n v="0"/>
  </r>
  <r>
    <s v="P028"/>
    <x v="2"/>
    <d v="2025-03-04T00:00:00"/>
    <x v="5"/>
    <s v="Check out our latest video on instagram!"/>
    <n v="432"/>
    <n v="624"/>
    <n v="123"/>
    <n v="6912"/>
    <n v="6259"/>
    <n v="79"/>
    <x v="5"/>
    <s v="DailyWellness"/>
    <n v="1179"/>
    <n v="0.17057291666666666"/>
    <x v="3"/>
    <d v="2025-03-01T00:00:00"/>
    <d v="2025-03-31T00:00:00"/>
    <n v="180000"/>
    <n v="5625"/>
  </r>
  <r>
    <s v="P029"/>
    <x v="2"/>
    <d v="2025-01-31T00:00:00"/>
    <x v="3"/>
    <s v="Check out our latest carousel on instagram!"/>
    <n v="2566"/>
    <n v="118"/>
    <n v="37"/>
    <n v="12830"/>
    <n v="12264"/>
    <n v="221"/>
    <x v="5"/>
    <s v="NewYearRefresh"/>
    <n v="2721"/>
    <n v="0.21208106001558846"/>
    <x v="0"/>
    <e v="#N/A"/>
    <e v="#N/A"/>
    <e v="#N/A"/>
    <n v="0"/>
  </r>
  <r>
    <s v="P030"/>
    <x v="2"/>
    <d v="2025-02-25T00:00:00"/>
    <x v="5"/>
    <s v="Check out our latest video on instagram!"/>
    <n v="3095"/>
    <n v="39"/>
    <n v="78"/>
    <n v="55710"/>
    <n v="54808"/>
    <n v="93"/>
    <x v="3"/>
    <m/>
    <n v="3212"/>
    <n v="5.7655717106444085E-2"/>
    <x v="0"/>
    <e v="#N/A"/>
    <e v="#N/A"/>
    <e v="#N/A"/>
    <n v="0"/>
  </r>
  <r>
    <s v="P031"/>
    <x v="2"/>
    <d v="2024-12-16T00:00:00"/>
    <x v="1"/>
    <s v="Check out our latest text on instagram!"/>
    <n v="438"/>
    <n v="153"/>
    <n v="275"/>
    <n v="3066"/>
    <n v="2701"/>
    <n v="282"/>
    <x v="2"/>
    <s v="FestiveRadiance"/>
    <n v="866"/>
    <n v="0.28245270711024134"/>
    <x v="0"/>
    <e v="#N/A"/>
    <e v="#N/A"/>
    <e v="#N/A"/>
    <n v="0"/>
  </r>
  <r>
    <s v="P032"/>
    <x v="0"/>
    <d v="2024-07-31T00:00:00"/>
    <x v="3"/>
    <s v="Check out our latest carousel on twitter!"/>
    <n v="2278"/>
    <n v="10"/>
    <n v="321"/>
    <n v="13668"/>
    <n v="12676"/>
    <n v="275"/>
    <x v="3"/>
    <s v="SummerSplash"/>
    <n v="2609"/>
    <n v="0.19088381621305239"/>
    <x v="0"/>
    <e v="#N/A"/>
    <e v="#N/A"/>
    <e v="#N/A"/>
    <n v="0"/>
  </r>
  <r>
    <s v="P033"/>
    <x v="3"/>
    <d v="2024-08-21T00:00:00"/>
    <x v="4"/>
    <s v="Check out our latest image on facebook!"/>
    <n v="1407"/>
    <n v="400"/>
    <n v="351"/>
    <n v="16884"/>
    <n v="15954"/>
    <n v="113"/>
    <x v="2"/>
    <s v="SummerSplash"/>
    <n v="2158"/>
    <n v="0.12781331438047855"/>
    <x v="0"/>
    <e v="#N/A"/>
    <e v="#N/A"/>
    <e v="#N/A"/>
    <n v="0"/>
  </r>
  <r>
    <s v="P034"/>
    <x v="3"/>
    <d v="2025-03-26T00:00:00"/>
    <x v="1"/>
    <s v="Check out our latest text on facebook!"/>
    <n v="1652"/>
    <n v="89"/>
    <n v="357"/>
    <n v="29736"/>
    <n v="28771"/>
    <n v="215"/>
    <x v="2"/>
    <s v="NewYearRefresh"/>
    <n v="2098"/>
    <n v="7.055421038471886E-2"/>
    <x v="3"/>
    <d v="2025-03-01T00:00:00"/>
    <d v="2025-03-31T00:00:00"/>
    <n v="180000"/>
    <n v="5625"/>
  </r>
  <r>
    <s v="P035"/>
    <x v="2"/>
    <d v="2024-11-30T00:00:00"/>
    <x v="5"/>
    <s v="Check out our latest video on instagram!"/>
    <n v="3775"/>
    <n v="16"/>
    <n v="239"/>
    <n v="33975"/>
    <n v="33310"/>
    <n v="271"/>
    <x v="5"/>
    <s v="FestiveRadiance"/>
    <n v="4030"/>
    <n v="0.11861662987490802"/>
    <x v="0"/>
    <e v="#N/A"/>
    <e v="#N/A"/>
    <e v="#N/A"/>
    <n v="0"/>
  </r>
  <r>
    <s v="P036"/>
    <x v="2"/>
    <d v="2025-04-19T00:00:00"/>
    <x v="2"/>
    <s v="Check out our latest story on instagram!"/>
    <n v="4518"/>
    <n v="285"/>
    <n v="383"/>
    <n v="67770"/>
    <n v="67621"/>
    <n v="31"/>
    <x v="3"/>
    <s v="FestiveRadiance"/>
    <n v="5186"/>
    <n v="7.6523535487678915E-2"/>
    <x v="0"/>
    <e v="#N/A"/>
    <e v="#N/A"/>
    <e v="#N/A"/>
    <n v="0"/>
  </r>
  <r>
    <s v="P037"/>
    <x v="3"/>
    <d v="2025-01-06T00:00:00"/>
    <x v="3"/>
    <s v="Check out our latest carousel on facebook!"/>
    <n v="3024"/>
    <n v="925"/>
    <n v="350"/>
    <n v="24192"/>
    <n v="23518"/>
    <n v="36"/>
    <x v="3"/>
    <s v="FestiveRadiance"/>
    <n v="4299"/>
    <n v="0.17770337301587302"/>
    <x v="4"/>
    <d v="2024-12-25T00:00:00"/>
    <d v="2025-01-10T00:00:00"/>
    <n v="250000"/>
    <n v="25000"/>
  </r>
  <r>
    <s v="P038"/>
    <x v="1"/>
    <d v="2025-02-17T00:00:00"/>
    <x v="0"/>
    <s v="Check out our latest reel on youtube!"/>
    <n v="3138"/>
    <n v="123"/>
    <n v="291"/>
    <n v="28242"/>
    <n v="27550"/>
    <n v="87"/>
    <x v="2"/>
    <s v="DailyWellness"/>
    <n v="3552"/>
    <n v="0.12577012959422137"/>
    <x v="0"/>
    <e v="#N/A"/>
    <e v="#N/A"/>
    <e v="#N/A"/>
    <n v="0"/>
  </r>
  <r>
    <s v="P039"/>
    <x v="3"/>
    <d v="2024-11-25T00:00:00"/>
    <x v="4"/>
    <s v="Check out our latest image on facebook!"/>
    <n v="3564"/>
    <n v="629"/>
    <n v="177"/>
    <n v="60588"/>
    <n v="59627"/>
    <n v="92"/>
    <x v="2"/>
    <m/>
    <n v="4370"/>
    <n v="7.2126493695121141E-2"/>
    <x v="0"/>
    <e v="#N/A"/>
    <e v="#N/A"/>
    <e v="#N/A"/>
    <n v="0"/>
  </r>
  <r>
    <s v="P040"/>
    <x v="0"/>
    <d v="2025-03-07T00:00:00"/>
    <x v="4"/>
    <s v="Check out our latest image on twitter!"/>
    <n v="4750"/>
    <n v="151"/>
    <n v="415"/>
    <n v="38000"/>
    <n v="37792"/>
    <n v="299"/>
    <x v="3"/>
    <s v="DailyWellness"/>
    <n v="5316"/>
    <n v="0.13989473684210527"/>
    <x v="3"/>
    <d v="2025-03-01T00:00:00"/>
    <d v="2025-03-31T00:00:00"/>
    <n v="180000"/>
    <n v="5625"/>
  </r>
  <r>
    <s v="P041"/>
    <x v="2"/>
    <d v="2025-03-08T00:00:00"/>
    <x v="0"/>
    <s v="Check out our latest reel on instagram!"/>
    <n v="456"/>
    <n v="629"/>
    <n v="428"/>
    <n v="8208"/>
    <n v="7377"/>
    <n v="205"/>
    <x v="5"/>
    <s v="DailyWellness"/>
    <n v="1513"/>
    <n v="0.18433235867446393"/>
    <x v="3"/>
    <d v="2025-03-01T00:00:00"/>
    <d v="2025-03-31T00:00:00"/>
    <n v="180000"/>
    <n v="5625"/>
  </r>
  <r>
    <s v="P042"/>
    <x v="1"/>
    <d v="2025-03-05T00:00:00"/>
    <x v="0"/>
    <s v="Check out our latest reel on youtube!"/>
    <n v="1543"/>
    <n v="820"/>
    <n v="333"/>
    <n v="12344"/>
    <n v="11496"/>
    <n v="241"/>
    <x v="3"/>
    <m/>
    <n v="2696"/>
    <n v="0.21840570317563188"/>
    <x v="3"/>
    <d v="2025-03-01T00:00:00"/>
    <d v="2025-03-31T00:00:00"/>
    <n v="180000"/>
    <n v="5625"/>
  </r>
  <r>
    <s v="P043"/>
    <x v="2"/>
    <d v="2024-12-14T00:00:00"/>
    <x v="3"/>
    <s v="Check out our latest carousel on instagram!"/>
    <n v="2174"/>
    <n v="658"/>
    <n v="15"/>
    <n v="13044"/>
    <n v="12206"/>
    <n v="137"/>
    <x v="2"/>
    <s v="NewYearRefresh"/>
    <n v="2847"/>
    <n v="0.21826126954921804"/>
    <x v="0"/>
    <e v="#N/A"/>
    <e v="#N/A"/>
    <e v="#N/A"/>
    <n v="0"/>
  </r>
  <r>
    <s v="P044"/>
    <x v="0"/>
    <d v="2025-03-02T00:00:00"/>
    <x v="4"/>
    <s v="Check out our latest image on twitter!"/>
    <n v="2358"/>
    <n v="784"/>
    <n v="344"/>
    <n v="35370"/>
    <n v="34475"/>
    <n v="216"/>
    <x v="2"/>
    <m/>
    <n v="3486"/>
    <n v="9.8558100084817649E-2"/>
    <x v="3"/>
    <d v="2025-03-01T00:00:00"/>
    <d v="2025-03-31T00:00:00"/>
    <n v="180000"/>
    <n v="5625"/>
  </r>
  <r>
    <s v="P045"/>
    <x v="3"/>
    <d v="2024-11-01T00:00:00"/>
    <x v="5"/>
    <s v="Check out our latest video on facebook!"/>
    <n v="3371"/>
    <n v="106"/>
    <n v="327"/>
    <n v="50565"/>
    <n v="49816"/>
    <n v="176"/>
    <x v="5"/>
    <s v="SummerSplash"/>
    <n v="3804"/>
    <n v="7.5229902106199939E-2"/>
    <x v="0"/>
    <e v="#N/A"/>
    <e v="#N/A"/>
    <e v="#N/A"/>
    <n v="0"/>
  </r>
  <r>
    <s v="P046"/>
    <x v="0"/>
    <d v="2025-05-02T00:00:00"/>
    <x v="5"/>
    <s v="Check out our latest video on twitter!"/>
    <n v="1108"/>
    <n v="177"/>
    <n v="212"/>
    <n v="8864"/>
    <n v="8710"/>
    <n v="97"/>
    <x v="2"/>
    <s v="DailyWellness"/>
    <n v="1497"/>
    <n v="0.16888537906137185"/>
    <x v="0"/>
    <e v="#N/A"/>
    <e v="#N/A"/>
    <e v="#N/A"/>
    <n v="0"/>
  </r>
  <r>
    <s v="P047"/>
    <x v="0"/>
    <d v="2025-02-24T00:00:00"/>
    <x v="3"/>
    <s v="Check out our latest carousel on twitter!"/>
    <n v="2704"/>
    <n v="752"/>
    <n v="153"/>
    <n v="21632"/>
    <n v="20792"/>
    <n v="127"/>
    <x v="5"/>
    <m/>
    <n v="3609"/>
    <n v="0.16683616863905326"/>
    <x v="0"/>
    <e v="#N/A"/>
    <e v="#N/A"/>
    <e v="#N/A"/>
    <n v="0"/>
  </r>
  <r>
    <s v="P048"/>
    <x v="0"/>
    <d v="2025-03-11T00:00:00"/>
    <x v="2"/>
    <s v="Check out our latest story on twitter!"/>
    <n v="1950"/>
    <n v="295"/>
    <n v="478"/>
    <n v="37050"/>
    <n v="36272"/>
    <n v="119"/>
    <x v="2"/>
    <m/>
    <n v="2723"/>
    <n v="7.349527665317139E-2"/>
    <x v="3"/>
    <d v="2025-03-01T00:00:00"/>
    <d v="2025-03-31T00:00:00"/>
    <n v="180000"/>
    <n v="5625"/>
  </r>
  <r>
    <s v="P049"/>
    <x v="0"/>
    <d v="2024-06-10T00:00:00"/>
    <x v="2"/>
    <s v="Check out our latest story on twitter!"/>
    <n v="2164"/>
    <n v="549"/>
    <n v="274"/>
    <n v="28132"/>
    <n v="27361"/>
    <n v="177"/>
    <x v="2"/>
    <s v="DailyWellness"/>
    <n v="2987"/>
    <n v="0.10617801791554102"/>
    <x v="0"/>
    <e v="#N/A"/>
    <e v="#N/A"/>
    <e v="#N/A"/>
    <n v="0"/>
  </r>
  <r>
    <s v="P050"/>
    <x v="1"/>
    <d v="2024-07-03T00:00:00"/>
    <x v="2"/>
    <s v="Check out our latest story on youtube!"/>
    <n v="2754"/>
    <n v="130"/>
    <n v="90"/>
    <n v="22032"/>
    <n v="21288"/>
    <n v="112"/>
    <x v="2"/>
    <s v="NewYearRefresh"/>
    <n v="2974"/>
    <n v="0.13498547567175018"/>
    <x v="1"/>
    <d v="2024-06-15T00:00:00"/>
    <d v="2024-07-15T00:00:00"/>
    <n v="150000"/>
    <n v="5555.5555555555557"/>
  </r>
  <r>
    <s v="P051"/>
    <x v="3"/>
    <d v="2024-06-13T00:00:00"/>
    <x v="3"/>
    <s v="Check out our latest carousel on facebook!"/>
    <n v="2200"/>
    <n v="504"/>
    <n v="239"/>
    <n v="37400"/>
    <n v="36938"/>
    <n v="225"/>
    <x v="5"/>
    <s v="FestiveRadiance"/>
    <n v="2943"/>
    <n v="7.8689839572192513E-2"/>
    <x v="0"/>
    <e v="#N/A"/>
    <e v="#N/A"/>
    <e v="#N/A"/>
    <n v="0"/>
  </r>
  <r>
    <s v="P052"/>
    <x v="3"/>
    <d v="2025-01-03T00:00:00"/>
    <x v="4"/>
    <s v="Check out our latest image on facebook!"/>
    <n v="947"/>
    <n v="338"/>
    <n v="350"/>
    <n v="10417"/>
    <n v="9730"/>
    <n v="34"/>
    <x v="2"/>
    <s v="DailyWellness"/>
    <n v="1635"/>
    <n v="0.1569549774407219"/>
    <x v="4"/>
    <d v="2024-12-25T00:00:00"/>
    <d v="2025-01-10T00:00:00"/>
    <n v="250000"/>
    <n v="25000"/>
  </r>
  <r>
    <s v="P053"/>
    <x v="1"/>
    <d v="2025-02-24T00:00:00"/>
    <x v="3"/>
    <s v="Check out our latest carousel on youtube!"/>
    <n v="804"/>
    <n v="639"/>
    <n v="43"/>
    <n v="4020"/>
    <n v="3144"/>
    <n v="11"/>
    <x v="7"/>
    <m/>
    <n v="1486"/>
    <n v="0.36965174129353234"/>
    <x v="0"/>
    <e v="#N/A"/>
    <e v="#N/A"/>
    <e v="#N/A"/>
    <n v="0"/>
  </r>
  <r>
    <s v="P054"/>
    <x v="1"/>
    <d v="2025-03-13T00:00:00"/>
    <x v="3"/>
    <s v="Check out our latest carousel on youtube!"/>
    <n v="1686"/>
    <n v="904"/>
    <n v="472"/>
    <n v="18546"/>
    <n v="18171"/>
    <n v="52"/>
    <x v="5"/>
    <s v="FestiveRadiance"/>
    <n v="3062"/>
    <n v="0.16510298716704411"/>
    <x v="3"/>
    <d v="2025-03-01T00:00:00"/>
    <d v="2025-03-31T00:00:00"/>
    <n v="180000"/>
    <n v="5625"/>
  </r>
  <r>
    <s v="P055"/>
    <x v="3"/>
    <d v="2024-06-17T00:00:00"/>
    <x v="4"/>
    <s v="Check out our latest image on facebook!"/>
    <n v="1226"/>
    <n v="119"/>
    <n v="7"/>
    <n v="14712"/>
    <n v="14049"/>
    <n v="123"/>
    <x v="3"/>
    <s v="DailyWellness"/>
    <n v="1352"/>
    <n v="9.1897770527460579E-2"/>
    <x v="1"/>
    <d v="2024-06-15T00:00:00"/>
    <d v="2024-07-15T00:00:00"/>
    <n v="150000"/>
    <n v="5555.5555555555557"/>
  </r>
  <r>
    <s v="P056"/>
    <x v="3"/>
    <d v="2024-12-18T00:00:00"/>
    <x v="3"/>
    <s v="Check out our latest carousel on facebook!"/>
    <n v="2946"/>
    <n v="498"/>
    <n v="367"/>
    <n v="29460"/>
    <n v="28527"/>
    <n v="60"/>
    <x v="5"/>
    <s v="NewYearRefresh"/>
    <n v="3811"/>
    <n v="0.12936184657162253"/>
    <x v="0"/>
    <e v="#N/A"/>
    <e v="#N/A"/>
    <e v="#N/A"/>
    <n v="0"/>
  </r>
  <r>
    <s v="P057"/>
    <x v="0"/>
    <d v="2024-10-21T00:00:00"/>
    <x v="5"/>
    <s v="Check out our latest video on twitter!"/>
    <n v="2825"/>
    <n v="535"/>
    <n v="295"/>
    <n v="45200"/>
    <n v="44739"/>
    <n v="169"/>
    <x v="2"/>
    <s v="SummerSplash"/>
    <n v="3655"/>
    <n v="8.0862831858407078E-2"/>
    <x v="2"/>
    <d v="2024-10-01T00:00:00"/>
    <d v="2024-10-31T00:00:00"/>
    <n v="200000"/>
    <n v="5714.2857142857147"/>
  </r>
  <r>
    <s v="P058"/>
    <x v="2"/>
    <d v="2025-04-15T00:00:00"/>
    <x v="0"/>
    <s v="Check out our latest reel on instagram!"/>
    <n v="103"/>
    <n v="770"/>
    <n v="19"/>
    <n v="1030"/>
    <n v="410"/>
    <n v="262"/>
    <x v="2"/>
    <s v="DailyWellness"/>
    <n v="892"/>
    <n v="0.86601941747572819"/>
    <x v="0"/>
    <e v="#N/A"/>
    <e v="#N/A"/>
    <e v="#N/A"/>
    <n v="0"/>
  </r>
  <r>
    <s v="P059"/>
    <x v="2"/>
    <d v="2024-06-22T00:00:00"/>
    <x v="1"/>
    <s v="Check out our latest text on instagram!"/>
    <n v="2180"/>
    <n v="263"/>
    <n v="387"/>
    <n v="30520"/>
    <n v="30059"/>
    <n v="174"/>
    <x v="3"/>
    <m/>
    <n v="2830"/>
    <n v="9.2726081258191345E-2"/>
    <x v="1"/>
    <d v="2024-06-15T00:00:00"/>
    <d v="2024-07-15T00:00:00"/>
    <n v="150000"/>
    <n v="5555.5555555555557"/>
  </r>
  <r>
    <s v="P060"/>
    <x v="2"/>
    <d v="2025-01-28T00:00:00"/>
    <x v="5"/>
    <s v="Check out our latest video on instagram!"/>
    <n v="904"/>
    <n v="973"/>
    <n v="63"/>
    <n v="11752"/>
    <n v="11580"/>
    <n v="84"/>
    <x v="8"/>
    <s v="NewYearRefresh"/>
    <n v="1940"/>
    <n v="0.1650782845473111"/>
    <x v="0"/>
    <e v="#N/A"/>
    <e v="#N/A"/>
    <e v="#N/A"/>
    <n v="0"/>
  </r>
  <r>
    <s v="P061"/>
    <x v="0"/>
    <d v="2024-09-05T00:00:00"/>
    <x v="5"/>
    <s v="Check out our latest video on twitter!"/>
    <n v="4886"/>
    <n v="983"/>
    <n v="409"/>
    <n v="43974"/>
    <n v="43239"/>
    <n v="65"/>
    <x v="2"/>
    <s v="SummerSplash"/>
    <n v="6278"/>
    <n v="0.14276618001546368"/>
    <x v="0"/>
    <e v="#N/A"/>
    <e v="#N/A"/>
    <e v="#N/A"/>
    <n v="0"/>
  </r>
  <r>
    <s v="P062"/>
    <x v="0"/>
    <d v="2024-11-22T00:00:00"/>
    <x v="3"/>
    <s v="Check out our latest carousel on twitter!"/>
    <n v="53"/>
    <n v="81"/>
    <n v="379"/>
    <n v="954"/>
    <n v="7"/>
    <n v="148"/>
    <x v="2"/>
    <s v="NewYearRefresh"/>
    <n v="513"/>
    <n v="0.53773584905660377"/>
    <x v="0"/>
    <e v="#N/A"/>
    <e v="#N/A"/>
    <e v="#N/A"/>
    <n v="0"/>
  </r>
  <r>
    <s v="P063"/>
    <x v="0"/>
    <d v="2024-07-31T00:00:00"/>
    <x v="3"/>
    <s v="Check out our latest carousel on twitter!"/>
    <n v="4507"/>
    <n v="217"/>
    <n v="13"/>
    <n v="90140"/>
    <n v="89591"/>
    <n v="125"/>
    <x v="5"/>
    <s v="NewYearRefresh"/>
    <n v="4737"/>
    <n v="5.2551586421122697E-2"/>
    <x v="0"/>
    <e v="#N/A"/>
    <e v="#N/A"/>
    <e v="#N/A"/>
    <n v="0"/>
  </r>
  <r>
    <s v="P064"/>
    <x v="3"/>
    <d v="2024-08-17T00:00:00"/>
    <x v="4"/>
    <s v="Check out our latest image on facebook!"/>
    <n v="2878"/>
    <n v="248"/>
    <n v="416"/>
    <n v="43170"/>
    <n v="42667"/>
    <n v="75"/>
    <x v="5"/>
    <s v="NewYearRefresh"/>
    <n v="3542"/>
    <n v="8.2047718322909427E-2"/>
    <x v="0"/>
    <e v="#N/A"/>
    <e v="#N/A"/>
    <e v="#N/A"/>
    <n v="0"/>
  </r>
  <r>
    <s v="P065"/>
    <x v="2"/>
    <d v="2025-03-28T00:00:00"/>
    <x v="2"/>
    <s v="Check out our latest story on instagram!"/>
    <n v="1881"/>
    <n v="501"/>
    <n v="99"/>
    <n v="20691"/>
    <n v="19987"/>
    <n v="289"/>
    <x v="3"/>
    <m/>
    <n v="2481"/>
    <n v="0.11990720603160794"/>
    <x v="3"/>
    <d v="2025-03-01T00:00:00"/>
    <d v="2025-03-31T00:00:00"/>
    <n v="180000"/>
    <n v="5625"/>
  </r>
  <r>
    <s v="P066"/>
    <x v="0"/>
    <d v="2024-07-26T00:00:00"/>
    <x v="3"/>
    <s v="Check out our latest carousel on twitter!"/>
    <n v="432"/>
    <n v="171"/>
    <n v="280"/>
    <n v="3024"/>
    <n v="2285"/>
    <n v="184"/>
    <x v="3"/>
    <s v="SummerSplash"/>
    <n v="883"/>
    <n v="0.29199735449735448"/>
    <x v="0"/>
    <e v="#N/A"/>
    <e v="#N/A"/>
    <e v="#N/A"/>
    <n v="0"/>
  </r>
  <r>
    <s v="P067"/>
    <x v="3"/>
    <d v="2025-03-29T00:00:00"/>
    <x v="3"/>
    <s v="Check out our latest carousel on facebook!"/>
    <n v="4712"/>
    <n v="568"/>
    <n v="127"/>
    <n v="84816"/>
    <n v="84691"/>
    <n v="100"/>
    <x v="3"/>
    <s v="NewYearRefresh"/>
    <n v="5407"/>
    <n v="6.3749764195434822E-2"/>
    <x v="3"/>
    <d v="2025-03-01T00:00:00"/>
    <d v="2025-03-31T00:00:00"/>
    <n v="180000"/>
    <n v="5625"/>
  </r>
  <r>
    <s v="P068"/>
    <x v="2"/>
    <d v="2024-12-08T00:00:00"/>
    <x v="2"/>
    <s v="Check out our latest story on instagram!"/>
    <n v="2610"/>
    <n v="126"/>
    <n v="288"/>
    <n v="15660"/>
    <n v="15145"/>
    <n v="73"/>
    <x v="3"/>
    <m/>
    <n v="3024"/>
    <n v="0.19310344827586207"/>
    <x v="0"/>
    <e v="#N/A"/>
    <e v="#N/A"/>
    <e v="#N/A"/>
    <n v="0"/>
  </r>
  <r>
    <s v="P069"/>
    <x v="0"/>
    <d v="2025-03-08T00:00:00"/>
    <x v="1"/>
    <s v="Check out our latest text on twitter!"/>
    <n v="1292"/>
    <n v="626"/>
    <n v="496"/>
    <n v="25840"/>
    <n v="24916"/>
    <n v="149"/>
    <x v="5"/>
    <s v="NewYearRefresh"/>
    <n v="2414"/>
    <n v="9.3421052631578946E-2"/>
    <x v="3"/>
    <d v="2025-03-01T00:00:00"/>
    <d v="2025-03-31T00:00:00"/>
    <n v="180000"/>
    <n v="5625"/>
  </r>
  <r>
    <s v="P070"/>
    <x v="3"/>
    <d v="2025-04-02T00:00:00"/>
    <x v="5"/>
    <s v="Check out our latest video on facebook!"/>
    <n v="199"/>
    <n v="772"/>
    <n v="400"/>
    <n v="3582"/>
    <n v="2988"/>
    <n v="43"/>
    <x v="2"/>
    <m/>
    <n v="1371"/>
    <n v="0.38274706867671693"/>
    <x v="0"/>
    <e v="#N/A"/>
    <e v="#N/A"/>
    <e v="#N/A"/>
    <n v="0"/>
  </r>
  <r>
    <s v="P071"/>
    <x v="1"/>
    <d v="2024-09-02T00:00:00"/>
    <x v="3"/>
    <s v="Check out our latest carousel on youtube!"/>
    <n v="2551"/>
    <n v="915"/>
    <n v="205"/>
    <n v="30612"/>
    <n v="30360"/>
    <n v="227"/>
    <x v="2"/>
    <s v="FestiveRadiance"/>
    <n v="3671"/>
    <n v="0.1199202926956749"/>
    <x v="0"/>
    <e v="#N/A"/>
    <e v="#N/A"/>
    <e v="#N/A"/>
    <n v="0"/>
  </r>
  <r>
    <s v="P072"/>
    <x v="1"/>
    <d v="2025-03-03T00:00:00"/>
    <x v="0"/>
    <s v="Check out our latest reel on youtube!"/>
    <n v="296"/>
    <n v="60"/>
    <n v="141"/>
    <n v="5624"/>
    <n v="5239"/>
    <n v="88"/>
    <x v="3"/>
    <s v="FestiveRadiance"/>
    <n v="497"/>
    <n v="8.837126600284495E-2"/>
    <x v="3"/>
    <d v="2025-03-01T00:00:00"/>
    <d v="2025-03-31T00:00:00"/>
    <n v="180000"/>
    <n v="5625"/>
  </r>
  <r>
    <s v="P073"/>
    <x v="3"/>
    <d v="2024-10-18T00:00:00"/>
    <x v="2"/>
    <s v="Check out our latest story on facebook!"/>
    <n v="4126"/>
    <n v="426"/>
    <n v="486"/>
    <n v="78394"/>
    <n v="77798"/>
    <n v="88"/>
    <x v="5"/>
    <s v="DailyWellness"/>
    <n v="5038"/>
    <n v="6.4265122330790625E-2"/>
    <x v="2"/>
    <d v="2024-10-01T00:00:00"/>
    <d v="2024-10-31T00:00:00"/>
    <n v="200000"/>
    <n v="5714.2857142857147"/>
  </r>
  <r>
    <s v="P074"/>
    <x v="1"/>
    <d v="2024-10-28T00:00:00"/>
    <x v="0"/>
    <s v="Check out our latest reel on youtube!"/>
    <n v="1855"/>
    <n v="200"/>
    <n v="174"/>
    <n v="16695"/>
    <n v="16330"/>
    <n v="123"/>
    <x v="2"/>
    <s v="NewYearRefresh"/>
    <n v="2229"/>
    <n v="0.13351302785265048"/>
    <x v="2"/>
    <d v="2024-10-01T00:00:00"/>
    <d v="2024-10-31T00:00:00"/>
    <n v="200000"/>
    <n v="5714.2857142857147"/>
  </r>
  <r>
    <s v="P075"/>
    <x v="2"/>
    <d v="2024-08-01T00:00:00"/>
    <x v="0"/>
    <s v="Check out our latest reel on instagram!"/>
    <n v="1674"/>
    <n v="929"/>
    <n v="37"/>
    <n v="21762"/>
    <n v="20998"/>
    <n v="255"/>
    <x v="2"/>
    <s v="DailyWellness"/>
    <n v="2640"/>
    <n v="0.12131237937689551"/>
    <x v="0"/>
    <e v="#N/A"/>
    <e v="#N/A"/>
    <e v="#N/A"/>
    <n v="0"/>
  </r>
  <r>
    <s v="P076"/>
    <x v="0"/>
    <d v="2024-11-07T00:00:00"/>
    <x v="2"/>
    <s v="Check out our latest story on twitter!"/>
    <n v="1121"/>
    <n v="135"/>
    <n v="18"/>
    <n v="15694"/>
    <n v="14957"/>
    <n v="99"/>
    <x v="2"/>
    <s v="DailyWellness"/>
    <n v="1274"/>
    <n v="8.1177520071364848E-2"/>
    <x v="0"/>
    <e v="#N/A"/>
    <e v="#N/A"/>
    <e v="#N/A"/>
    <n v="0"/>
  </r>
  <r>
    <s v="P077"/>
    <x v="3"/>
    <d v="2025-03-04T00:00:00"/>
    <x v="2"/>
    <s v="Check out our latest story on facebook!"/>
    <n v="1249"/>
    <n v="116"/>
    <n v="420"/>
    <n v="8743"/>
    <n v="8538"/>
    <n v="63"/>
    <x v="2"/>
    <m/>
    <n v="1785"/>
    <n v="0.20416333066453163"/>
    <x v="3"/>
    <d v="2025-03-01T00:00:00"/>
    <d v="2025-03-31T00:00:00"/>
    <n v="180000"/>
    <n v="5625"/>
  </r>
  <r>
    <s v="P078"/>
    <x v="0"/>
    <d v="2024-06-17T00:00:00"/>
    <x v="4"/>
    <s v="Check out our latest image on twitter!"/>
    <n v="954"/>
    <n v="324"/>
    <n v="288"/>
    <n v="19080"/>
    <n v="18859"/>
    <n v="21"/>
    <x v="5"/>
    <s v="DailyWellness"/>
    <n v="1566"/>
    <n v="8.2075471698113203E-2"/>
    <x v="1"/>
    <d v="2024-06-15T00:00:00"/>
    <d v="2024-07-15T00:00:00"/>
    <n v="150000"/>
    <n v="5555.5555555555557"/>
  </r>
  <r>
    <s v="P079"/>
    <x v="2"/>
    <d v="2024-10-09T00:00:00"/>
    <x v="3"/>
    <s v="Check out our latest carousel on instagram!"/>
    <n v="3068"/>
    <n v="137"/>
    <n v="329"/>
    <n v="39884"/>
    <n v="39404"/>
    <n v="266"/>
    <x v="3"/>
    <s v="FestiveRadiance"/>
    <n v="3534"/>
    <n v="8.860696018453515E-2"/>
    <x v="2"/>
    <d v="2024-10-01T00:00:00"/>
    <d v="2024-10-31T00:00:00"/>
    <n v="200000"/>
    <n v="5714.2857142857147"/>
  </r>
  <r>
    <s v="P080"/>
    <x v="2"/>
    <d v="2024-06-13T00:00:00"/>
    <x v="2"/>
    <s v="Check out our latest story on instagram!"/>
    <n v="2103"/>
    <n v="892"/>
    <n v="103"/>
    <n v="39957"/>
    <n v="39466"/>
    <n v="28"/>
    <x v="5"/>
    <m/>
    <n v="3098"/>
    <n v="7.7533348349475686E-2"/>
    <x v="0"/>
    <e v="#N/A"/>
    <e v="#N/A"/>
    <e v="#N/A"/>
    <n v="0"/>
  </r>
  <r>
    <s v="P081"/>
    <x v="2"/>
    <d v="2024-10-19T00:00:00"/>
    <x v="2"/>
    <s v="Check out our latest story on instagram!"/>
    <n v="1816"/>
    <n v="29"/>
    <n v="41"/>
    <n v="19976"/>
    <n v="19262"/>
    <n v="283"/>
    <x v="2"/>
    <s v="NewYearRefresh"/>
    <n v="1886"/>
    <n v="9.4413295955146179E-2"/>
    <x v="2"/>
    <d v="2024-10-01T00:00:00"/>
    <d v="2024-10-31T00:00:00"/>
    <n v="200000"/>
    <n v="5714.2857142857147"/>
  </r>
  <r>
    <s v="P082"/>
    <x v="2"/>
    <d v="2024-07-24T00:00:00"/>
    <x v="4"/>
    <s v="Check out our latest image on instagram!"/>
    <n v="725"/>
    <n v="88"/>
    <n v="428"/>
    <n v="14500"/>
    <n v="13637"/>
    <n v="200"/>
    <x v="9"/>
    <s v="NewYearRefresh"/>
    <n v="1241"/>
    <n v="8.558620689655172E-2"/>
    <x v="0"/>
    <e v="#N/A"/>
    <e v="#N/A"/>
    <e v="#N/A"/>
    <n v="0"/>
  </r>
  <r>
    <s v="P083"/>
    <x v="1"/>
    <d v="2024-10-15T00:00:00"/>
    <x v="5"/>
    <s v="Check out our latest video on youtube!"/>
    <n v="1094"/>
    <n v="472"/>
    <n v="21"/>
    <n v="9846"/>
    <n v="9609"/>
    <n v="112"/>
    <x v="3"/>
    <m/>
    <n v="1587"/>
    <n v="0.16118220597196831"/>
    <x v="2"/>
    <d v="2024-10-01T00:00:00"/>
    <d v="2024-10-31T00:00:00"/>
    <n v="200000"/>
    <n v="5714.2857142857147"/>
  </r>
  <r>
    <s v="P084"/>
    <x v="3"/>
    <d v="2024-12-09T00:00:00"/>
    <x v="4"/>
    <s v="Check out our latest image on facebook!"/>
    <n v="1841"/>
    <n v="851"/>
    <n v="342"/>
    <n v="34979"/>
    <n v="34154"/>
    <n v="255"/>
    <x v="5"/>
    <s v="DailyWellness"/>
    <n v="3034"/>
    <n v="8.6737756939878216E-2"/>
    <x v="0"/>
    <e v="#N/A"/>
    <e v="#N/A"/>
    <e v="#N/A"/>
    <n v="0"/>
  </r>
  <r>
    <s v="P085"/>
    <x v="2"/>
    <d v="2025-04-19T00:00:00"/>
    <x v="4"/>
    <s v="Check out our latest image on instagram!"/>
    <n v="4177"/>
    <n v="569"/>
    <n v="55"/>
    <n v="25062"/>
    <n v="24847"/>
    <n v="230"/>
    <x v="5"/>
    <s v="SummerSplash"/>
    <n v="4801"/>
    <n v="0.19156491900087783"/>
    <x v="0"/>
    <e v="#N/A"/>
    <e v="#N/A"/>
    <e v="#N/A"/>
    <n v="0"/>
  </r>
  <r>
    <s v="P086"/>
    <x v="1"/>
    <d v="2025-01-27T00:00:00"/>
    <x v="1"/>
    <s v="Check out our latest text on youtube!"/>
    <n v="3428"/>
    <n v="305"/>
    <n v="85"/>
    <n v="58276"/>
    <n v="58052"/>
    <n v="242"/>
    <x v="7"/>
    <s v="DailyWellness"/>
    <n v="3818"/>
    <n v="6.5515821264328367E-2"/>
    <x v="0"/>
    <e v="#N/A"/>
    <e v="#N/A"/>
    <e v="#N/A"/>
    <n v="0"/>
  </r>
  <r>
    <s v="P087"/>
    <x v="0"/>
    <d v="2024-06-06T00:00:00"/>
    <x v="5"/>
    <s v="Check out our latest video on twitter!"/>
    <n v="1436"/>
    <n v="765"/>
    <n v="496"/>
    <n v="12924"/>
    <n v="12701"/>
    <n v="197"/>
    <x v="5"/>
    <s v="NewYearRefresh"/>
    <n v="2697"/>
    <n v="0.20868152274837512"/>
    <x v="0"/>
    <e v="#N/A"/>
    <e v="#N/A"/>
    <e v="#N/A"/>
    <n v="0"/>
  </r>
  <r>
    <s v="P088"/>
    <x v="3"/>
    <d v="2024-07-07T00:00:00"/>
    <x v="2"/>
    <s v="Check out our latest story on facebook!"/>
    <n v="302"/>
    <n v="47"/>
    <n v="430"/>
    <n v="5738"/>
    <n v="4890"/>
    <n v="25"/>
    <x v="2"/>
    <s v="DailyWellness"/>
    <n v="779"/>
    <n v="0.13576158940397351"/>
    <x v="1"/>
    <d v="2024-06-15T00:00:00"/>
    <d v="2024-07-15T00:00:00"/>
    <n v="150000"/>
    <n v="5555.5555555555557"/>
  </r>
  <r>
    <s v="P089"/>
    <x v="0"/>
    <d v="2025-01-10T00:00:00"/>
    <x v="4"/>
    <s v="Check out our latest image on twitter!"/>
    <n v="2214"/>
    <n v="249"/>
    <n v="152"/>
    <n v="15498"/>
    <n v="14800"/>
    <n v="180"/>
    <x v="3"/>
    <m/>
    <n v="2615"/>
    <n v="0.16873144921925409"/>
    <x v="4"/>
    <d v="2024-12-25T00:00:00"/>
    <d v="2025-01-10T00:00:00"/>
    <n v="250000"/>
    <n v="25000"/>
  </r>
  <r>
    <s v="P090"/>
    <x v="2"/>
    <d v="2024-06-03T00:00:00"/>
    <x v="4"/>
    <s v="Check out our latest image on instagram!"/>
    <n v="3861"/>
    <n v="960"/>
    <n v="101"/>
    <n v="69498"/>
    <n v="68817"/>
    <n v="297"/>
    <x v="2"/>
    <s v="DailyWellness"/>
    <n v="4922"/>
    <n v="7.0822181933293038E-2"/>
    <x v="0"/>
    <e v="#N/A"/>
    <e v="#N/A"/>
    <e v="#N/A"/>
    <n v="0"/>
  </r>
  <r>
    <s v="P091"/>
    <x v="3"/>
    <d v="2025-03-24T00:00:00"/>
    <x v="4"/>
    <s v="Check out our latest image on facebook!"/>
    <n v="1263"/>
    <n v="397"/>
    <n v="357"/>
    <n v="25260"/>
    <n v="24615"/>
    <n v="137"/>
    <x v="3"/>
    <s v="DailyWellness"/>
    <n v="2017"/>
    <n v="7.984956452889945E-2"/>
    <x v="3"/>
    <d v="2025-03-01T00:00:00"/>
    <d v="2025-03-31T00:00:00"/>
    <n v="180000"/>
    <n v="5625"/>
  </r>
  <r>
    <s v="P092"/>
    <x v="0"/>
    <d v="2024-10-21T00:00:00"/>
    <x v="2"/>
    <s v="Check out our latest story on twitter!"/>
    <n v="3801"/>
    <n v="967"/>
    <n v="401"/>
    <n v="38010"/>
    <n v="37625"/>
    <n v="236"/>
    <x v="5"/>
    <s v="NewYearRefresh"/>
    <n v="5169"/>
    <n v="0.13599052880820836"/>
    <x v="2"/>
    <d v="2024-10-01T00:00:00"/>
    <d v="2024-10-31T00:00:00"/>
    <n v="200000"/>
    <n v="5714.2857142857147"/>
  </r>
  <r>
    <s v="P093"/>
    <x v="2"/>
    <d v="2024-12-11T00:00:00"/>
    <x v="5"/>
    <s v="Check out our latest video on instagram!"/>
    <n v="1431"/>
    <n v="951"/>
    <n v="26"/>
    <n v="8586"/>
    <n v="8396"/>
    <n v="150"/>
    <x v="3"/>
    <s v="NewYearRefresh"/>
    <n v="2408"/>
    <n v="0.28045655718611695"/>
    <x v="0"/>
    <e v="#N/A"/>
    <e v="#N/A"/>
    <e v="#N/A"/>
    <n v="0"/>
  </r>
  <r>
    <s v="P094"/>
    <x v="2"/>
    <d v="2024-11-07T00:00:00"/>
    <x v="4"/>
    <s v="Check out our latest image on instagram!"/>
    <n v="2647"/>
    <n v="304"/>
    <n v="170"/>
    <n v="18529"/>
    <n v="17841"/>
    <n v="46"/>
    <x v="5"/>
    <s v="NewYearRefresh"/>
    <n v="3121"/>
    <n v="0.16843866371633656"/>
    <x v="0"/>
    <e v="#N/A"/>
    <e v="#N/A"/>
    <e v="#N/A"/>
    <n v="0"/>
  </r>
  <r>
    <s v="P095"/>
    <x v="2"/>
    <d v="2024-11-08T00:00:00"/>
    <x v="1"/>
    <s v="Check out our latest text on instagram!"/>
    <n v="3182"/>
    <n v="559"/>
    <n v="160"/>
    <n v="57276"/>
    <n v="56890"/>
    <n v="163"/>
    <x v="5"/>
    <s v="DailyWellness"/>
    <n v="3901"/>
    <n v="6.8108806480899509E-2"/>
    <x v="0"/>
    <e v="#N/A"/>
    <e v="#N/A"/>
    <e v="#N/A"/>
    <n v="0"/>
  </r>
  <r>
    <s v="P096"/>
    <x v="0"/>
    <d v="2024-09-10T00:00:00"/>
    <x v="4"/>
    <s v="Check out our latest image on twitter!"/>
    <n v="1238"/>
    <n v="366"/>
    <n v="444"/>
    <n v="19808"/>
    <n v="19334"/>
    <n v="123"/>
    <x v="5"/>
    <m/>
    <n v="2048"/>
    <n v="0.10339256865912763"/>
    <x v="0"/>
    <e v="#N/A"/>
    <e v="#N/A"/>
    <e v="#N/A"/>
    <n v="0"/>
  </r>
  <r>
    <s v="P097"/>
    <x v="2"/>
    <d v="2024-08-13T00:00:00"/>
    <x v="4"/>
    <s v="Check out our latest image on instagram!"/>
    <n v="4739"/>
    <n v="527"/>
    <n v="135"/>
    <n v="61607"/>
    <n v="61333"/>
    <n v="36"/>
    <x v="6"/>
    <s v="FestiveRadiance"/>
    <n v="5401"/>
    <n v="8.7668609086629767E-2"/>
    <x v="0"/>
    <e v="#N/A"/>
    <e v="#N/A"/>
    <e v="#N/A"/>
    <n v="0"/>
  </r>
  <r>
    <s v="P098"/>
    <x v="0"/>
    <d v="2024-06-10T00:00:00"/>
    <x v="2"/>
    <s v="Check out our latest story on twitter!"/>
    <n v="1575"/>
    <n v="771"/>
    <n v="486"/>
    <n v="25200"/>
    <n v="24826"/>
    <n v="17"/>
    <x v="5"/>
    <s v="DailyWellness"/>
    <n v="2832"/>
    <n v="0.11238095238095239"/>
    <x v="0"/>
    <e v="#N/A"/>
    <e v="#N/A"/>
    <e v="#N/A"/>
    <n v="0"/>
  </r>
  <r>
    <s v="P099"/>
    <x v="1"/>
    <d v="2024-07-02T00:00:00"/>
    <x v="3"/>
    <s v="Check out our latest carousel on youtube!"/>
    <n v="4171"/>
    <n v="548"/>
    <n v="86"/>
    <n v="66736"/>
    <n v="66634"/>
    <n v="173"/>
    <x v="5"/>
    <s v="NewYearRefresh"/>
    <n v="4805"/>
    <n v="7.2000119875329657E-2"/>
    <x v="1"/>
    <d v="2024-06-15T00:00:00"/>
    <d v="2024-07-15T00:00:00"/>
    <n v="150000"/>
    <n v="5555.5555555555557"/>
  </r>
  <r>
    <s v="P100"/>
    <x v="1"/>
    <d v="2025-02-10T00:00:00"/>
    <x v="5"/>
    <s v="Check out our latest video on youtube!"/>
    <n v="1766"/>
    <n v="92"/>
    <n v="424"/>
    <n v="24724"/>
    <n v="24333"/>
    <n v="52"/>
    <x v="3"/>
    <m/>
    <n v="2282"/>
    <n v="9.2298980747451867E-2"/>
    <x v="0"/>
    <e v="#N/A"/>
    <e v="#N/A"/>
    <e v="#N/A"/>
    <n v="0"/>
  </r>
  <r>
    <s v="P101"/>
    <x v="1"/>
    <d v="2024-10-18T00:00:00"/>
    <x v="5"/>
    <s v="Check out our latest video on youtube!"/>
    <n v="4450"/>
    <n v="983"/>
    <n v="143"/>
    <n v="75650"/>
    <n v="75008"/>
    <n v="12"/>
    <x v="5"/>
    <s v="NewYearRefresh"/>
    <n v="5576"/>
    <n v="7.3707865168539333E-2"/>
    <x v="2"/>
    <d v="2024-10-01T00:00:00"/>
    <d v="2024-10-31T00:00:00"/>
    <n v="200000"/>
    <n v="5714.2857142857147"/>
  </r>
  <r>
    <s v="P102"/>
    <x v="0"/>
    <d v="2024-09-18T00:00:00"/>
    <x v="0"/>
    <s v="Check out our latest reel on twitter!"/>
    <n v="1000"/>
    <n v="978"/>
    <n v="162"/>
    <n v="6000"/>
    <n v="5221"/>
    <n v="223"/>
    <x v="3"/>
    <s v="FestiveRadiance"/>
    <n v="2140"/>
    <n v="0.35666666666666669"/>
    <x v="0"/>
    <e v="#N/A"/>
    <e v="#N/A"/>
    <e v="#N/A"/>
    <n v="0"/>
  </r>
  <r>
    <s v="P103"/>
    <x v="3"/>
    <d v="2024-06-11T00:00:00"/>
    <x v="4"/>
    <s v="Check out our latest image on facebook!"/>
    <n v="3689"/>
    <n v="48"/>
    <n v="306"/>
    <n v="40579"/>
    <n v="39588"/>
    <n v="212"/>
    <x v="3"/>
    <s v="FestiveRadiance"/>
    <n v="4043"/>
    <n v="9.9632815002833983E-2"/>
    <x v="0"/>
    <e v="#N/A"/>
    <e v="#N/A"/>
    <e v="#N/A"/>
    <n v="0"/>
  </r>
  <r>
    <s v="P104"/>
    <x v="1"/>
    <d v="2025-03-23T00:00:00"/>
    <x v="2"/>
    <s v="Check out our latest story on youtube!"/>
    <n v="3655"/>
    <n v="568"/>
    <n v="286"/>
    <n v="32895"/>
    <n v="32015"/>
    <n v="199"/>
    <x v="2"/>
    <s v="NewYearRefresh"/>
    <n v="4509"/>
    <n v="0.13707250341997265"/>
    <x v="3"/>
    <d v="2025-03-01T00:00:00"/>
    <d v="2025-03-31T00:00:00"/>
    <n v="180000"/>
    <n v="5625"/>
  </r>
  <r>
    <s v="P105"/>
    <x v="2"/>
    <d v="2024-06-14T00:00:00"/>
    <x v="3"/>
    <s v="Check out our latest carousel on instagram!"/>
    <n v="498"/>
    <n v="38"/>
    <n v="42"/>
    <n v="4482"/>
    <n v="3647"/>
    <n v="32"/>
    <x v="5"/>
    <s v="SummerSplash"/>
    <n v="578"/>
    <n v="0.12896028558679162"/>
    <x v="0"/>
    <e v="#N/A"/>
    <e v="#N/A"/>
    <e v="#N/A"/>
    <n v="0"/>
  </r>
  <r>
    <s v="P106"/>
    <x v="2"/>
    <d v="2025-02-04T00:00:00"/>
    <x v="4"/>
    <s v="Check out our latest image on instagram!"/>
    <n v="4619"/>
    <n v="821"/>
    <n v="499"/>
    <n v="69285"/>
    <n v="69141"/>
    <n v="298"/>
    <x v="2"/>
    <s v="DailyWellness"/>
    <n v="5939"/>
    <n v="8.5718409468138843E-2"/>
    <x v="0"/>
    <e v="#N/A"/>
    <e v="#N/A"/>
    <e v="#N/A"/>
    <n v="0"/>
  </r>
  <r>
    <s v="P107"/>
    <x v="1"/>
    <d v="2024-06-21T00:00:00"/>
    <x v="4"/>
    <s v="Check out our latest image on youtube!"/>
    <n v="4832"/>
    <n v="893"/>
    <n v="10"/>
    <n v="91808"/>
    <n v="91296"/>
    <n v="182"/>
    <x v="2"/>
    <m/>
    <n v="5735"/>
    <n v="6.2467323109097243E-2"/>
    <x v="1"/>
    <d v="2024-06-15T00:00:00"/>
    <d v="2024-07-15T00:00:00"/>
    <n v="150000"/>
    <n v="5555.5555555555557"/>
  </r>
  <r>
    <s v="P108"/>
    <x v="0"/>
    <d v="2025-03-25T00:00:00"/>
    <x v="5"/>
    <s v="Check out our latest video on twitter!"/>
    <n v="4050"/>
    <n v="871"/>
    <n v="347"/>
    <n v="52650"/>
    <n v="51755"/>
    <n v="209"/>
    <x v="2"/>
    <s v="FestiveRadiance"/>
    <n v="5268"/>
    <n v="0.10005698005698006"/>
    <x v="3"/>
    <d v="2025-03-01T00:00:00"/>
    <d v="2025-03-31T00:00:00"/>
    <n v="180000"/>
    <n v="5625"/>
  </r>
  <r>
    <s v="P109"/>
    <x v="0"/>
    <d v="2024-08-08T00:00:00"/>
    <x v="2"/>
    <s v="Check out our latest story on twitter!"/>
    <n v="3649"/>
    <n v="215"/>
    <n v="413"/>
    <n v="25543"/>
    <n v="24963"/>
    <n v="167"/>
    <x v="5"/>
    <s v="NewYearRefresh"/>
    <n v="4277"/>
    <n v="0.16744313510550835"/>
    <x v="0"/>
    <e v="#N/A"/>
    <e v="#N/A"/>
    <e v="#N/A"/>
    <n v="0"/>
  </r>
  <r>
    <s v="P110"/>
    <x v="2"/>
    <d v="2024-07-29T00:00:00"/>
    <x v="0"/>
    <s v="Check out our latest reel on instagram!"/>
    <n v="3523"/>
    <n v="753"/>
    <n v="482"/>
    <n v="38753"/>
    <n v="38579"/>
    <n v="270"/>
    <x v="3"/>
    <s v="FestiveRadiance"/>
    <n v="4758"/>
    <n v="0.12277759141227776"/>
    <x v="0"/>
    <e v="#N/A"/>
    <e v="#N/A"/>
    <e v="#N/A"/>
    <n v="0"/>
  </r>
  <r>
    <s v="P111"/>
    <x v="1"/>
    <d v="2024-11-23T00:00:00"/>
    <x v="4"/>
    <s v="Check out our latest image on youtube!"/>
    <n v="2719"/>
    <n v="17"/>
    <n v="285"/>
    <n v="40785"/>
    <n v="40281"/>
    <n v="40"/>
    <x v="2"/>
    <s v="FestiveRadiance"/>
    <n v="3021"/>
    <n v="7.4071349760941527E-2"/>
    <x v="0"/>
    <e v="#N/A"/>
    <e v="#N/A"/>
    <e v="#N/A"/>
    <n v="0"/>
  </r>
  <r>
    <s v="P112"/>
    <x v="0"/>
    <d v="2024-10-05T00:00:00"/>
    <x v="2"/>
    <s v="Check out our latest story on twitter!"/>
    <n v="1957"/>
    <n v="877"/>
    <n v="238"/>
    <n v="17613"/>
    <n v="16865"/>
    <n v="297"/>
    <x v="5"/>
    <s v="NewYearRefresh"/>
    <n v="3072"/>
    <n v="0.17441662408448305"/>
    <x v="2"/>
    <d v="2024-10-01T00:00:00"/>
    <d v="2024-10-31T00:00:00"/>
    <n v="200000"/>
    <n v="5714.2857142857147"/>
  </r>
  <r>
    <s v="P113"/>
    <x v="0"/>
    <d v="2024-10-02T00:00:00"/>
    <x v="3"/>
    <s v="Check out our latest carousel on twitter!"/>
    <n v="4419"/>
    <n v="236"/>
    <n v="369"/>
    <n v="44190"/>
    <n v="43582"/>
    <n v="10"/>
    <x v="3"/>
    <s v="SummerSplash"/>
    <n v="5024"/>
    <n v="0.11369088028965829"/>
    <x v="2"/>
    <d v="2024-10-01T00:00:00"/>
    <d v="2024-10-31T00:00:00"/>
    <n v="200000"/>
    <n v="5714.2857142857147"/>
  </r>
  <r>
    <s v="P114"/>
    <x v="0"/>
    <d v="2024-11-14T00:00:00"/>
    <x v="2"/>
    <s v="Check out our latest story on twitter!"/>
    <n v="4000"/>
    <n v="689"/>
    <n v="488"/>
    <n v="40000"/>
    <n v="39569"/>
    <n v="44"/>
    <x v="5"/>
    <s v="SummerSplash"/>
    <n v="5177"/>
    <n v="0.12942500000000001"/>
    <x v="0"/>
    <e v="#N/A"/>
    <e v="#N/A"/>
    <e v="#N/A"/>
    <n v="0"/>
  </r>
  <r>
    <s v="P115"/>
    <x v="0"/>
    <d v="2025-05-11T00:00:00"/>
    <x v="4"/>
    <s v="Check out our latest image on twitter!"/>
    <n v="2493"/>
    <n v="97"/>
    <n v="44"/>
    <n v="42381"/>
    <n v="41991"/>
    <n v="242"/>
    <x v="6"/>
    <s v="DailyWellness"/>
    <n v="2634"/>
    <n v="6.2150491965739366E-2"/>
    <x v="0"/>
    <e v="#N/A"/>
    <e v="#N/A"/>
    <e v="#N/A"/>
    <n v="0"/>
  </r>
  <r>
    <s v="P116"/>
    <x v="1"/>
    <d v="2025-03-18T00:00:00"/>
    <x v="0"/>
    <s v="Check out our latest reel on youtube!"/>
    <n v="3704"/>
    <n v="186"/>
    <n v="458"/>
    <n v="25928"/>
    <n v="25081"/>
    <n v="131"/>
    <x v="2"/>
    <m/>
    <n v="4348"/>
    <n v="0.16769515581610614"/>
    <x v="3"/>
    <d v="2025-03-01T00:00:00"/>
    <d v="2025-03-31T00:00:00"/>
    <n v="180000"/>
    <n v="5625"/>
  </r>
  <r>
    <s v="P117"/>
    <x v="0"/>
    <d v="2024-11-04T00:00:00"/>
    <x v="4"/>
    <s v="Check out our latest image on twitter!"/>
    <n v="1606"/>
    <n v="451"/>
    <n v="405"/>
    <n v="20878"/>
    <n v="20190"/>
    <n v="219"/>
    <x v="3"/>
    <s v="DailyWellness"/>
    <n v="2462"/>
    <n v="0.11792317271769326"/>
    <x v="0"/>
    <e v="#N/A"/>
    <e v="#N/A"/>
    <e v="#N/A"/>
    <n v="0"/>
  </r>
  <r>
    <s v="P118"/>
    <x v="3"/>
    <d v="2024-11-04T00:00:00"/>
    <x v="4"/>
    <s v="Check out our latest image on facebook!"/>
    <n v="4551"/>
    <n v="714"/>
    <n v="207"/>
    <n v="68265"/>
    <n v="67754"/>
    <n v="57"/>
    <x v="5"/>
    <s v="NewYearRefresh"/>
    <n v="5472"/>
    <n v="8.0158206987475278E-2"/>
    <x v="0"/>
    <e v="#N/A"/>
    <e v="#N/A"/>
    <e v="#N/A"/>
    <n v="0"/>
  </r>
  <r>
    <s v="P119"/>
    <x v="2"/>
    <d v="2025-02-07T00:00:00"/>
    <x v="0"/>
    <s v="Check out our latest reel on instagram!"/>
    <n v="1970"/>
    <n v="675"/>
    <n v="478"/>
    <n v="9850"/>
    <n v="8924"/>
    <n v="117"/>
    <x v="5"/>
    <m/>
    <n v="3123"/>
    <n v="0.31705583756345179"/>
    <x v="0"/>
    <e v="#N/A"/>
    <e v="#N/A"/>
    <e v="#N/A"/>
    <n v="0"/>
  </r>
  <r>
    <s v="P120"/>
    <x v="3"/>
    <d v="2024-10-21T00:00:00"/>
    <x v="2"/>
    <s v="Check out our latest story on facebook!"/>
    <n v="780"/>
    <n v="928"/>
    <n v="301"/>
    <n v="8580"/>
    <n v="8081"/>
    <n v="91"/>
    <x v="3"/>
    <s v="NewYearRefresh"/>
    <n v="2009"/>
    <n v="0.23414918414918415"/>
    <x v="2"/>
    <d v="2024-10-01T00:00:00"/>
    <d v="2024-10-31T00:00:00"/>
    <n v="200000"/>
    <n v="5714.2857142857147"/>
  </r>
  <r>
    <s v="P121"/>
    <x v="2"/>
    <d v="2024-07-29T00:00:00"/>
    <x v="2"/>
    <s v="Check out our latest story on instagram!"/>
    <n v="498"/>
    <n v="701"/>
    <n v="412"/>
    <n v="4980"/>
    <n v="4185"/>
    <n v="185"/>
    <x v="5"/>
    <m/>
    <n v="1611"/>
    <n v="0.32349397590361445"/>
    <x v="0"/>
    <e v="#N/A"/>
    <e v="#N/A"/>
    <e v="#N/A"/>
    <n v="0"/>
  </r>
  <r>
    <s v="P122"/>
    <x v="2"/>
    <d v="2024-10-02T00:00:00"/>
    <x v="1"/>
    <s v="Check out our latest text on instagram!"/>
    <n v="3432"/>
    <n v="869"/>
    <n v="123"/>
    <n v="54912"/>
    <n v="53916"/>
    <n v="264"/>
    <x v="3"/>
    <s v="FestiveRadiance"/>
    <n v="4424"/>
    <n v="8.0565268065268064E-2"/>
    <x v="2"/>
    <d v="2024-10-01T00:00:00"/>
    <d v="2024-10-31T00:00:00"/>
    <n v="200000"/>
    <n v="5714.2857142857147"/>
  </r>
  <r>
    <s v="P123"/>
    <x v="2"/>
    <d v="2024-06-14T00:00:00"/>
    <x v="2"/>
    <s v="Check out our latest story on instagram!"/>
    <n v="4363"/>
    <n v="649"/>
    <n v="140"/>
    <n v="21815"/>
    <n v="21481"/>
    <n v="157"/>
    <x v="3"/>
    <s v="SummerSplash"/>
    <n v="5152"/>
    <n v="0.23616777446710979"/>
    <x v="0"/>
    <e v="#N/A"/>
    <e v="#N/A"/>
    <e v="#N/A"/>
    <n v="0"/>
  </r>
  <r>
    <s v="P124"/>
    <x v="1"/>
    <d v="2025-04-06T00:00:00"/>
    <x v="3"/>
    <s v="Check out our latest carousel on youtube!"/>
    <n v="736"/>
    <n v="771"/>
    <n v="225"/>
    <n v="5152"/>
    <n v="4706"/>
    <n v="19"/>
    <x v="3"/>
    <s v="SummerSplash"/>
    <n v="1732"/>
    <n v="0.33618012422360249"/>
    <x v="0"/>
    <e v="#N/A"/>
    <e v="#N/A"/>
    <e v="#N/A"/>
    <n v="0"/>
  </r>
  <r>
    <s v="P125"/>
    <x v="0"/>
    <d v="2024-09-08T00:00:00"/>
    <x v="3"/>
    <s v="Check out our latest carousel on twitter!"/>
    <n v="3811"/>
    <n v="866"/>
    <n v="216"/>
    <n v="34299"/>
    <n v="34088"/>
    <n v="233"/>
    <x v="2"/>
    <s v="DailyWellness"/>
    <n v="4893"/>
    <n v="0.14265722032712325"/>
    <x v="0"/>
    <e v="#N/A"/>
    <e v="#N/A"/>
    <e v="#N/A"/>
    <n v="0"/>
  </r>
  <r>
    <s v="P126"/>
    <x v="2"/>
    <d v="2025-03-28T00:00:00"/>
    <x v="3"/>
    <s v="Check out our latest carousel on instagram!"/>
    <n v="4158"/>
    <n v="167"/>
    <n v="241"/>
    <n v="45738"/>
    <n v="45183"/>
    <n v="142"/>
    <x v="5"/>
    <m/>
    <n v="4566"/>
    <n v="9.9829463465827106E-2"/>
    <x v="3"/>
    <d v="2025-03-01T00:00:00"/>
    <d v="2025-03-31T00:00:00"/>
    <n v="180000"/>
    <n v="5625"/>
  </r>
  <r>
    <s v="P127"/>
    <x v="3"/>
    <d v="2025-01-27T00:00:00"/>
    <x v="0"/>
    <s v="Check out our latest reel on facebook!"/>
    <n v="3452"/>
    <n v="652"/>
    <n v="442"/>
    <n v="65588"/>
    <n v="65049"/>
    <n v="158"/>
    <x v="5"/>
    <s v="NewYearRefresh"/>
    <n v="4546"/>
    <n v="6.9311459413307311E-2"/>
    <x v="0"/>
    <e v="#N/A"/>
    <e v="#N/A"/>
    <e v="#N/A"/>
    <n v="0"/>
  </r>
  <r>
    <s v="P128"/>
    <x v="0"/>
    <d v="2025-01-10T00:00:00"/>
    <x v="4"/>
    <s v="Check out our latest image on twitter!"/>
    <n v="3092"/>
    <n v="106"/>
    <n v="291"/>
    <n v="27828"/>
    <n v="27217"/>
    <n v="102"/>
    <x v="5"/>
    <m/>
    <n v="3489"/>
    <n v="0.12537731780940059"/>
    <x v="4"/>
    <d v="2024-12-25T00:00:00"/>
    <d v="2025-01-10T00:00:00"/>
    <n v="250000"/>
    <n v="25000"/>
  </r>
  <r>
    <s v="P129"/>
    <x v="0"/>
    <d v="2024-07-21T00:00:00"/>
    <x v="1"/>
    <s v="Check out our latest text on twitter!"/>
    <n v="2147"/>
    <n v="430"/>
    <n v="393"/>
    <n v="17176"/>
    <n v="16483"/>
    <n v="170"/>
    <x v="2"/>
    <m/>
    <n v="2970"/>
    <n v="0.17291569632044715"/>
    <x v="0"/>
    <e v="#N/A"/>
    <e v="#N/A"/>
    <e v="#N/A"/>
    <n v="0"/>
  </r>
  <r>
    <s v="P130"/>
    <x v="1"/>
    <d v="2024-09-29T00:00:00"/>
    <x v="0"/>
    <s v="Check out our latest reel on youtube!"/>
    <n v="2936"/>
    <n v="439"/>
    <n v="44"/>
    <n v="38168"/>
    <n v="37571"/>
    <n v="22"/>
    <x v="3"/>
    <s v="DailyWellness"/>
    <n v="3419"/>
    <n v="8.9577656675749323E-2"/>
    <x v="0"/>
    <e v="#N/A"/>
    <e v="#N/A"/>
    <e v="#N/A"/>
    <n v="0"/>
  </r>
  <r>
    <s v="P131"/>
    <x v="2"/>
    <d v="2024-10-21T00:00:00"/>
    <x v="0"/>
    <s v="Check out our latest reel on instagram!"/>
    <n v="4840"/>
    <n v="658"/>
    <n v="211"/>
    <n v="43560"/>
    <n v="43225"/>
    <n v="57"/>
    <x v="5"/>
    <s v="NewYearRefresh"/>
    <n v="5709"/>
    <n v="0.13106060606060607"/>
    <x v="2"/>
    <d v="2024-10-01T00:00:00"/>
    <d v="2024-10-31T00:00:00"/>
    <n v="200000"/>
    <n v="5714.2857142857147"/>
  </r>
  <r>
    <s v="P132"/>
    <x v="2"/>
    <d v="2025-03-04T00:00:00"/>
    <x v="2"/>
    <s v="Check out our latest story on instagram!"/>
    <n v="1947"/>
    <n v="842"/>
    <n v="101"/>
    <n v="21417"/>
    <n v="20967"/>
    <n v="186"/>
    <x v="5"/>
    <s v="FestiveRadiance"/>
    <n v="2890"/>
    <n v="0.13493953401503478"/>
    <x v="3"/>
    <d v="2025-03-01T00:00:00"/>
    <d v="2025-03-31T00:00:00"/>
    <n v="180000"/>
    <n v="5625"/>
  </r>
  <r>
    <s v="P133"/>
    <x v="3"/>
    <d v="2025-02-06T00:00:00"/>
    <x v="4"/>
    <s v="Check out our latest image on facebook!"/>
    <n v="2072"/>
    <n v="532"/>
    <n v="71"/>
    <n v="37296"/>
    <n v="36467"/>
    <n v="25"/>
    <x v="2"/>
    <s v="DailyWellness"/>
    <n v="2675"/>
    <n v="7.172350922350923E-2"/>
    <x v="0"/>
    <e v="#N/A"/>
    <e v="#N/A"/>
    <e v="#N/A"/>
    <n v="0"/>
  </r>
  <r>
    <s v="P134"/>
    <x v="0"/>
    <d v="2025-04-24T00:00:00"/>
    <x v="0"/>
    <s v="Check out our latest reel on twitter!"/>
    <n v="3731"/>
    <n v="115"/>
    <n v="135"/>
    <n v="55965"/>
    <n v="55436"/>
    <n v="103"/>
    <x v="2"/>
    <s v="SummerSplash"/>
    <n v="3981"/>
    <n v="7.1133744304476013E-2"/>
    <x v="0"/>
    <e v="#N/A"/>
    <e v="#N/A"/>
    <e v="#N/A"/>
    <n v="0"/>
  </r>
  <r>
    <s v="P135"/>
    <x v="3"/>
    <d v="2024-11-28T00:00:00"/>
    <x v="1"/>
    <s v="Check out our latest text on facebook!"/>
    <n v="4213"/>
    <n v="253"/>
    <n v="434"/>
    <n v="75834"/>
    <n v="75437"/>
    <n v="272"/>
    <x v="5"/>
    <s v="DailyWellness"/>
    <n v="4900"/>
    <n v="6.461481657304112E-2"/>
    <x v="0"/>
    <e v="#N/A"/>
    <e v="#N/A"/>
    <e v="#N/A"/>
    <n v="0"/>
  </r>
  <r>
    <s v="P136"/>
    <x v="2"/>
    <d v="2024-07-11T00:00:00"/>
    <x v="1"/>
    <s v="Check out our latest text on instagram!"/>
    <n v="3134"/>
    <n v="888"/>
    <n v="444"/>
    <n v="21938"/>
    <n v="21337"/>
    <n v="130"/>
    <x v="3"/>
    <s v="DailyWellness"/>
    <n v="4466"/>
    <n v="0.20357370772176134"/>
    <x v="1"/>
    <d v="2024-06-15T00:00:00"/>
    <d v="2024-07-15T00:00:00"/>
    <n v="150000"/>
    <n v="5555.5555555555557"/>
  </r>
  <r>
    <s v="P137"/>
    <x v="3"/>
    <d v="2024-07-31T00:00:00"/>
    <x v="5"/>
    <s v="Check out our latest video on facebook!"/>
    <n v="3008"/>
    <n v="94"/>
    <n v="37"/>
    <n v="15040"/>
    <n v="14639"/>
    <n v="277"/>
    <x v="5"/>
    <m/>
    <n v="3139"/>
    <n v="0.20871010638297871"/>
    <x v="0"/>
    <e v="#N/A"/>
    <e v="#N/A"/>
    <e v="#N/A"/>
    <n v="0"/>
  </r>
  <r>
    <s v="P138"/>
    <x v="0"/>
    <d v="2025-03-29T00:00:00"/>
    <x v="4"/>
    <s v="Check out our latest image on twitter!"/>
    <n v="305"/>
    <n v="187"/>
    <n v="243"/>
    <n v="4575"/>
    <n v="3704"/>
    <n v="234"/>
    <x v="5"/>
    <s v="NewYearRefresh"/>
    <n v="735"/>
    <n v="0.16065573770491803"/>
    <x v="3"/>
    <d v="2025-03-01T00:00:00"/>
    <d v="2025-03-31T00:00:00"/>
    <n v="180000"/>
    <n v="5625"/>
  </r>
  <r>
    <s v="P139"/>
    <x v="1"/>
    <d v="2024-10-29T00:00:00"/>
    <x v="1"/>
    <s v="Check out our latest text on youtube!"/>
    <n v="2746"/>
    <n v="156"/>
    <n v="203"/>
    <n v="32952"/>
    <n v="32147"/>
    <n v="147"/>
    <x v="3"/>
    <s v="SummerSplash"/>
    <n v="3105"/>
    <n v="9.422796795338674E-2"/>
    <x v="2"/>
    <d v="2024-10-01T00:00:00"/>
    <d v="2024-10-31T00:00:00"/>
    <n v="200000"/>
    <n v="5714.2857142857147"/>
  </r>
  <r>
    <s v="P140"/>
    <x v="3"/>
    <d v="2024-07-15T00:00:00"/>
    <x v="4"/>
    <s v="Check out our latest image on facebook!"/>
    <n v="2291"/>
    <n v="78"/>
    <n v="485"/>
    <n v="18328"/>
    <n v="18101"/>
    <n v="10"/>
    <x v="10"/>
    <s v="FestiveRadiance"/>
    <n v="2854"/>
    <n v="0.15571802706241816"/>
    <x v="1"/>
    <d v="2024-06-15T00:00:00"/>
    <d v="2024-07-15T00:00:00"/>
    <n v="150000"/>
    <n v="5555.5555555555557"/>
  </r>
  <r>
    <s v="P141"/>
    <x v="0"/>
    <d v="2024-08-31T00:00:00"/>
    <x v="4"/>
    <s v="Check out our latest image on twitter!"/>
    <n v="3170"/>
    <n v="857"/>
    <n v="379"/>
    <n v="19020"/>
    <n v="18559"/>
    <n v="240"/>
    <x v="5"/>
    <m/>
    <n v="4406"/>
    <n v="0.2316508937960042"/>
    <x v="0"/>
    <e v="#N/A"/>
    <e v="#N/A"/>
    <e v="#N/A"/>
    <n v="0"/>
  </r>
  <r>
    <s v="P142"/>
    <x v="1"/>
    <d v="2025-03-25T00:00:00"/>
    <x v="2"/>
    <s v="Check out our latest story on youtube!"/>
    <n v="2070"/>
    <n v="275"/>
    <n v="386"/>
    <n v="39330"/>
    <n v="38627"/>
    <n v="114"/>
    <x v="5"/>
    <s v="DailyWellness"/>
    <n v="2731"/>
    <n v="6.9438087973557078E-2"/>
    <x v="3"/>
    <d v="2025-03-01T00:00:00"/>
    <d v="2025-03-31T00:00:00"/>
    <n v="180000"/>
    <n v="5625"/>
  </r>
  <r>
    <s v="P143"/>
    <x v="1"/>
    <d v="2024-10-02T00:00:00"/>
    <x v="3"/>
    <s v="Check out our latest carousel on youtube!"/>
    <n v="80"/>
    <n v="362"/>
    <n v="80"/>
    <n v="1040"/>
    <n v="349"/>
    <n v="117"/>
    <x v="2"/>
    <s v="NewYearRefresh"/>
    <n v="522"/>
    <n v="0.50192307692307692"/>
    <x v="2"/>
    <d v="2024-10-01T00:00:00"/>
    <d v="2024-10-31T00:00:00"/>
    <n v="200000"/>
    <n v="5714.2857142857147"/>
  </r>
  <r>
    <s v="P144"/>
    <x v="1"/>
    <d v="2024-10-28T00:00:00"/>
    <x v="2"/>
    <s v="Check out our latest story on youtube!"/>
    <n v="4929"/>
    <n v="749"/>
    <n v="452"/>
    <n v="93651"/>
    <n v="92810"/>
    <n v="66"/>
    <x v="3"/>
    <s v="DailyWellness"/>
    <n v="6130"/>
    <n v="6.5455787978772245E-2"/>
    <x v="2"/>
    <d v="2024-10-01T00:00:00"/>
    <d v="2024-10-31T00:00:00"/>
    <n v="200000"/>
    <n v="5714.2857142857147"/>
  </r>
  <r>
    <s v="P145"/>
    <x v="2"/>
    <d v="2024-08-12T00:00:00"/>
    <x v="3"/>
    <s v="Check out our latest carousel on instagram!"/>
    <n v="1878"/>
    <n v="62"/>
    <n v="179"/>
    <n v="37560"/>
    <n v="36874"/>
    <n v="142"/>
    <x v="2"/>
    <s v="DailyWellness"/>
    <n v="2119"/>
    <n v="5.6416400425985093E-2"/>
    <x v="0"/>
    <e v="#N/A"/>
    <e v="#N/A"/>
    <e v="#N/A"/>
    <n v="0"/>
  </r>
  <r>
    <s v="P146"/>
    <x v="1"/>
    <d v="2024-06-05T00:00:00"/>
    <x v="0"/>
    <s v="Check out our latest reel on youtube!"/>
    <n v="3065"/>
    <n v="772"/>
    <n v="142"/>
    <n v="18390"/>
    <n v="17875"/>
    <n v="200"/>
    <x v="11"/>
    <m/>
    <n v="3979"/>
    <n v="0.21636759108210984"/>
    <x v="0"/>
    <e v="#N/A"/>
    <e v="#N/A"/>
    <e v="#N/A"/>
    <n v="0"/>
  </r>
  <r>
    <s v="P147"/>
    <x v="2"/>
    <d v="2024-10-21T00:00:00"/>
    <x v="0"/>
    <s v="Check out our latest reel on instagram!"/>
    <n v="3256"/>
    <n v="459"/>
    <n v="266"/>
    <n v="26048"/>
    <n v="25529"/>
    <n v="143"/>
    <x v="2"/>
    <s v="FestiveRadiance"/>
    <n v="3981"/>
    <n v="0.15283323095823095"/>
    <x v="2"/>
    <d v="2024-10-01T00:00:00"/>
    <d v="2024-10-31T00:00:00"/>
    <n v="200000"/>
    <n v="5714.2857142857147"/>
  </r>
  <r>
    <s v="P148"/>
    <x v="2"/>
    <d v="2025-04-15T00:00:00"/>
    <x v="5"/>
    <s v="Check out our latest video on instagram!"/>
    <n v="4133"/>
    <n v="466"/>
    <n v="327"/>
    <n v="24798"/>
    <n v="24620"/>
    <n v="176"/>
    <x v="3"/>
    <s v="DailyWellness"/>
    <n v="4926"/>
    <n v="0.19864505202032423"/>
    <x v="0"/>
    <e v="#N/A"/>
    <e v="#N/A"/>
    <e v="#N/A"/>
    <n v="0"/>
  </r>
  <r>
    <s v="P149"/>
    <x v="0"/>
    <d v="2024-06-16T00:00:00"/>
    <x v="5"/>
    <s v="Check out our latest video on twitter!"/>
    <n v="1702"/>
    <n v="750"/>
    <n v="179"/>
    <n v="34040"/>
    <n v="33174"/>
    <n v="76"/>
    <x v="3"/>
    <s v="SummerSplash"/>
    <n v="2631"/>
    <n v="7.7291421856639245E-2"/>
    <x v="1"/>
    <d v="2024-06-15T00:00:00"/>
    <d v="2024-07-15T00:00:00"/>
    <n v="150000"/>
    <n v="5555.5555555555557"/>
  </r>
  <r>
    <s v="P150"/>
    <x v="1"/>
    <d v="2024-08-22T00:00:00"/>
    <x v="3"/>
    <s v="Check out our latest carousel on youtube!"/>
    <n v="4295"/>
    <n v="853"/>
    <n v="325"/>
    <n v="85900"/>
    <n v="85788"/>
    <n v="290"/>
    <x v="2"/>
    <s v="DailyWellness"/>
    <n v="5473"/>
    <n v="6.3713620488940623E-2"/>
    <x v="0"/>
    <e v="#N/A"/>
    <e v="#N/A"/>
    <e v="#N/A"/>
    <n v="0"/>
  </r>
  <r>
    <s v="P151"/>
    <x v="2"/>
    <d v="2024-07-26T00:00:00"/>
    <x v="4"/>
    <s v="Check out our latest image on instagram!"/>
    <n v="3559"/>
    <n v="59"/>
    <n v="289"/>
    <n v="35590"/>
    <n v="35105"/>
    <n v="122"/>
    <x v="3"/>
    <s v="SummerSplash"/>
    <n v="3907"/>
    <n v="0.10977802753582468"/>
    <x v="0"/>
    <e v="#N/A"/>
    <e v="#N/A"/>
    <e v="#N/A"/>
    <n v="0"/>
  </r>
  <r>
    <s v="P152"/>
    <x v="3"/>
    <d v="2025-04-22T00:00:00"/>
    <x v="4"/>
    <s v="Check out our latest image on facebook!"/>
    <n v="4804"/>
    <n v="550"/>
    <n v="270"/>
    <n v="28824"/>
    <n v="28370"/>
    <n v="47"/>
    <x v="3"/>
    <s v="DailyWellness"/>
    <n v="5624"/>
    <n v="0.19511518179295032"/>
    <x v="0"/>
    <e v="#N/A"/>
    <e v="#N/A"/>
    <e v="#N/A"/>
    <n v="0"/>
  </r>
  <r>
    <s v="P153"/>
    <x v="0"/>
    <d v="2025-01-01T00:00:00"/>
    <x v="5"/>
    <s v="Check out our latest video on twitter!"/>
    <n v="754"/>
    <n v="197"/>
    <n v="257"/>
    <n v="6786"/>
    <n v="6221"/>
    <n v="212"/>
    <x v="2"/>
    <s v="NewYearRefresh"/>
    <n v="1208"/>
    <n v="0.17801355732390214"/>
    <x v="4"/>
    <d v="2024-12-25T00:00:00"/>
    <d v="2025-01-10T00:00:00"/>
    <n v="250000"/>
    <n v="25000"/>
  </r>
  <r>
    <s v="P154"/>
    <x v="2"/>
    <d v="2024-10-09T00:00:00"/>
    <x v="3"/>
    <s v="Check out our latest carousel on instagram!"/>
    <n v="985"/>
    <n v="932"/>
    <n v="287"/>
    <n v="6895"/>
    <n v="6757"/>
    <n v="64"/>
    <x v="5"/>
    <s v="DailyWellness"/>
    <n v="2204"/>
    <n v="0.31965192168237855"/>
    <x v="2"/>
    <d v="2024-10-01T00:00:00"/>
    <d v="2024-10-31T00:00:00"/>
    <n v="200000"/>
    <n v="5714.2857142857147"/>
  </r>
  <r>
    <s v="P155"/>
    <x v="1"/>
    <d v="2024-12-21T00:00:00"/>
    <x v="4"/>
    <s v="Check out our latest image on youtube!"/>
    <n v="2283"/>
    <n v="210"/>
    <n v="130"/>
    <n v="22830"/>
    <n v="22617"/>
    <n v="143"/>
    <x v="5"/>
    <s v="FestiveRadiance"/>
    <n v="2623"/>
    <n v="0.11489268506351293"/>
    <x v="0"/>
    <e v="#N/A"/>
    <e v="#N/A"/>
    <e v="#N/A"/>
    <n v="0"/>
  </r>
  <r>
    <s v="P156"/>
    <x v="3"/>
    <d v="2024-10-22T00:00:00"/>
    <x v="3"/>
    <s v="Check out our latest carousel on facebook!"/>
    <n v="3352"/>
    <n v="941"/>
    <n v="482"/>
    <n v="43576"/>
    <n v="43338"/>
    <n v="240"/>
    <x v="5"/>
    <s v="FestiveRadiance"/>
    <n v="4775"/>
    <n v="0.1095786671562328"/>
    <x v="2"/>
    <d v="2024-10-01T00:00:00"/>
    <d v="2024-10-31T00:00:00"/>
    <n v="200000"/>
    <n v="5714.2857142857147"/>
  </r>
  <r>
    <s v="P157"/>
    <x v="1"/>
    <d v="2024-07-23T00:00:00"/>
    <x v="2"/>
    <s v="Check out our latest story on youtube!"/>
    <n v="4775"/>
    <n v="173"/>
    <n v="206"/>
    <n v="47750"/>
    <n v="47544"/>
    <n v="187"/>
    <x v="5"/>
    <s v="FestiveRadiance"/>
    <n v="5154"/>
    <n v="0.10793717277486911"/>
    <x v="0"/>
    <e v="#N/A"/>
    <e v="#N/A"/>
    <e v="#N/A"/>
    <n v="0"/>
  </r>
  <r>
    <s v="P158"/>
    <x v="2"/>
    <d v="2024-08-11T00:00:00"/>
    <x v="2"/>
    <s v="Check out our latest story on instagram!"/>
    <n v="1762"/>
    <n v="405"/>
    <n v="423"/>
    <n v="22906"/>
    <n v="21925"/>
    <n v="25"/>
    <x v="2"/>
    <s v="SummerSplash"/>
    <n v="2590"/>
    <n v="0.11307081114118571"/>
    <x v="0"/>
    <e v="#N/A"/>
    <e v="#N/A"/>
    <e v="#N/A"/>
    <n v="0"/>
  </r>
  <r>
    <s v="P159"/>
    <x v="3"/>
    <d v="2024-11-25T00:00:00"/>
    <x v="2"/>
    <s v="Check out our latest story on facebook!"/>
    <n v="2120"/>
    <n v="158"/>
    <n v="488"/>
    <n v="12720"/>
    <n v="12085"/>
    <n v="17"/>
    <x v="5"/>
    <s v="FestiveRadiance"/>
    <n v="2766"/>
    <n v="0.21745283018867925"/>
    <x v="0"/>
    <e v="#N/A"/>
    <e v="#N/A"/>
    <e v="#N/A"/>
    <n v="0"/>
  </r>
  <r>
    <s v="P160"/>
    <x v="0"/>
    <d v="2024-08-24T00:00:00"/>
    <x v="5"/>
    <s v="Check out our latest video on twitter!"/>
    <n v="1082"/>
    <n v="209"/>
    <n v="484"/>
    <n v="19476"/>
    <n v="18654"/>
    <n v="20"/>
    <x v="2"/>
    <m/>
    <n v="1775"/>
    <n v="9.1137810638734856E-2"/>
    <x v="0"/>
    <e v="#N/A"/>
    <e v="#N/A"/>
    <e v="#N/A"/>
    <n v="0"/>
  </r>
  <r>
    <s v="P161"/>
    <x v="0"/>
    <d v="2025-02-19T00:00:00"/>
    <x v="1"/>
    <s v="Check out our latest text on twitter!"/>
    <n v="4671"/>
    <n v="876"/>
    <n v="366"/>
    <n v="51381"/>
    <n v="50565"/>
    <n v="245"/>
    <x v="2"/>
    <s v="DailyWellness"/>
    <n v="5913"/>
    <n v="0.11508145034156594"/>
    <x v="0"/>
    <e v="#N/A"/>
    <e v="#N/A"/>
    <e v="#N/A"/>
    <n v="0"/>
  </r>
  <r>
    <s v="P162"/>
    <x v="3"/>
    <d v="2025-04-01T00:00:00"/>
    <x v="2"/>
    <s v="Check out our latest story on facebook!"/>
    <n v="3430"/>
    <n v="566"/>
    <n v="164"/>
    <n v="48020"/>
    <n v="47305"/>
    <n v="120"/>
    <x v="5"/>
    <m/>
    <n v="4160"/>
    <n v="8.6630570595585168E-2"/>
    <x v="0"/>
    <e v="#N/A"/>
    <e v="#N/A"/>
    <e v="#N/A"/>
    <n v="0"/>
  </r>
  <r>
    <s v="P163"/>
    <x v="2"/>
    <d v="2025-04-08T00:00:00"/>
    <x v="4"/>
    <s v="Check out our latest image on instagram!"/>
    <n v="4501"/>
    <n v="375"/>
    <n v="323"/>
    <n v="22505"/>
    <n v="21836"/>
    <n v="132"/>
    <x v="2"/>
    <s v="FestiveRadiance"/>
    <n v="5199"/>
    <n v="0.23101532992668297"/>
    <x v="0"/>
    <e v="#N/A"/>
    <e v="#N/A"/>
    <e v="#N/A"/>
    <n v="0"/>
  </r>
  <r>
    <s v="P164"/>
    <x v="1"/>
    <d v="2025-02-27T00:00:00"/>
    <x v="1"/>
    <s v="Check out our latest text on youtube!"/>
    <n v="4934"/>
    <n v="971"/>
    <n v="156"/>
    <n v="39472"/>
    <n v="39025"/>
    <n v="169"/>
    <x v="6"/>
    <s v="DailyWellness"/>
    <n v="6061"/>
    <n v="0.15355188488042157"/>
    <x v="0"/>
    <e v="#N/A"/>
    <e v="#N/A"/>
    <e v="#N/A"/>
    <n v="0"/>
  </r>
  <r>
    <s v="P165"/>
    <x v="0"/>
    <d v="2024-12-11T00:00:00"/>
    <x v="1"/>
    <s v="Check out our latest text on twitter!"/>
    <n v="3239"/>
    <n v="43"/>
    <n v="211"/>
    <n v="22673"/>
    <n v="22171"/>
    <n v="230"/>
    <x v="2"/>
    <s v="FestiveRadiance"/>
    <n v="3493"/>
    <n v="0.15405989502933004"/>
    <x v="0"/>
    <e v="#N/A"/>
    <e v="#N/A"/>
    <e v="#N/A"/>
    <n v="0"/>
  </r>
  <r>
    <s v="P166"/>
    <x v="0"/>
    <d v="2025-02-16T00:00:00"/>
    <x v="0"/>
    <s v="Check out our latest reel on twitter!"/>
    <n v="1076"/>
    <n v="313"/>
    <n v="306"/>
    <n v="11836"/>
    <n v="11596"/>
    <n v="104"/>
    <x v="5"/>
    <s v="SummerSplash"/>
    <n v="1695"/>
    <n v="0.14320716458262928"/>
    <x v="0"/>
    <e v="#N/A"/>
    <e v="#N/A"/>
    <e v="#N/A"/>
    <n v="0"/>
  </r>
  <r>
    <s v="P167"/>
    <x v="2"/>
    <d v="2024-11-28T00:00:00"/>
    <x v="1"/>
    <s v="Check out our latest text on instagram!"/>
    <n v="4771"/>
    <n v="818"/>
    <n v="56"/>
    <n v="57252"/>
    <n v="56378"/>
    <n v="150"/>
    <x v="5"/>
    <m/>
    <n v="5645"/>
    <n v="9.859917557465242E-2"/>
    <x v="0"/>
    <e v="#N/A"/>
    <e v="#N/A"/>
    <e v="#N/A"/>
    <n v="0"/>
  </r>
  <r>
    <s v="P168"/>
    <x v="3"/>
    <d v="2024-11-12T00:00:00"/>
    <x v="1"/>
    <s v="Check out our latest text on facebook!"/>
    <n v="2418"/>
    <n v="754"/>
    <n v="54"/>
    <n v="43524"/>
    <n v="42743"/>
    <n v="182"/>
    <x v="3"/>
    <s v="SummerSplash"/>
    <n v="3226"/>
    <n v="7.412002573292896E-2"/>
    <x v="0"/>
    <e v="#N/A"/>
    <e v="#N/A"/>
    <e v="#N/A"/>
    <n v="0"/>
  </r>
  <r>
    <s v="P169"/>
    <x v="1"/>
    <d v="2024-12-03T00:00:00"/>
    <x v="5"/>
    <s v="Check out our latest video on youtube!"/>
    <n v="3809"/>
    <n v="273"/>
    <n v="200"/>
    <n v="34281"/>
    <n v="33534"/>
    <n v="83"/>
    <x v="3"/>
    <s v="SummerSplash"/>
    <n v="4282"/>
    <n v="0.12490884163239112"/>
    <x v="0"/>
    <e v="#N/A"/>
    <e v="#N/A"/>
    <e v="#N/A"/>
    <n v="0"/>
  </r>
  <r>
    <s v="P170"/>
    <x v="0"/>
    <d v="2025-04-28T00:00:00"/>
    <x v="1"/>
    <s v="Check out our latest text on twitter!"/>
    <n v="3577"/>
    <n v="596"/>
    <n v="493"/>
    <n v="67963"/>
    <n v="67839"/>
    <n v="53"/>
    <x v="2"/>
    <s v="NewYearRefresh"/>
    <n v="4666"/>
    <n v="6.8655003457763777E-2"/>
    <x v="0"/>
    <e v="#N/A"/>
    <e v="#N/A"/>
    <e v="#N/A"/>
    <n v="0"/>
  </r>
  <r>
    <s v="P171"/>
    <x v="1"/>
    <d v="2024-12-31T00:00:00"/>
    <x v="5"/>
    <s v="Check out our latest video on youtube!"/>
    <n v="1018"/>
    <n v="447"/>
    <n v="332"/>
    <n v="18324"/>
    <n v="18164"/>
    <n v="38"/>
    <x v="5"/>
    <s v="FestiveRadiance"/>
    <n v="1797"/>
    <n v="9.8068107400130972E-2"/>
    <x v="4"/>
    <d v="2024-12-25T00:00:00"/>
    <d v="2025-01-10T00:00:00"/>
    <n v="250000"/>
    <n v="25000"/>
  </r>
  <r>
    <s v="P172"/>
    <x v="3"/>
    <d v="2024-08-14T00:00:00"/>
    <x v="3"/>
    <s v="Check out our latest carousel on facebook!"/>
    <n v="3073"/>
    <n v="553"/>
    <n v="174"/>
    <n v="52241"/>
    <n v="51605"/>
    <n v="246"/>
    <x v="3"/>
    <s v="NewYearRefresh"/>
    <n v="3800"/>
    <n v="7.2739802071170159E-2"/>
    <x v="0"/>
    <e v="#N/A"/>
    <e v="#N/A"/>
    <e v="#N/A"/>
    <n v="0"/>
  </r>
  <r>
    <s v="P173"/>
    <x v="0"/>
    <d v="2024-12-05T00:00:00"/>
    <x v="5"/>
    <s v="Check out our latest video on twitter!"/>
    <n v="1330"/>
    <n v="925"/>
    <n v="35"/>
    <n v="15960"/>
    <n v="15379"/>
    <n v="229"/>
    <x v="5"/>
    <s v="NewYearRefresh"/>
    <n v="2290"/>
    <n v="0.14348370927318296"/>
    <x v="0"/>
    <e v="#N/A"/>
    <e v="#N/A"/>
    <e v="#N/A"/>
    <n v="0"/>
  </r>
  <r>
    <s v="P174"/>
    <x v="3"/>
    <d v="2024-06-22T00:00:00"/>
    <x v="1"/>
    <s v="Check out our latest text on facebook!"/>
    <n v="3828"/>
    <n v="148"/>
    <n v="253"/>
    <n v="30624"/>
    <n v="30229"/>
    <n v="235"/>
    <x v="3"/>
    <m/>
    <n v="4229"/>
    <n v="0.13809430512016718"/>
    <x v="1"/>
    <d v="2024-06-15T00:00:00"/>
    <d v="2024-07-15T00:00:00"/>
    <n v="150000"/>
    <n v="5555.5555555555557"/>
  </r>
  <r>
    <s v="P175"/>
    <x v="2"/>
    <d v="2025-01-17T00:00:00"/>
    <x v="0"/>
    <s v="Check out our latest reel on instagram!"/>
    <n v="142"/>
    <n v="784"/>
    <n v="183"/>
    <n v="1704"/>
    <n v="995"/>
    <n v="154"/>
    <x v="5"/>
    <s v="DailyWellness"/>
    <n v="1109"/>
    <n v="0.6508215962441315"/>
    <x v="0"/>
    <e v="#N/A"/>
    <e v="#N/A"/>
    <e v="#N/A"/>
    <n v="0"/>
  </r>
  <r>
    <s v="P176"/>
    <x v="3"/>
    <d v="2024-06-20T00:00:00"/>
    <x v="5"/>
    <s v="Check out our latest video on facebook!"/>
    <n v="3798"/>
    <n v="31"/>
    <n v="279"/>
    <n v="75960"/>
    <n v="75813"/>
    <n v="266"/>
    <x v="2"/>
    <s v="SummerSplash"/>
    <n v="4108"/>
    <n v="5.4081095313322801E-2"/>
    <x v="1"/>
    <d v="2024-06-15T00:00:00"/>
    <d v="2024-07-15T00:00:00"/>
    <n v="150000"/>
    <n v="5555.5555555555557"/>
  </r>
  <r>
    <s v="P177"/>
    <x v="2"/>
    <d v="2024-07-10T00:00:00"/>
    <x v="3"/>
    <s v="Check out our latest carousel on instagram!"/>
    <n v="3099"/>
    <n v="694"/>
    <n v="171"/>
    <n v="43386"/>
    <n v="42921"/>
    <n v="52"/>
    <x v="2"/>
    <s v="NewYearRefresh"/>
    <n v="3964"/>
    <n v="9.1365878393951966E-2"/>
    <x v="1"/>
    <d v="2024-06-15T00:00:00"/>
    <d v="2024-07-15T00:00:00"/>
    <n v="150000"/>
    <n v="5555.5555555555557"/>
  </r>
  <r>
    <s v="P178"/>
    <x v="2"/>
    <d v="2024-11-07T00:00:00"/>
    <x v="5"/>
    <s v="Check out our latest video on instagram!"/>
    <n v="129"/>
    <n v="643"/>
    <n v="136"/>
    <n v="1290"/>
    <n v="839"/>
    <n v="238"/>
    <x v="2"/>
    <s v="DailyWellness"/>
    <n v="908"/>
    <n v="0.70387596899224802"/>
    <x v="0"/>
    <e v="#N/A"/>
    <e v="#N/A"/>
    <e v="#N/A"/>
    <n v="0"/>
  </r>
  <r>
    <s v="P179"/>
    <x v="3"/>
    <d v="2024-07-15T00:00:00"/>
    <x v="3"/>
    <s v="Check out our latest carousel on facebook!"/>
    <n v="3796"/>
    <n v="667"/>
    <n v="395"/>
    <n v="64532"/>
    <n v="63550"/>
    <n v="292"/>
    <x v="2"/>
    <m/>
    <n v="4858"/>
    <n v="7.5280481001673588E-2"/>
    <x v="1"/>
    <d v="2024-06-15T00:00:00"/>
    <d v="2024-07-15T00:00:00"/>
    <n v="150000"/>
    <n v="5555.5555555555557"/>
  </r>
  <r>
    <s v="P180"/>
    <x v="1"/>
    <d v="2024-12-03T00:00:00"/>
    <x v="1"/>
    <s v="Check out our latest text on youtube!"/>
    <n v="3711"/>
    <n v="352"/>
    <n v="290"/>
    <n v="48243"/>
    <n v="47579"/>
    <n v="11"/>
    <x v="2"/>
    <s v="SummerSplash"/>
    <n v="4353"/>
    <n v="9.023070704558174E-2"/>
    <x v="0"/>
    <e v="#N/A"/>
    <e v="#N/A"/>
    <e v="#N/A"/>
    <n v="0"/>
  </r>
  <r>
    <s v="P181"/>
    <x v="1"/>
    <d v="2025-03-21T00:00:00"/>
    <x v="4"/>
    <s v="Check out our latest image on youtube!"/>
    <n v="606"/>
    <n v="789"/>
    <n v="470"/>
    <n v="7878"/>
    <n v="7389"/>
    <n v="239"/>
    <x v="3"/>
    <s v="NewYearRefresh"/>
    <n v="1865"/>
    <n v="0.23673521198273673"/>
    <x v="3"/>
    <d v="2025-03-01T00:00:00"/>
    <d v="2025-03-31T00:00:00"/>
    <n v="180000"/>
    <n v="5625"/>
  </r>
  <r>
    <s v="P182"/>
    <x v="3"/>
    <d v="2024-07-31T00:00:00"/>
    <x v="4"/>
    <s v="Check out our latest image on facebook!"/>
    <n v="4689"/>
    <n v="134"/>
    <n v="403"/>
    <n v="51579"/>
    <n v="50924"/>
    <n v="173"/>
    <x v="2"/>
    <s v="DailyWellness"/>
    <n v="5226"/>
    <n v="0.10132030477519921"/>
    <x v="0"/>
    <e v="#N/A"/>
    <e v="#N/A"/>
    <e v="#N/A"/>
    <n v="0"/>
  </r>
  <r>
    <s v="P183"/>
    <x v="2"/>
    <d v="2024-12-17T00:00:00"/>
    <x v="2"/>
    <s v="Check out our latest story on instagram!"/>
    <n v="360"/>
    <n v="590"/>
    <n v="393"/>
    <n v="4680"/>
    <n v="4322"/>
    <n v="208"/>
    <x v="5"/>
    <s v="FestiveRadiance"/>
    <n v="1343"/>
    <n v="0.28696581196581195"/>
    <x v="0"/>
    <e v="#N/A"/>
    <e v="#N/A"/>
    <e v="#N/A"/>
    <n v="0"/>
  </r>
  <r>
    <s v="P184"/>
    <x v="0"/>
    <d v="2024-07-28T00:00:00"/>
    <x v="4"/>
    <s v="Check out our latest image on twitter!"/>
    <n v="3215"/>
    <n v="960"/>
    <n v="202"/>
    <n v="32150"/>
    <n v="31404"/>
    <n v="251"/>
    <x v="3"/>
    <s v="SummerSplash"/>
    <n v="4377"/>
    <n v="0.13614307931570763"/>
    <x v="0"/>
    <e v="#N/A"/>
    <e v="#N/A"/>
    <e v="#N/A"/>
    <n v="0"/>
  </r>
  <r>
    <s v="P185"/>
    <x v="2"/>
    <d v="2025-01-11T00:00:00"/>
    <x v="3"/>
    <s v="Check out our latest carousel on instagram!"/>
    <n v="4523"/>
    <n v="61"/>
    <n v="157"/>
    <n v="49753"/>
    <n v="49329"/>
    <n v="71"/>
    <x v="3"/>
    <m/>
    <n v="4741"/>
    <n v="9.5290736237010829E-2"/>
    <x v="0"/>
    <e v="#N/A"/>
    <e v="#N/A"/>
    <e v="#N/A"/>
    <n v="0"/>
  </r>
  <r>
    <s v="P186"/>
    <x v="3"/>
    <d v="2024-08-24T00:00:00"/>
    <x v="3"/>
    <s v="Check out our latest carousel on facebook!"/>
    <n v="4292"/>
    <n v="51"/>
    <n v="392"/>
    <n v="55796"/>
    <n v="54826"/>
    <n v="264"/>
    <x v="3"/>
    <s v="NewYearRefresh"/>
    <n v="4735"/>
    <n v="8.4862714173059003E-2"/>
    <x v="0"/>
    <e v="#N/A"/>
    <e v="#N/A"/>
    <e v="#N/A"/>
    <n v="0"/>
  </r>
  <r>
    <s v="P187"/>
    <x v="0"/>
    <d v="2024-12-22T00:00:00"/>
    <x v="0"/>
    <s v="Check out our latest reel on twitter!"/>
    <n v="1644"/>
    <n v="546"/>
    <n v="150"/>
    <n v="27948"/>
    <n v="27184"/>
    <n v="300"/>
    <x v="3"/>
    <s v="NewYearRefresh"/>
    <n v="2340"/>
    <n v="8.3726921425504502E-2"/>
    <x v="0"/>
    <e v="#N/A"/>
    <e v="#N/A"/>
    <e v="#N/A"/>
    <n v="0"/>
  </r>
  <r>
    <s v="P188"/>
    <x v="1"/>
    <d v="2024-06-06T00:00:00"/>
    <x v="0"/>
    <s v="Check out our latest reel on youtube!"/>
    <n v="2728"/>
    <n v="533"/>
    <n v="215"/>
    <n v="40920"/>
    <n v="40816"/>
    <n v="137"/>
    <x v="5"/>
    <s v="FestiveRadiance"/>
    <n v="3476"/>
    <n v="8.4946236559139784E-2"/>
    <x v="0"/>
    <e v="#N/A"/>
    <e v="#N/A"/>
    <e v="#N/A"/>
    <n v="0"/>
  </r>
  <r>
    <s v="P189"/>
    <x v="3"/>
    <d v="2025-03-24T00:00:00"/>
    <x v="0"/>
    <s v="Check out our latest reel on facebook!"/>
    <n v="3360"/>
    <n v="525"/>
    <n v="500"/>
    <n v="60480"/>
    <n v="59610"/>
    <n v="192"/>
    <x v="2"/>
    <s v="SummerSplash"/>
    <n v="4385"/>
    <n v="7.2503306878306875E-2"/>
    <x v="3"/>
    <d v="2025-03-01T00:00:00"/>
    <d v="2025-03-31T00:00:00"/>
    <n v="180000"/>
    <n v="5625"/>
  </r>
  <r>
    <s v="P190"/>
    <x v="1"/>
    <d v="2024-10-04T00:00:00"/>
    <x v="1"/>
    <s v="Check out our latest text on youtube!"/>
    <n v="1963"/>
    <n v="213"/>
    <n v="19"/>
    <n v="39260"/>
    <n v="38771"/>
    <n v="145"/>
    <x v="5"/>
    <m/>
    <n v="2195"/>
    <n v="5.5909322465613857E-2"/>
    <x v="2"/>
    <d v="2024-10-01T00:00:00"/>
    <d v="2024-10-31T00:00:00"/>
    <n v="200000"/>
    <n v="5714.2857142857147"/>
  </r>
  <r>
    <s v="P191"/>
    <x v="1"/>
    <d v="2024-12-03T00:00:00"/>
    <x v="2"/>
    <s v="Check out our latest story on youtube!"/>
    <n v="4285"/>
    <n v="886"/>
    <n v="376"/>
    <n v="55705"/>
    <n v="55556"/>
    <n v="51"/>
    <x v="5"/>
    <s v="NewYearRefresh"/>
    <n v="5547"/>
    <n v="9.9578134817341346E-2"/>
    <x v="0"/>
    <e v="#N/A"/>
    <e v="#N/A"/>
    <e v="#N/A"/>
    <n v="0"/>
  </r>
  <r>
    <s v="P192"/>
    <x v="2"/>
    <d v="2024-11-29T00:00:00"/>
    <x v="5"/>
    <s v="Check out our latest video on instagram!"/>
    <n v="1176"/>
    <n v="464"/>
    <n v="394"/>
    <n v="14112"/>
    <n v="13588"/>
    <n v="272"/>
    <x v="3"/>
    <m/>
    <n v="2034"/>
    <n v="0.1441326530612245"/>
    <x v="0"/>
    <e v="#N/A"/>
    <e v="#N/A"/>
    <e v="#N/A"/>
    <n v="0"/>
  </r>
  <r>
    <s v="P193"/>
    <x v="0"/>
    <d v="2024-09-11T00:00:00"/>
    <x v="4"/>
    <s v="Check out our latest image on twitter!"/>
    <n v="4858"/>
    <n v="317"/>
    <n v="129"/>
    <n v="53438"/>
    <n v="52687"/>
    <n v="223"/>
    <x v="3"/>
    <s v="NewYearRefresh"/>
    <n v="5304"/>
    <n v="9.9255211647142488E-2"/>
    <x v="0"/>
    <e v="#N/A"/>
    <e v="#N/A"/>
    <e v="#N/A"/>
    <n v="0"/>
  </r>
  <r>
    <s v="P194"/>
    <x v="1"/>
    <d v="2024-10-02T00:00:00"/>
    <x v="2"/>
    <s v="Check out our latest story on youtube!"/>
    <n v="4350"/>
    <n v="771"/>
    <n v="7"/>
    <n v="60900"/>
    <n v="60592"/>
    <n v="195"/>
    <x v="3"/>
    <s v="SummerSplash"/>
    <n v="5128"/>
    <n v="8.4203612479474554E-2"/>
    <x v="2"/>
    <d v="2024-10-01T00:00:00"/>
    <d v="2024-10-31T00:00:00"/>
    <n v="200000"/>
    <n v="5714.2857142857147"/>
  </r>
  <r>
    <s v="P195"/>
    <x v="2"/>
    <d v="2024-08-15T00:00:00"/>
    <x v="3"/>
    <s v="Check out our latest carousel on instagram!"/>
    <n v="914"/>
    <n v="464"/>
    <n v="246"/>
    <n v="11882"/>
    <n v="11500"/>
    <n v="282"/>
    <x v="9"/>
    <s v="DailyWellness"/>
    <n v="1624"/>
    <n v="0.13667732704931829"/>
    <x v="0"/>
    <e v="#N/A"/>
    <e v="#N/A"/>
    <e v="#N/A"/>
    <n v="0"/>
  </r>
  <r>
    <s v="P196"/>
    <x v="2"/>
    <d v="2024-12-19T00:00:00"/>
    <x v="1"/>
    <s v="Check out our latest text on instagram!"/>
    <n v="1813"/>
    <n v="623"/>
    <n v="72"/>
    <n v="19943"/>
    <n v="18959"/>
    <n v="85"/>
    <x v="3"/>
    <s v="NewYearRefresh"/>
    <n v="2508"/>
    <n v="0.12575841147269717"/>
    <x v="0"/>
    <e v="#N/A"/>
    <e v="#N/A"/>
    <e v="#N/A"/>
    <n v="0"/>
  </r>
  <r>
    <s v="P197"/>
    <x v="0"/>
    <d v="2024-10-22T00:00:00"/>
    <x v="0"/>
    <s v="Check out our latest reel on twitter!"/>
    <n v="4782"/>
    <n v="721"/>
    <n v="82"/>
    <n v="86076"/>
    <n v="85339"/>
    <n v="19"/>
    <x v="3"/>
    <s v="SummerSplash"/>
    <n v="5585"/>
    <n v="6.4884520656164318E-2"/>
    <x v="2"/>
    <d v="2024-10-01T00:00:00"/>
    <d v="2024-10-31T00:00:00"/>
    <n v="200000"/>
    <n v="5714.2857142857147"/>
  </r>
  <r>
    <s v="P198"/>
    <x v="0"/>
    <d v="2024-09-14T00:00:00"/>
    <x v="4"/>
    <s v="Check out our latest image on twitter!"/>
    <n v="1048"/>
    <n v="374"/>
    <n v="450"/>
    <n v="9432"/>
    <n v="8882"/>
    <n v="158"/>
    <x v="2"/>
    <s v="NewYearRefresh"/>
    <n v="1872"/>
    <n v="0.19847328244274809"/>
    <x v="0"/>
    <e v="#N/A"/>
    <e v="#N/A"/>
    <e v="#N/A"/>
    <n v="0"/>
  </r>
  <r>
    <s v="P199"/>
    <x v="1"/>
    <d v="2024-11-30T00:00:00"/>
    <x v="3"/>
    <s v="Check out our latest carousel on youtube!"/>
    <n v="2509"/>
    <n v="324"/>
    <n v="171"/>
    <n v="35126"/>
    <n v="34685"/>
    <n v="277"/>
    <x v="2"/>
    <s v="FestiveRadiance"/>
    <n v="3004"/>
    <n v="8.5520696919660646E-2"/>
    <x v="0"/>
    <e v="#N/A"/>
    <e v="#N/A"/>
    <e v="#N/A"/>
    <n v="0"/>
  </r>
  <r>
    <s v="P200"/>
    <x v="3"/>
    <d v="2025-04-07T00:00:00"/>
    <x v="0"/>
    <s v="Check out our latest reel on facebook!"/>
    <n v="3718"/>
    <n v="385"/>
    <n v="310"/>
    <n v="70642"/>
    <n v="69749"/>
    <n v="233"/>
    <x v="2"/>
    <s v="FestiveRadiance"/>
    <n v="4413"/>
    <n v="6.246991874522239E-2"/>
    <x v="0"/>
    <e v="#N/A"/>
    <e v="#N/A"/>
    <e v="#N/A"/>
    <n v="0"/>
  </r>
  <r>
    <s v="P201"/>
    <x v="0"/>
    <d v="2025-01-15T00:00:00"/>
    <x v="0"/>
    <s v="Check out our latest reel on twitter!"/>
    <n v="802"/>
    <n v="262"/>
    <n v="244"/>
    <n v="14436"/>
    <n v="14280"/>
    <n v="49"/>
    <x v="3"/>
    <s v="SummerSplash"/>
    <n v="1308"/>
    <n v="9.0606816292601824E-2"/>
    <x v="0"/>
    <e v="#N/A"/>
    <e v="#N/A"/>
    <e v="#N/A"/>
    <n v="0"/>
  </r>
  <r>
    <s v="P202"/>
    <x v="3"/>
    <d v="2024-06-02T00:00:00"/>
    <x v="4"/>
    <s v="Check out our latest image on facebook!"/>
    <n v="1871"/>
    <n v="252"/>
    <n v="335"/>
    <n v="29936"/>
    <n v="29576"/>
    <n v="288"/>
    <x v="3"/>
    <s v="NewYearRefresh"/>
    <n v="2458"/>
    <n v="8.2108498129342594E-2"/>
    <x v="0"/>
    <e v="#N/A"/>
    <e v="#N/A"/>
    <e v="#N/A"/>
    <n v="0"/>
  </r>
  <r>
    <s v="P203"/>
    <x v="2"/>
    <d v="2024-11-21T00:00:00"/>
    <x v="3"/>
    <s v="Check out our latest carousel on instagram!"/>
    <n v="3773"/>
    <n v="299"/>
    <n v="38"/>
    <n v="71687"/>
    <n v="71447"/>
    <n v="286"/>
    <x v="5"/>
    <s v="SummerSplash"/>
    <n v="4110"/>
    <n v="5.7332570758993957E-2"/>
    <x v="0"/>
    <e v="#N/A"/>
    <e v="#N/A"/>
    <e v="#N/A"/>
    <n v="0"/>
  </r>
  <r>
    <s v="P204"/>
    <x v="2"/>
    <d v="2025-01-01T00:00:00"/>
    <x v="3"/>
    <s v="Check out our latest carousel on instagram!"/>
    <n v="2234"/>
    <n v="653"/>
    <n v="432"/>
    <n v="11170"/>
    <n v="10569"/>
    <n v="198"/>
    <x v="5"/>
    <s v="NewYearRefresh"/>
    <n v="3319"/>
    <n v="0.29713518352730528"/>
    <x v="4"/>
    <d v="2024-12-25T00:00:00"/>
    <d v="2025-01-10T00:00:00"/>
    <n v="250000"/>
    <n v="25000"/>
  </r>
  <r>
    <s v="P205"/>
    <x v="0"/>
    <d v="2025-04-24T00:00:00"/>
    <x v="5"/>
    <s v="Check out our latest video on twitter!"/>
    <n v="3820"/>
    <n v="697"/>
    <n v="268"/>
    <n v="45840"/>
    <n v="45631"/>
    <n v="171"/>
    <x v="12"/>
    <s v="DailyWellness"/>
    <n v="4785"/>
    <n v="0.1043848167539267"/>
    <x v="0"/>
    <e v="#N/A"/>
    <e v="#N/A"/>
    <e v="#N/A"/>
    <n v="0"/>
  </r>
  <r>
    <s v="P206"/>
    <x v="0"/>
    <d v="2024-06-24T00:00:00"/>
    <x v="1"/>
    <s v="Check out our latest text on twitter!"/>
    <n v="941"/>
    <n v="121"/>
    <n v="458"/>
    <n v="14115"/>
    <n v="13838"/>
    <n v="87"/>
    <x v="3"/>
    <s v="SummerSplash"/>
    <n v="1520"/>
    <n v="0.10768685795253277"/>
    <x v="1"/>
    <d v="2024-06-15T00:00:00"/>
    <d v="2024-07-15T00:00:00"/>
    <n v="150000"/>
    <n v="5555.5555555555557"/>
  </r>
  <r>
    <s v="P207"/>
    <x v="0"/>
    <d v="2024-12-29T00:00:00"/>
    <x v="3"/>
    <s v="Check out our latest carousel on twitter!"/>
    <n v="4274"/>
    <n v="340"/>
    <n v="281"/>
    <n v="34192"/>
    <n v="33446"/>
    <n v="129"/>
    <x v="12"/>
    <s v="NewYearRefresh"/>
    <n v="4895"/>
    <n v="0.14316214319138981"/>
    <x v="4"/>
    <d v="2024-12-25T00:00:00"/>
    <d v="2025-01-10T00:00:00"/>
    <n v="250000"/>
    <n v="25000"/>
  </r>
  <r>
    <s v="P208"/>
    <x v="1"/>
    <d v="2024-06-24T00:00:00"/>
    <x v="5"/>
    <s v="Check out our latest video on youtube!"/>
    <n v="2949"/>
    <n v="476"/>
    <n v="403"/>
    <n v="44235"/>
    <n v="43705"/>
    <n v="135"/>
    <x v="2"/>
    <s v="FestiveRadiance"/>
    <n v="3828"/>
    <n v="8.6537809426924378E-2"/>
    <x v="1"/>
    <d v="2024-06-15T00:00:00"/>
    <d v="2024-07-15T00:00:00"/>
    <n v="150000"/>
    <n v="5555.5555555555557"/>
  </r>
  <r>
    <s v="P209"/>
    <x v="0"/>
    <d v="2025-03-19T00:00:00"/>
    <x v="5"/>
    <s v="Check out our latest video on twitter!"/>
    <n v="3160"/>
    <n v="204"/>
    <n v="297"/>
    <n v="44240"/>
    <n v="43666"/>
    <n v="49"/>
    <x v="0"/>
    <s v="DailyWellness"/>
    <n v="3661"/>
    <n v="8.2753164556962022E-2"/>
    <x v="3"/>
    <d v="2025-03-01T00:00:00"/>
    <d v="2025-03-31T00:00:00"/>
    <n v="180000"/>
    <n v="5625"/>
  </r>
  <r>
    <s v="P210"/>
    <x v="1"/>
    <d v="2025-02-19T00:00:00"/>
    <x v="4"/>
    <s v="Check out our latest image on youtube!"/>
    <n v="257"/>
    <n v="966"/>
    <n v="398"/>
    <n v="3341"/>
    <n v="2753"/>
    <n v="287"/>
    <x v="5"/>
    <s v="SummerSplash"/>
    <n v="1621"/>
    <n v="0.48518407662376534"/>
    <x v="0"/>
    <e v="#N/A"/>
    <e v="#N/A"/>
    <e v="#N/A"/>
    <n v="0"/>
  </r>
  <r>
    <s v="P211"/>
    <x v="0"/>
    <d v="2024-07-18T00:00:00"/>
    <x v="3"/>
    <s v="Check out our latest carousel on twitter!"/>
    <n v="2120"/>
    <n v="38"/>
    <n v="212"/>
    <n v="12720"/>
    <n v="12564"/>
    <n v="21"/>
    <x v="5"/>
    <s v="DailyWellness"/>
    <n v="2370"/>
    <n v="0.18632075471698112"/>
    <x v="0"/>
    <e v="#N/A"/>
    <e v="#N/A"/>
    <e v="#N/A"/>
    <n v="0"/>
  </r>
  <r>
    <s v="P212"/>
    <x v="1"/>
    <d v="2025-03-03T00:00:00"/>
    <x v="5"/>
    <s v="Check out our latest video on youtube!"/>
    <n v="3874"/>
    <n v="884"/>
    <n v="19"/>
    <n v="38740"/>
    <n v="38552"/>
    <n v="219"/>
    <x v="2"/>
    <s v="FestiveRadiance"/>
    <n v="4777"/>
    <n v="0.123309241094476"/>
    <x v="3"/>
    <d v="2025-03-01T00:00:00"/>
    <d v="2025-03-31T00:00:00"/>
    <n v="180000"/>
    <n v="5625"/>
  </r>
  <r>
    <s v="P213"/>
    <x v="3"/>
    <d v="2025-05-01T00:00:00"/>
    <x v="3"/>
    <s v="Check out our latest carousel on facebook!"/>
    <n v="2696"/>
    <n v="628"/>
    <n v="443"/>
    <n v="45832"/>
    <n v="45632"/>
    <n v="248"/>
    <x v="3"/>
    <s v="DailyWellness"/>
    <n v="3767"/>
    <n v="8.21914819340199E-2"/>
    <x v="0"/>
    <e v="#N/A"/>
    <e v="#N/A"/>
    <e v="#N/A"/>
    <n v="0"/>
  </r>
  <r>
    <s v="P214"/>
    <x v="2"/>
    <d v="2024-12-23T00:00:00"/>
    <x v="4"/>
    <s v="Check out our latest image on instagram!"/>
    <n v="521"/>
    <n v="746"/>
    <n v="315"/>
    <n v="4168"/>
    <n v="3399"/>
    <n v="282"/>
    <x v="5"/>
    <s v="FestiveRadiance"/>
    <n v="1582"/>
    <n v="0.37955854126679461"/>
    <x v="0"/>
    <e v="#N/A"/>
    <e v="#N/A"/>
    <e v="#N/A"/>
    <n v="0"/>
  </r>
  <r>
    <s v="P215"/>
    <x v="3"/>
    <d v="2025-05-06T00:00:00"/>
    <x v="4"/>
    <s v="Check out our latest image on facebook!"/>
    <n v="4872"/>
    <n v="925"/>
    <n v="176"/>
    <n v="82824"/>
    <n v="82543"/>
    <n v="89"/>
    <x v="3"/>
    <s v="FestiveRadiance"/>
    <n v="5973"/>
    <n v="7.2116777745580993E-2"/>
    <x v="0"/>
    <e v="#N/A"/>
    <e v="#N/A"/>
    <e v="#N/A"/>
    <n v="0"/>
  </r>
  <r>
    <s v="P216"/>
    <x v="1"/>
    <d v="2024-07-29T00:00:00"/>
    <x v="2"/>
    <s v="Check out our latest story on youtube!"/>
    <n v="1509"/>
    <n v="88"/>
    <n v="163"/>
    <n v="30180"/>
    <n v="29689"/>
    <n v="119"/>
    <x v="3"/>
    <s v="FestiveRadiance"/>
    <n v="1760"/>
    <n v="5.8316766070245198E-2"/>
    <x v="0"/>
    <e v="#N/A"/>
    <e v="#N/A"/>
    <e v="#N/A"/>
    <n v="0"/>
  </r>
  <r>
    <s v="P217"/>
    <x v="3"/>
    <d v="2024-12-03T00:00:00"/>
    <x v="4"/>
    <s v="Check out our latest image on facebook!"/>
    <n v="4606"/>
    <n v="931"/>
    <n v="230"/>
    <n v="92120"/>
    <n v="91440"/>
    <n v="56"/>
    <x v="2"/>
    <m/>
    <n v="5767"/>
    <n v="6.2603126356925748E-2"/>
    <x v="0"/>
    <e v="#N/A"/>
    <e v="#N/A"/>
    <e v="#N/A"/>
    <n v="0"/>
  </r>
  <r>
    <s v="P218"/>
    <x v="3"/>
    <d v="2024-06-11T00:00:00"/>
    <x v="3"/>
    <s v="Check out our latest carousel on facebook!"/>
    <n v="1869"/>
    <n v="453"/>
    <n v="490"/>
    <n v="14952"/>
    <n v="14309"/>
    <n v="275"/>
    <x v="2"/>
    <s v="DailyWellness"/>
    <n v="2812"/>
    <n v="0.18806848582129482"/>
    <x v="0"/>
    <e v="#N/A"/>
    <e v="#N/A"/>
    <e v="#N/A"/>
    <n v="0"/>
  </r>
  <r>
    <s v="P219"/>
    <x v="0"/>
    <d v="2025-01-28T00:00:00"/>
    <x v="0"/>
    <s v="Check out our latest reel on twitter!"/>
    <n v="1188"/>
    <n v="470"/>
    <n v="174"/>
    <n v="7128"/>
    <n v="6145"/>
    <n v="270"/>
    <x v="2"/>
    <s v="DailyWellness"/>
    <n v="1832"/>
    <n v="0.25701459034792368"/>
    <x v="0"/>
    <e v="#N/A"/>
    <e v="#N/A"/>
    <e v="#N/A"/>
    <n v="0"/>
  </r>
  <r>
    <s v="P220"/>
    <x v="2"/>
    <d v="2024-06-02T00:00:00"/>
    <x v="2"/>
    <s v="Check out our latest story on instagram!"/>
    <n v="84"/>
    <n v="897"/>
    <n v="85"/>
    <n v="588"/>
    <n v="8"/>
    <n v="12"/>
    <x v="3"/>
    <m/>
    <n v="1066"/>
    <n v="1.8129251700680271"/>
    <x v="0"/>
    <e v="#N/A"/>
    <e v="#N/A"/>
    <e v="#N/A"/>
    <n v="0"/>
  </r>
  <r>
    <s v="P221"/>
    <x v="3"/>
    <d v="2025-03-23T00:00:00"/>
    <x v="5"/>
    <s v="Check out our latest video on facebook!"/>
    <n v="4453"/>
    <n v="111"/>
    <n v="420"/>
    <n v="31171"/>
    <n v="30565"/>
    <n v="23"/>
    <x v="2"/>
    <m/>
    <n v="4984"/>
    <n v="0.15989220750056141"/>
    <x v="3"/>
    <d v="2025-03-01T00:00:00"/>
    <d v="2025-03-31T00:00:00"/>
    <n v="180000"/>
    <n v="5625"/>
  </r>
  <r>
    <s v="P222"/>
    <x v="3"/>
    <d v="2024-10-08T00:00:00"/>
    <x v="0"/>
    <s v="Check out our latest reel on facebook!"/>
    <n v="1814"/>
    <n v="653"/>
    <n v="363"/>
    <n v="25396"/>
    <n v="25286"/>
    <n v="39"/>
    <x v="13"/>
    <s v="SummerSplash"/>
    <n v="2830"/>
    <n v="0.11143487163332809"/>
    <x v="2"/>
    <d v="2024-10-01T00:00:00"/>
    <d v="2024-10-31T00:00:00"/>
    <n v="200000"/>
    <n v="5714.2857142857147"/>
  </r>
  <r>
    <s v="P223"/>
    <x v="0"/>
    <d v="2024-11-12T00:00:00"/>
    <x v="4"/>
    <s v="Check out our latest image on twitter!"/>
    <n v="3338"/>
    <n v="277"/>
    <n v="118"/>
    <n v="60084"/>
    <n v="59842"/>
    <n v="252"/>
    <x v="2"/>
    <m/>
    <n v="3733"/>
    <n v="6.2129685107516146E-2"/>
    <x v="0"/>
    <e v="#N/A"/>
    <e v="#N/A"/>
    <e v="#N/A"/>
    <n v="0"/>
  </r>
  <r>
    <s v="P224"/>
    <x v="3"/>
    <d v="2025-05-13T00:00:00"/>
    <x v="4"/>
    <s v="Check out our latest image on facebook!"/>
    <n v="602"/>
    <n v="594"/>
    <n v="156"/>
    <n v="4214"/>
    <n v="3363"/>
    <n v="164"/>
    <x v="2"/>
    <s v="NewYearRefresh"/>
    <n v="1352"/>
    <n v="0.32083531086853345"/>
    <x v="0"/>
    <e v="#N/A"/>
    <e v="#N/A"/>
    <e v="#N/A"/>
    <n v="0"/>
  </r>
  <r>
    <s v="P225"/>
    <x v="0"/>
    <d v="2024-06-20T00:00:00"/>
    <x v="3"/>
    <s v="Check out our latest carousel on twitter!"/>
    <n v="4672"/>
    <n v="325"/>
    <n v="32"/>
    <n v="88768"/>
    <n v="87833"/>
    <n v="118"/>
    <x v="3"/>
    <m/>
    <n v="5029"/>
    <n v="5.6653298485940883E-2"/>
    <x v="1"/>
    <d v="2024-06-15T00:00:00"/>
    <d v="2024-07-15T00:00:00"/>
    <n v="150000"/>
    <n v="5555.5555555555557"/>
  </r>
  <r>
    <s v="P226"/>
    <x v="2"/>
    <d v="2024-08-07T00:00:00"/>
    <x v="3"/>
    <s v="Check out our latest carousel on instagram!"/>
    <n v="1741"/>
    <n v="164"/>
    <n v="318"/>
    <n v="8705"/>
    <n v="8272"/>
    <n v="121"/>
    <x v="2"/>
    <m/>
    <n v="2223"/>
    <n v="0.25537047673750718"/>
    <x v="0"/>
    <e v="#N/A"/>
    <e v="#N/A"/>
    <e v="#N/A"/>
    <n v="0"/>
  </r>
  <r>
    <s v="P227"/>
    <x v="2"/>
    <d v="2024-06-12T00:00:00"/>
    <x v="1"/>
    <s v="Check out our latest text on instagram!"/>
    <n v="246"/>
    <n v="149"/>
    <n v="130"/>
    <n v="4674"/>
    <n v="4390"/>
    <n v="217"/>
    <x v="5"/>
    <s v="NewYearRefresh"/>
    <n v="525"/>
    <n v="0.11232349165596919"/>
    <x v="0"/>
    <e v="#N/A"/>
    <e v="#N/A"/>
    <e v="#N/A"/>
    <n v="0"/>
  </r>
  <r>
    <s v="P228"/>
    <x v="2"/>
    <d v="2024-07-01T00:00:00"/>
    <x v="2"/>
    <s v="Check out our latest story on instagram!"/>
    <n v="4808"/>
    <n v="772"/>
    <n v="320"/>
    <n v="72120"/>
    <n v="71696"/>
    <n v="195"/>
    <x v="3"/>
    <s v="SummerSplash"/>
    <n v="5900"/>
    <n v="8.1808097615085965E-2"/>
    <x v="1"/>
    <d v="2024-06-15T00:00:00"/>
    <d v="2024-07-15T00:00:00"/>
    <n v="150000"/>
    <n v="5555.5555555555557"/>
  </r>
  <r>
    <s v="P229"/>
    <x v="2"/>
    <d v="2024-07-03T00:00:00"/>
    <x v="3"/>
    <s v="Check out our latest carousel on instagram!"/>
    <n v="4799"/>
    <n v="694"/>
    <n v="289"/>
    <n v="43191"/>
    <n v="42228"/>
    <n v="118"/>
    <x v="2"/>
    <m/>
    <n v="5782"/>
    <n v="0.13387048227640017"/>
    <x v="1"/>
    <d v="2024-06-15T00:00:00"/>
    <d v="2024-07-15T00:00:00"/>
    <n v="150000"/>
    <n v="5555.5555555555557"/>
  </r>
  <r>
    <s v="P230"/>
    <x v="3"/>
    <d v="2024-07-15T00:00:00"/>
    <x v="0"/>
    <s v="Check out our latest reel on facebook!"/>
    <n v="3663"/>
    <n v="17"/>
    <n v="295"/>
    <n v="51282"/>
    <n v="50567"/>
    <n v="84"/>
    <x v="3"/>
    <s v="NewYearRefresh"/>
    <n v="3975"/>
    <n v="7.7512577512577507E-2"/>
    <x v="1"/>
    <d v="2024-06-15T00:00:00"/>
    <d v="2024-07-15T00:00:00"/>
    <n v="150000"/>
    <n v="5555.5555555555557"/>
  </r>
  <r>
    <s v="P231"/>
    <x v="2"/>
    <d v="2025-05-01T00:00:00"/>
    <x v="1"/>
    <s v="Check out our latest text on instagram!"/>
    <n v="1430"/>
    <n v="376"/>
    <n v="33"/>
    <n v="21450"/>
    <n v="20509"/>
    <n v="251"/>
    <x v="5"/>
    <s v="SummerSplash"/>
    <n v="1839"/>
    <n v="8.5734265734265735E-2"/>
    <x v="0"/>
    <e v="#N/A"/>
    <e v="#N/A"/>
    <e v="#N/A"/>
    <n v="0"/>
  </r>
  <r>
    <s v="P232"/>
    <x v="0"/>
    <d v="2025-04-29T00:00:00"/>
    <x v="2"/>
    <s v="Check out our latest story on twitter!"/>
    <n v="249"/>
    <n v="592"/>
    <n v="230"/>
    <n v="1494"/>
    <n v="1044"/>
    <n v="201"/>
    <x v="3"/>
    <s v="DailyWellness"/>
    <n v="1071"/>
    <n v="0.7168674698795181"/>
    <x v="0"/>
    <e v="#N/A"/>
    <e v="#N/A"/>
    <e v="#N/A"/>
    <n v="0"/>
  </r>
  <r>
    <s v="P233"/>
    <x v="3"/>
    <d v="2025-03-08T00:00:00"/>
    <x v="4"/>
    <s v="Check out our latest image on facebook!"/>
    <n v="2382"/>
    <n v="265"/>
    <n v="134"/>
    <n v="38112"/>
    <n v="37437"/>
    <n v="249"/>
    <x v="5"/>
    <s v="DailyWellness"/>
    <n v="2781"/>
    <n v="7.2969143576826198E-2"/>
    <x v="3"/>
    <d v="2025-03-01T00:00:00"/>
    <d v="2025-03-31T00:00:00"/>
    <n v="180000"/>
    <n v="5625"/>
  </r>
  <r>
    <s v="P234"/>
    <x v="3"/>
    <d v="2024-06-01T00:00:00"/>
    <x v="1"/>
    <s v="Check out our latest text on facebook!"/>
    <n v="1272"/>
    <n v="465"/>
    <n v="99"/>
    <n v="24168"/>
    <n v="23719"/>
    <n v="42"/>
    <x v="2"/>
    <m/>
    <n v="1836"/>
    <n v="7.5968222442899705E-2"/>
    <x v="0"/>
    <e v="#N/A"/>
    <e v="#N/A"/>
    <e v="#N/A"/>
    <n v="0"/>
  </r>
  <r>
    <s v="P235"/>
    <x v="3"/>
    <d v="2024-12-22T00:00:00"/>
    <x v="4"/>
    <s v="Check out our latest image on facebook!"/>
    <n v="3196"/>
    <n v="941"/>
    <n v="376"/>
    <n v="35156"/>
    <n v="34444"/>
    <n v="241"/>
    <x v="2"/>
    <s v="NewYearRefresh"/>
    <n v="4513"/>
    <n v="0.1283706906360223"/>
    <x v="0"/>
    <e v="#N/A"/>
    <e v="#N/A"/>
    <e v="#N/A"/>
    <n v="0"/>
  </r>
  <r>
    <s v="P236"/>
    <x v="3"/>
    <d v="2024-08-19T00:00:00"/>
    <x v="1"/>
    <s v="Check out our latest text on facebook!"/>
    <n v="1257"/>
    <n v="19"/>
    <n v="351"/>
    <n v="12570"/>
    <n v="11660"/>
    <n v="194"/>
    <x v="14"/>
    <s v="FestiveRadiance"/>
    <n v="1627"/>
    <n v="0.12943516308671441"/>
    <x v="0"/>
    <e v="#N/A"/>
    <e v="#N/A"/>
    <e v="#N/A"/>
    <n v="0"/>
  </r>
  <r>
    <s v="P237"/>
    <x v="2"/>
    <d v="2024-10-22T00:00:00"/>
    <x v="2"/>
    <s v="Check out our latest story on instagram!"/>
    <n v="3770"/>
    <n v="917"/>
    <n v="129"/>
    <n v="71630"/>
    <n v="71322"/>
    <n v="76"/>
    <x v="5"/>
    <s v="SummerSplash"/>
    <n v="4816"/>
    <n v="6.7234398994834563E-2"/>
    <x v="2"/>
    <d v="2024-10-01T00:00:00"/>
    <d v="2024-10-31T00:00:00"/>
    <n v="200000"/>
    <n v="5714.2857142857147"/>
  </r>
  <r>
    <s v="P238"/>
    <x v="0"/>
    <d v="2024-07-16T00:00:00"/>
    <x v="1"/>
    <s v="Check out our latest text on twitter!"/>
    <n v="4725"/>
    <n v="400"/>
    <n v="362"/>
    <n v="75600"/>
    <n v="74927"/>
    <n v="43"/>
    <x v="5"/>
    <s v="DailyWellness"/>
    <n v="5487"/>
    <n v="7.2579365079365077E-2"/>
    <x v="0"/>
    <e v="#N/A"/>
    <e v="#N/A"/>
    <e v="#N/A"/>
    <n v="0"/>
  </r>
  <r>
    <s v="P239"/>
    <x v="1"/>
    <d v="2025-02-24T00:00:00"/>
    <x v="1"/>
    <s v="Check out our latest text on youtube!"/>
    <n v="4188"/>
    <n v="942"/>
    <n v="118"/>
    <n v="20940"/>
    <n v="20471"/>
    <n v="102"/>
    <x v="5"/>
    <m/>
    <n v="5248"/>
    <n v="0.25062082139446035"/>
    <x v="0"/>
    <e v="#N/A"/>
    <e v="#N/A"/>
    <e v="#N/A"/>
    <n v="0"/>
  </r>
  <r>
    <s v="P240"/>
    <x v="0"/>
    <d v="2024-08-26T00:00:00"/>
    <x v="3"/>
    <s v="Check out our latest carousel on twitter!"/>
    <n v="929"/>
    <n v="192"/>
    <n v="322"/>
    <n v="16722"/>
    <n v="15996"/>
    <n v="145"/>
    <x v="8"/>
    <s v="NewYearRefresh"/>
    <n v="1443"/>
    <n v="8.6293505561535699E-2"/>
    <x v="0"/>
    <e v="#N/A"/>
    <e v="#N/A"/>
    <e v="#N/A"/>
    <n v="0"/>
  </r>
  <r>
    <s v="P241"/>
    <x v="3"/>
    <d v="2025-01-18T00:00:00"/>
    <x v="2"/>
    <s v="Check out our latest story on facebook!"/>
    <n v="4321"/>
    <n v="874"/>
    <n v="172"/>
    <n v="30247"/>
    <n v="29254"/>
    <n v="122"/>
    <x v="2"/>
    <s v="DailyWellness"/>
    <n v="5367"/>
    <n v="0.17743908486792079"/>
    <x v="0"/>
    <e v="#N/A"/>
    <e v="#N/A"/>
    <e v="#N/A"/>
    <n v="0"/>
  </r>
  <r>
    <s v="P242"/>
    <x v="3"/>
    <d v="2024-07-07T00:00:00"/>
    <x v="0"/>
    <s v="Check out our latest reel on facebook!"/>
    <n v="4767"/>
    <n v="190"/>
    <n v="340"/>
    <n v="28602"/>
    <n v="28044"/>
    <n v="210"/>
    <x v="3"/>
    <s v="NewYearRefresh"/>
    <n v="5297"/>
    <n v="0.18519683938186141"/>
    <x v="1"/>
    <d v="2024-06-15T00:00:00"/>
    <d v="2024-07-15T00:00:00"/>
    <n v="150000"/>
    <n v="5555.5555555555557"/>
  </r>
  <r>
    <s v="P243"/>
    <x v="0"/>
    <d v="2025-03-06T00:00:00"/>
    <x v="4"/>
    <s v="Check out our latest image on twitter!"/>
    <n v="3592"/>
    <n v="911"/>
    <n v="375"/>
    <n v="50288"/>
    <n v="49490"/>
    <n v="32"/>
    <x v="5"/>
    <s v="DailyWellness"/>
    <n v="4878"/>
    <n v="9.7001272669424113E-2"/>
    <x v="3"/>
    <d v="2025-03-01T00:00:00"/>
    <d v="2025-03-31T00:00:00"/>
    <n v="180000"/>
    <n v="5625"/>
  </r>
  <r>
    <s v="P244"/>
    <x v="1"/>
    <d v="2024-10-25T00:00:00"/>
    <x v="5"/>
    <s v="Check out our latest video on youtube!"/>
    <n v="4661"/>
    <n v="935"/>
    <n v="433"/>
    <n v="23305"/>
    <n v="22583"/>
    <n v="63"/>
    <x v="5"/>
    <s v="NewYearRefresh"/>
    <n v="6029"/>
    <n v="0.25869984981763572"/>
    <x v="2"/>
    <d v="2024-10-01T00:00:00"/>
    <d v="2024-10-31T00:00:00"/>
    <n v="200000"/>
    <n v="5714.2857142857147"/>
  </r>
  <r>
    <s v="P245"/>
    <x v="3"/>
    <d v="2025-01-12T00:00:00"/>
    <x v="0"/>
    <s v="Check out our latest reel on facebook!"/>
    <n v="4134"/>
    <n v="824"/>
    <n v="99"/>
    <n v="41340"/>
    <n v="41050"/>
    <n v="177"/>
    <x v="3"/>
    <s v="SummerSplash"/>
    <n v="5057"/>
    <n v="0.12232704402515723"/>
    <x v="0"/>
    <e v="#N/A"/>
    <e v="#N/A"/>
    <e v="#N/A"/>
    <n v="0"/>
  </r>
  <r>
    <s v="P246"/>
    <x v="3"/>
    <d v="2024-10-11T00:00:00"/>
    <x v="4"/>
    <s v="Check out our latest image on facebook!"/>
    <n v="400"/>
    <n v="680"/>
    <n v="434"/>
    <n v="6400"/>
    <n v="5472"/>
    <n v="160"/>
    <x v="5"/>
    <s v="FestiveRadiance"/>
    <n v="1514"/>
    <n v="0.23656250000000001"/>
    <x v="2"/>
    <d v="2024-10-01T00:00:00"/>
    <d v="2024-10-31T00:00:00"/>
    <n v="200000"/>
    <n v="5714.2857142857147"/>
  </r>
  <r>
    <s v="P247"/>
    <x v="3"/>
    <d v="2024-08-27T00:00:00"/>
    <x v="0"/>
    <s v="Check out our latest reel on facebook!"/>
    <n v="3960"/>
    <n v="266"/>
    <n v="8"/>
    <n v="35640"/>
    <n v="34850"/>
    <n v="208"/>
    <x v="15"/>
    <m/>
    <n v="4234"/>
    <n v="0.11879910213243547"/>
    <x v="0"/>
    <e v="#N/A"/>
    <e v="#N/A"/>
    <e v="#N/A"/>
    <n v="0"/>
  </r>
  <r>
    <s v="P248"/>
    <x v="3"/>
    <d v="2025-02-02T00:00:00"/>
    <x v="2"/>
    <s v="Check out our latest story on facebook!"/>
    <n v="886"/>
    <n v="126"/>
    <n v="153"/>
    <n v="4430"/>
    <n v="4037"/>
    <n v="212"/>
    <x v="3"/>
    <m/>
    <n v="1165"/>
    <n v="0.26297968397291194"/>
    <x v="0"/>
    <e v="#N/A"/>
    <e v="#N/A"/>
    <e v="#N/A"/>
    <n v="0"/>
  </r>
  <r>
    <s v="P249"/>
    <x v="0"/>
    <d v="2024-07-18T00:00:00"/>
    <x v="4"/>
    <s v="Check out our latest image on twitter!"/>
    <n v="827"/>
    <n v="77"/>
    <n v="402"/>
    <n v="14886"/>
    <n v="14129"/>
    <n v="254"/>
    <x v="3"/>
    <s v="FestiveRadiance"/>
    <n v="1306"/>
    <n v="8.7733440816874911E-2"/>
    <x v="0"/>
    <e v="#N/A"/>
    <e v="#N/A"/>
    <e v="#N/A"/>
    <n v="0"/>
  </r>
  <r>
    <s v="P250"/>
    <x v="3"/>
    <d v="2024-06-22T00:00:00"/>
    <x v="0"/>
    <s v="Check out our latest reel on facebook!"/>
    <n v="3813"/>
    <n v="935"/>
    <n v="274"/>
    <n v="68634"/>
    <n v="68488"/>
    <n v="251"/>
    <x v="5"/>
    <m/>
    <n v="5022"/>
    <n v="7.3170731707317069E-2"/>
    <x v="1"/>
    <d v="2024-06-15T00:00:00"/>
    <d v="2024-07-15T00:00:00"/>
    <n v="150000"/>
    <n v="5555.5555555555557"/>
  </r>
  <r>
    <s v="P251"/>
    <x v="2"/>
    <d v="2025-03-27T00:00:00"/>
    <x v="3"/>
    <s v="Check out our latest carousel on instagram!"/>
    <n v="1377"/>
    <n v="796"/>
    <n v="387"/>
    <n v="22032"/>
    <n v="21869"/>
    <n v="189"/>
    <x v="5"/>
    <m/>
    <n v="2560"/>
    <n v="0.11619462599854757"/>
    <x v="3"/>
    <d v="2025-03-01T00:00:00"/>
    <d v="2025-03-31T00:00:00"/>
    <n v="180000"/>
    <n v="5625"/>
  </r>
  <r>
    <s v="P252"/>
    <x v="3"/>
    <d v="2025-04-28T00:00:00"/>
    <x v="3"/>
    <s v="Check out our latest carousel on facebook!"/>
    <n v="2089"/>
    <n v="476"/>
    <n v="69"/>
    <n v="16712"/>
    <n v="16309"/>
    <n v="64"/>
    <x v="5"/>
    <s v="NewYearRefresh"/>
    <n v="2634"/>
    <n v="0.15761129727142173"/>
    <x v="0"/>
    <e v="#N/A"/>
    <e v="#N/A"/>
    <e v="#N/A"/>
    <n v="0"/>
  </r>
  <r>
    <s v="P253"/>
    <x v="0"/>
    <d v="2024-08-03T00:00:00"/>
    <x v="0"/>
    <s v="Check out our latest reel on twitter!"/>
    <n v="3791"/>
    <n v="593"/>
    <n v="228"/>
    <n v="53074"/>
    <n v="52613"/>
    <n v="205"/>
    <x v="3"/>
    <m/>
    <n v="4612"/>
    <n v="8.6897539284772202E-2"/>
    <x v="0"/>
    <e v="#N/A"/>
    <e v="#N/A"/>
    <e v="#N/A"/>
    <n v="0"/>
  </r>
  <r>
    <s v="P254"/>
    <x v="0"/>
    <d v="2025-01-14T00:00:00"/>
    <x v="4"/>
    <s v="Check out our latest image on twitter!"/>
    <n v="2692"/>
    <n v="115"/>
    <n v="64"/>
    <n v="21536"/>
    <n v="21120"/>
    <n v="224"/>
    <x v="5"/>
    <s v="FestiveRadiance"/>
    <n v="2871"/>
    <n v="0.13331166419019316"/>
    <x v="0"/>
    <e v="#N/A"/>
    <e v="#N/A"/>
    <e v="#N/A"/>
    <n v="0"/>
  </r>
  <r>
    <s v="P255"/>
    <x v="3"/>
    <d v="2025-04-03T00:00:00"/>
    <x v="2"/>
    <s v="Check out our latest story on facebook!"/>
    <n v="3767"/>
    <n v="514"/>
    <n v="238"/>
    <n v="37670"/>
    <n v="36807"/>
    <n v="226"/>
    <x v="5"/>
    <s v="DailyWellness"/>
    <n v="4519"/>
    <n v="0.11996283514733209"/>
    <x v="0"/>
    <e v="#N/A"/>
    <e v="#N/A"/>
    <e v="#N/A"/>
    <n v="0"/>
  </r>
  <r>
    <s v="P256"/>
    <x v="1"/>
    <d v="2024-09-18T00:00:00"/>
    <x v="3"/>
    <s v="Check out our latest carousel on youtube!"/>
    <n v="2143"/>
    <n v="12"/>
    <n v="204"/>
    <n v="40717"/>
    <n v="40125"/>
    <n v="248"/>
    <x v="3"/>
    <s v="FestiveRadiance"/>
    <n v="2359"/>
    <n v="5.7936488444630008E-2"/>
    <x v="0"/>
    <e v="#N/A"/>
    <e v="#N/A"/>
    <e v="#N/A"/>
    <n v="0"/>
  </r>
  <r>
    <s v="P257"/>
    <x v="3"/>
    <d v="2025-04-06T00:00:00"/>
    <x v="4"/>
    <s v="Check out our latest image on facebook!"/>
    <n v="3090"/>
    <n v="697"/>
    <n v="164"/>
    <n v="49440"/>
    <n v="48524"/>
    <n v="25"/>
    <x v="16"/>
    <s v="FestiveRadiance"/>
    <n v="3951"/>
    <n v="7.9915048543689318E-2"/>
    <x v="0"/>
    <e v="#N/A"/>
    <e v="#N/A"/>
    <e v="#N/A"/>
    <n v="0"/>
  </r>
  <r>
    <s v="P258"/>
    <x v="2"/>
    <d v="2024-08-05T00:00:00"/>
    <x v="2"/>
    <s v="Check out our latest story on instagram!"/>
    <n v="3601"/>
    <n v="695"/>
    <n v="75"/>
    <n v="21606"/>
    <n v="21454"/>
    <n v="172"/>
    <x v="3"/>
    <s v="FestiveRadiance"/>
    <n v="4371"/>
    <n v="0.2023049153013052"/>
    <x v="0"/>
    <e v="#N/A"/>
    <e v="#N/A"/>
    <e v="#N/A"/>
    <n v="0"/>
  </r>
  <r>
    <s v="P259"/>
    <x v="3"/>
    <d v="2025-02-10T00:00:00"/>
    <x v="1"/>
    <s v="Check out our latest text on facebook!"/>
    <n v="562"/>
    <n v="158"/>
    <n v="149"/>
    <n v="3372"/>
    <n v="2940"/>
    <n v="93"/>
    <x v="2"/>
    <s v="SummerSplash"/>
    <n v="869"/>
    <n v="0.25771055753262156"/>
    <x v="0"/>
    <e v="#N/A"/>
    <e v="#N/A"/>
    <e v="#N/A"/>
    <n v="0"/>
  </r>
  <r>
    <s v="P260"/>
    <x v="2"/>
    <d v="2025-02-12T00:00:00"/>
    <x v="2"/>
    <s v="Check out our latest story on instagram!"/>
    <n v="4332"/>
    <n v="771"/>
    <n v="219"/>
    <n v="60648"/>
    <n v="60397"/>
    <n v="10"/>
    <x v="17"/>
    <s v="NewYearRefresh"/>
    <n v="5322"/>
    <n v="8.7752275425405618E-2"/>
    <x v="0"/>
    <e v="#N/A"/>
    <e v="#N/A"/>
    <e v="#N/A"/>
    <n v="0"/>
  </r>
  <r>
    <s v="P261"/>
    <x v="2"/>
    <d v="2024-10-27T00:00:00"/>
    <x v="4"/>
    <s v="Check out our latest image on instagram!"/>
    <n v="4853"/>
    <n v="837"/>
    <n v="340"/>
    <n v="72795"/>
    <n v="72237"/>
    <n v="170"/>
    <x v="3"/>
    <s v="SummerSplash"/>
    <n v="6030"/>
    <n v="8.2835359571399134E-2"/>
    <x v="2"/>
    <d v="2024-10-01T00:00:00"/>
    <d v="2024-10-31T00:00:00"/>
    <n v="200000"/>
    <n v="5714.2857142857147"/>
  </r>
  <r>
    <s v="P262"/>
    <x v="1"/>
    <d v="2025-01-18T00:00:00"/>
    <x v="4"/>
    <s v="Check out our latest image on youtube!"/>
    <n v="1206"/>
    <n v="238"/>
    <n v="36"/>
    <n v="9648"/>
    <n v="9417"/>
    <n v="237"/>
    <x v="2"/>
    <m/>
    <n v="1480"/>
    <n v="0.15339966832504145"/>
    <x v="0"/>
    <e v="#N/A"/>
    <e v="#N/A"/>
    <e v="#N/A"/>
    <n v="0"/>
  </r>
  <r>
    <s v="P263"/>
    <x v="2"/>
    <d v="2024-08-20T00:00:00"/>
    <x v="0"/>
    <s v="Check out our latest reel on instagram!"/>
    <n v="2603"/>
    <n v="690"/>
    <n v="205"/>
    <n v="13015"/>
    <n v="12130"/>
    <n v="20"/>
    <x v="5"/>
    <s v="FestiveRadiance"/>
    <n v="3498"/>
    <n v="0.26876680752977333"/>
    <x v="0"/>
    <e v="#N/A"/>
    <e v="#N/A"/>
    <e v="#N/A"/>
    <n v="0"/>
  </r>
  <r>
    <s v="P264"/>
    <x v="0"/>
    <d v="2025-01-30T00:00:00"/>
    <x v="4"/>
    <s v="Check out our latest image on twitter!"/>
    <n v="59"/>
    <n v="163"/>
    <n v="93"/>
    <n v="590"/>
    <n v="475"/>
    <n v="293"/>
    <x v="2"/>
    <s v="FestiveRadiance"/>
    <n v="315"/>
    <n v="0.53389830508474578"/>
    <x v="0"/>
    <e v="#N/A"/>
    <e v="#N/A"/>
    <e v="#N/A"/>
    <n v="0"/>
  </r>
  <r>
    <s v="P265"/>
    <x v="0"/>
    <d v="2025-02-20T00:00:00"/>
    <x v="3"/>
    <s v="Check out our latest carousel on twitter!"/>
    <n v="1877"/>
    <n v="745"/>
    <n v="225"/>
    <n v="11262"/>
    <n v="10967"/>
    <n v="41"/>
    <x v="3"/>
    <s v="DailyWellness"/>
    <n v="2847"/>
    <n v="0.25279701651571657"/>
    <x v="0"/>
    <e v="#N/A"/>
    <e v="#N/A"/>
    <e v="#N/A"/>
    <n v="0"/>
  </r>
  <r>
    <s v="P266"/>
    <x v="3"/>
    <d v="2024-11-25T00:00:00"/>
    <x v="2"/>
    <s v="Check out our latest story on facebook!"/>
    <n v="4182"/>
    <n v="640"/>
    <n v="240"/>
    <n v="50184"/>
    <n v="49351"/>
    <n v="10"/>
    <x v="2"/>
    <s v="NewYearRefresh"/>
    <n v="5062"/>
    <n v="0.10086880280567512"/>
    <x v="0"/>
    <e v="#N/A"/>
    <e v="#N/A"/>
    <e v="#N/A"/>
    <n v="0"/>
  </r>
  <r>
    <s v="P267"/>
    <x v="0"/>
    <d v="2024-10-04T00:00:00"/>
    <x v="0"/>
    <s v="Check out our latest reel on twitter!"/>
    <n v="4187"/>
    <n v="66"/>
    <n v="31"/>
    <n v="66992"/>
    <n v="66614"/>
    <n v="62"/>
    <x v="5"/>
    <m/>
    <n v="4284"/>
    <n v="6.3947934081681396E-2"/>
    <x v="2"/>
    <d v="2024-10-01T00:00:00"/>
    <d v="2024-10-31T00:00:00"/>
    <n v="200000"/>
    <n v="5714.2857142857147"/>
  </r>
  <r>
    <s v="P268"/>
    <x v="2"/>
    <d v="2025-04-13T00:00:00"/>
    <x v="0"/>
    <s v="Check out our latest reel on instagram!"/>
    <n v="4579"/>
    <n v="125"/>
    <n v="300"/>
    <n v="59527"/>
    <n v="59400"/>
    <n v="269"/>
    <x v="3"/>
    <s v="SummerSplash"/>
    <n v="5004"/>
    <n v="8.4062694239588759E-2"/>
    <x v="0"/>
    <e v="#N/A"/>
    <e v="#N/A"/>
    <e v="#N/A"/>
    <n v="0"/>
  </r>
  <r>
    <s v="P269"/>
    <x v="2"/>
    <d v="2024-11-05T00:00:00"/>
    <x v="5"/>
    <s v="Check out our latest video on instagram!"/>
    <n v="4561"/>
    <n v="51"/>
    <n v="441"/>
    <n v="22805"/>
    <n v="21890"/>
    <n v="45"/>
    <x v="2"/>
    <s v="FestiveRadiance"/>
    <n v="5053"/>
    <n v="0.22157421618066214"/>
    <x v="0"/>
    <e v="#N/A"/>
    <e v="#N/A"/>
    <e v="#N/A"/>
    <n v="0"/>
  </r>
  <r>
    <s v="P270"/>
    <x v="1"/>
    <d v="2025-01-15T00:00:00"/>
    <x v="0"/>
    <s v="Check out our latest reel on youtube!"/>
    <n v="3774"/>
    <n v="239"/>
    <n v="39"/>
    <n v="60384"/>
    <n v="59490"/>
    <n v="241"/>
    <x v="2"/>
    <s v="NewYearRefresh"/>
    <n v="4052"/>
    <n v="6.7103868574456813E-2"/>
    <x v="0"/>
    <e v="#N/A"/>
    <e v="#N/A"/>
    <e v="#N/A"/>
    <n v="0"/>
  </r>
  <r>
    <s v="P271"/>
    <x v="2"/>
    <d v="2024-10-17T00:00:00"/>
    <x v="5"/>
    <s v="Check out our latest video on instagram!"/>
    <n v="3575"/>
    <n v="749"/>
    <n v="111"/>
    <n v="21450"/>
    <n v="20785"/>
    <n v="195"/>
    <x v="3"/>
    <s v="FestiveRadiance"/>
    <n v="4435"/>
    <n v="0.20675990675990677"/>
    <x v="2"/>
    <d v="2024-10-01T00:00:00"/>
    <d v="2024-10-31T00:00:00"/>
    <n v="200000"/>
    <n v="5714.2857142857147"/>
  </r>
  <r>
    <s v="P272"/>
    <x v="2"/>
    <d v="2025-03-27T00:00:00"/>
    <x v="1"/>
    <s v="Check out our latest text on instagram!"/>
    <n v="4941"/>
    <n v="414"/>
    <n v="266"/>
    <n v="39528"/>
    <n v="39154"/>
    <n v="217"/>
    <x v="2"/>
    <s v="NewYearRefresh"/>
    <n v="5621"/>
    <n v="0.14220299534507186"/>
    <x v="3"/>
    <d v="2025-03-01T00:00:00"/>
    <d v="2025-03-31T00:00:00"/>
    <n v="180000"/>
    <n v="5625"/>
  </r>
  <r>
    <s v="P273"/>
    <x v="1"/>
    <d v="2024-10-12T00:00:00"/>
    <x v="2"/>
    <s v="Check out our latest story on youtube!"/>
    <n v="3641"/>
    <n v="226"/>
    <n v="46"/>
    <n v="40051"/>
    <n v="39319"/>
    <n v="296"/>
    <x v="3"/>
    <s v="DailyWellness"/>
    <n v="3913"/>
    <n v="9.7700431949264685E-2"/>
    <x v="2"/>
    <d v="2024-10-01T00:00:00"/>
    <d v="2024-10-31T00:00:00"/>
    <n v="200000"/>
    <n v="5714.2857142857147"/>
  </r>
  <r>
    <s v="P274"/>
    <x v="0"/>
    <d v="2025-01-01T00:00:00"/>
    <x v="3"/>
    <s v="Check out our latest carousel on twitter!"/>
    <n v="3535"/>
    <n v="494"/>
    <n v="152"/>
    <n v="53025"/>
    <n v="52791"/>
    <n v="44"/>
    <x v="2"/>
    <s v="DailyWellness"/>
    <n v="4181"/>
    <n v="7.8849599245638849E-2"/>
    <x v="4"/>
    <d v="2024-12-25T00:00:00"/>
    <d v="2025-01-10T00:00:00"/>
    <n v="250000"/>
    <n v="25000"/>
  </r>
  <r>
    <s v="P275"/>
    <x v="3"/>
    <d v="2024-08-05T00:00:00"/>
    <x v="0"/>
    <s v="Check out our latest reel on facebook!"/>
    <n v="1741"/>
    <n v="831"/>
    <n v="345"/>
    <n v="17410"/>
    <n v="16844"/>
    <n v="58"/>
    <x v="3"/>
    <s v="NewYearRefresh"/>
    <n v="2917"/>
    <n v="0.16754738655944859"/>
    <x v="0"/>
    <e v="#N/A"/>
    <e v="#N/A"/>
    <e v="#N/A"/>
    <n v="0"/>
  </r>
  <r>
    <s v="P276"/>
    <x v="0"/>
    <d v="2024-06-07T00:00:00"/>
    <x v="3"/>
    <s v="Check out our latest carousel on twitter!"/>
    <n v="1556"/>
    <n v="195"/>
    <n v="131"/>
    <n v="9336"/>
    <n v="8875"/>
    <n v="137"/>
    <x v="2"/>
    <s v="FestiveRadiance"/>
    <n v="1882"/>
    <n v="0.2015852613538989"/>
    <x v="0"/>
    <e v="#N/A"/>
    <e v="#N/A"/>
    <e v="#N/A"/>
    <n v="0"/>
  </r>
  <r>
    <s v="P277"/>
    <x v="3"/>
    <d v="2025-04-06T00:00:00"/>
    <x v="4"/>
    <s v="Check out our latest image on facebook!"/>
    <n v="4236"/>
    <n v="711"/>
    <n v="298"/>
    <n v="21180"/>
    <n v="20516"/>
    <n v="238"/>
    <x v="5"/>
    <s v="SummerSplash"/>
    <n v="5245"/>
    <n v="0.24763928234183191"/>
    <x v="0"/>
    <e v="#N/A"/>
    <e v="#N/A"/>
    <e v="#N/A"/>
    <n v="0"/>
  </r>
  <r>
    <s v="P278"/>
    <x v="0"/>
    <d v="2024-11-26T00:00:00"/>
    <x v="1"/>
    <s v="Check out our latest text on twitter!"/>
    <n v="4516"/>
    <n v="836"/>
    <n v="169"/>
    <n v="49676"/>
    <n v="49257"/>
    <n v="282"/>
    <x v="3"/>
    <s v="DailyWellness"/>
    <n v="5521"/>
    <n v="0.11114018842096787"/>
    <x v="0"/>
    <e v="#N/A"/>
    <e v="#N/A"/>
    <e v="#N/A"/>
    <n v="0"/>
  </r>
  <r>
    <s v="P279"/>
    <x v="1"/>
    <d v="2024-09-02T00:00:00"/>
    <x v="4"/>
    <s v="Check out our latest image on youtube!"/>
    <n v="4905"/>
    <n v="845"/>
    <n v="129"/>
    <n v="98100"/>
    <n v="97772"/>
    <n v="279"/>
    <x v="2"/>
    <s v="FestiveRadiance"/>
    <n v="5879"/>
    <n v="5.9928644240570844E-2"/>
    <x v="0"/>
    <e v="#N/A"/>
    <e v="#N/A"/>
    <e v="#N/A"/>
    <n v="0"/>
  </r>
  <r>
    <s v="P280"/>
    <x v="1"/>
    <d v="2024-10-21T00:00:00"/>
    <x v="5"/>
    <s v="Check out our latest video on youtube!"/>
    <n v="4275"/>
    <n v="680"/>
    <n v="385"/>
    <n v="64125"/>
    <n v="63650"/>
    <n v="104"/>
    <x v="8"/>
    <s v="DailyWellness"/>
    <n v="5340"/>
    <n v="8.3274853801169585E-2"/>
    <x v="2"/>
    <d v="2024-10-01T00:00:00"/>
    <d v="2024-10-31T00:00:00"/>
    <n v="200000"/>
    <n v="5714.2857142857147"/>
  </r>
  <r>
    <s v="P281"/>
    <x v="1"/>
    <d v="2025-03-22T00:00:00"/>
    <x v="4"/>
    <s v="Check out our latest image on youtube!"/>
    <n v="3166"/>
    <n v="90"/>
    <n v="341"/>
    <n v="56988"/>
    <n v="56125"/>
    <n v="135"/>
    <x v="3"/>
    <s v="FestiveRadiance"/>
    <n v="3597"/>
    <n v="6.3118551273952411E-2"/>
    <x v="3"/>
    <d v="2025-03-01T00:00:00"/>
    <d v="2025-03-31T00:00:00"/>
    <n v="180000"/>
    <n v="5625"/>
  </r>
  <r>
    <s v="P282"/>
    <x v="2"/>
    <d v="2024-10-03T00:00:00"/>
    <x v="5"/>
    <s v="Check out our latest video on instagram!"/>
    <n v="1488"/>
    <n v="417"/>
    <n v="168"/>
    <n v="19344"/>
    <n v="18395"/>
    <n v="30"/>
    <x v="5"/>
    <s v="NewYearRefresh"/>
    <n v="2073"/>
    <n v="0.1071650124069479"/>
    <x v="2"/>
    <d v="2024-10-01T00:00:00"/>
    <d v="2024-10-31T00:00:00"/>
    <n v="200000"/>
    <n v="5714.2857142857147"/>
  </r>
  <r>
    <s v="P283"/>
    <x v="0"/>
    <d v="2025-05-09T00:00:00"/>
    <x v="0"/>
    <s v="Check out our latest reel on twitter!"/>
    <n v="3367"/>
    <n v="302"/>
    <n v="57"/>
    <n v="63973"/>
    <n v="63789"/>
    <n v="157"/>
    <x v="5"/>
    <s v="FestiveRadiance"/>
    <n v="3726"/>
    <n v="5.8243321401216137E-2"/>
    <x v="0"/>
    <e v="#N/A"/>
    <e v="#N/A"/>
    <e v="#N/A"/>
    <n v="0"/>
  </r>
  <r>
    <s v="P284"/>
    <x v="0"/>
    <d v="2024-09-17T00:00:00"/>
    <x v="1"/>
    <s v="Check out our latest text on twitter!"/>
    <n v="571"/>
    <n v="190"/>
    <n v="352"/>
    <n v="9707"/>
    <n v="9418"/>
    <n v="231"/>
    <x v="2"/>
    <s v="DailyWellness"/>
    <n v="1113"/>
    <n v="0.11465952405480581"/>
    <x v="0"/>
    <e v="#N/A"/>
    <e v="#N/A"/>
    <e v="#N/A"/>
    <n v="0"/>
  </r>
  <r>
    <s v="P285"/>
    <x v="1"/>
    <d v="2024-07-18T00:00:00"/>
    <x v="1"/>
    <s v="Check out our latest text on youtube!"/>
    <n v="4021"/>
    <n v="794"/>
    <n v="77"/>
    <n v="36189"/>
    <n v="35505"/>
    <n v="174"/>
    <x v="3"/>
    <m/>
    <n v="4892"/>
    <n v="0.13517919809886983"/>
    <x v="0"/>
    <e v="#N/A"/>
    <e v="#N/A"/>
    <e v="#N/A"/>
    <n v="0"/>
  </r>
  <r>
    <s v="P286"/>
    <x v="1"/>
    <d v="2024-09-25T00:00:00"/>
    <x v="5"/>
    <s v="Check out our latest video on youtube!"/>
    <n v="3389"/>
    <n v="344"/>
    <n v="229"/>
    <n v="20334"/>
    <n v="19443"/>
    <n v="228"/>
    <x v="5"/>
    <s v="NewYearRefresh"/>
    <n v="3962"/>
    <n v="0.19484607062063539"/>
    <x v="0"/>
    <e v="#N/A"/>
    <e v="#N/A"/>
    <e v="#N/A"/>
    <n v="0"/>
  </r>
  <r>
    <s v="P287"/>
    <x v="2"/>
    <d v="2024-08-15T00:00:00"/>
    <x v="0"/>
    <s v="Check out our latest reel on instagram!"/>
    <n v="1164"/>
    <n v="616"/>
    <n v="324"/>
    <n v="6984"/>
    <n v="6636"/>
    <n v="82"/>
    <x v="3"/>
    <s v="SummerSplash"/>
    <n v="2104"/>
    <n v="0.30126002290950743"/>
    <x v="0"/>
    <e v="#N/A"/>
    <e v="#N/A"/>
    <e v="#N/A"/>
    <n v="0"/>
  </r>
  <r>
    <s v="P288"/>
    <x v="1"/>
    <d v="2025-04-17T00:00:00"/>
    <x v="3"/>
    <s v="Check out our latest carousel on youtube!"/>
    <n v="4780"/>
    <n v="691"/>
    <n v="380"/>
    <n v="86040"/>
    <n v="85743"/>
    <n v="262"/>
    <x v="5"/>
    <s v="NewYearRefresh"/>
    <n v="5851"/>
    <n v="6.800325430032543E-2"/>
    <x v="0"/>
    <e v="#N/A"/>
    <e v="#N/A"/>
    <e v="#N/A"/>
    <n v="0"/>
  </r>
  <r>
    <s v="P289"/>
    <x v="3"/>
    <d v="2024-11-28T00:00:00"/>
    <x v="3"/>
    <s v="Check out our latest carousel on facebook!"/>
    <n v="2751"/>
    <n v="33"/>
    <n v="430"/>
    <n v="44016"/>
    <n v="43415"/>
    <n v="129"/>
    <x v="5"/>
    <m/>
    <n v="3214"/>
    <n v="7.3018902217375503E-2"/>
    <x v="0"/>
    <e v="#N/A"/>
    <e v="#N/A"/>
    <e v="#N/A"/>
    <n v="0"/>
  </r>
  <r>
    <s v="P290"/>
    <x v="2"/>
    <d v="2024-12-20T00:00:00"/>
    <x v="3"/>
    <s v="Check out our latest carousel on instagram!"/>
    <n v="2107"/>
    <n v="550"/>
    <n v="349"/>
    <n v="35819"/>
    <n v="35340"/>
    <n v="191"/>
    <x v="3"/>
    <s v="DailyWellness"/>
    <n v="3006"/>
    <n v="8.3921940869371006E-2"/>
    <x v="0"/>
    <e v="#N/A"/>
    <e v="#N/A"/>
    <e v="#N/A"/>
    <n v="0"/>
  </r>
  <r>
    <s v="P291"/>
    <x v="3"/>
    <d v="2024-11-06T00:00:00"/>
    <x v="5"/>
    <s v="Check out our latest video on facebook!"/>
    <n v="4663"/>
    <n v="145"/>
    <n v="225"/>
    <n v="69945"/>
    <n v="69596"/>
    <n v="35"/>
    <x v="3"/>
    <s v="DailyWellness"/>
    <n v="5033"/>
    <n v="7.1956537279290869E-2"/>
    <x v="0"/>
    <e v="#N/A"/>
    <e v="#N/A"/>
    <e v="#N/A"/>
    <n v="0"/>
  </r>
  <r>
    <s v="P292"/>
    <x v="3"/>
    <d v="2024-11-17T00:00:00"/>
    <x v="1"/>
    <s v="Check out our latest text on facebook!"/>
    <n v="880"/>
    <n v="297"/>
    <n v="345"/>
    <n v="12320"/>
    <n v="11978"/>
    <n v="238"/>
    <x v="6"/>
    <m/>
    <n v="1522"/>
    <n v="0.12353896103896105"/>
    <x v="0"/>
    <e v="#N/A"/>
    <e v="#N/A"/>
    <e v="#N/A"/>
    <n v="0"/>
  </r>
  <r>
    <s v="P293"/>
    <x v="3"/>
    <d v="2025-05-14T00:00:00"/>
    <x v="1"/>
    <s v="Check out our latest text on facebook!"/>
    <n v="2634"/>
    <n v="726"/>
    <n v="241"/>
    <n v="28974"/>
    <n v="28102"/>
    <n v="277"/>
    <x v="3"/>
    <s v="SummerSplash"/>
    <n v="3601"/>
    <n v="0.12428384068475185"/>
    <x v="0"/>
    <e v="#N/A"/>
    <e v="#N/A"/>
    <e v="#N/A"/>
    <n v="0"/>
  </r>
  <r>
    <s v="P294"/>
    <x v="3"/>
    <d v="2024-06-19T00:00:00"/>
    <x v="3"/>
    <s v="Check out our latest carousel on facebook!"/>
    <n v="4731"/>
    <n v="173"/>
    <n v="276"/>
    <n v="28386"/>
    <n v="28185"/>
    <n v="89"/>
    <x v="3"/>
    <s v="NewYearRefresh"/>
    <n v="5180"/>
    <n v="0.18248432325794406"/>
    <x v="1"/>
    <d v="2024-06-15T00:00:00"/>
    <d v="2024-07-15T00:00:00"/>
    <n v="150000"/>
    <n v="5555.5555555555557"/>
  </r>
  <r>
    <s v="P295"/>
    <x v="0"/>
    <d v="2025-05-06T00:00:00"/>
    <x v="4"/>
    <s v="Check out our latest image on twitter!"/>
    <n v="1952"/>
    <n v="344"/>
    <n v="287"/>
    <n v="15616"/>
    <n v="15403"/>
    <n v="235"/>
    <x v="9"/>
    <s v="FestiveRadiance"/>
    <n v="2583"/>
    <n v="0.16540727459016394"/>
    <x v="0"/>
    <e v="#N/A"/>
    <e v="#N/A"/>
    <e v="#N/A"/>
    <n v="0"/>
  </r>
  <r>
    <s v="P296"/>
    <x v="0"/>
    <d v="2025-02-11T00:00:00"/>
    <x v="5"/>
    <s v="Check out our latest video on twitter!"/>
    <n v="3440"/>
    <n v="13"/>
    <n v="20"/>
    <n v="58480"/>
    <n v="58146"/>
    <n v="210"/>
    <x v="12"/>
    <s v="DailyWellness"/>
    <n v="3473"/>
    <n v="5.9387824897400819E-2"/>
    <x v="0"/>
    <e v="#N/A"/>
    <e v="#N/A"/>
    <e v="#N/A"/>
    <n v="0"/>
  </r>
  <r>
    <s v="P297"/>
    <x v="0"/>
    <d v="2024-12-24T00:00:00"/>
    <x v="1"/>
    <s v="Check out our latest text on twitter!"/>
    <n v="2166"/>
    <n v="354"/>
    <n v="117"/>
    <n v="10830"/>
    <n v="10245"/>
    <n v="24"/>
    <x v="3"/>
    <s v="DailyWellness"/>
    <n v="2637"/>
    <n v="0.24349030470914126"/>
    <x v="0"/>
    <e v="#N/A"/>
    <e v="#N/A"/>
    <e v="#N/A"/>
    <n v="0"/>
  </r>
  <r>
    <s v="P298"/>
    <x v="3"/>
    <d v="2024-10-24T00:00:00"/>
    <x v="4"/>
    <s v="Check out our latest image on facebook!"/>
    <n v="4303"/>
    <n v="451"/>
    <n v="286"/>
    <n v="86060"/>
    <n v="85823"/>
    <n v="14"/>
    <x v="2"/>
    <s v="NewYearRefresh"/>
    <n v="5040"/>
    <n v="5.8563792702765516E-2"/>
    <x v="2"/>
    <d v="2024-10-01T00:00:00"/>
    <d v="2024-10-31T00:00:00"/>
    <n v="200000"/>
    <n v="5714.2857142857147"/>
  </r>
  <r>
    <s v="P299"/>
    <x v="3"/>
    <d v="2024-08-26T00:00:00"/>
    <x v="4"/>
    <s v="Check out our latest image on facebook!"/>
    <n v="2581"/>
    <n v="517"/>
    <n v="117"/>
    <n v="23229"/>
    <n v="22331"/>
    <n v="70"/>
    <x v="5"/>
    <s v="NewYearRefresh"/>
    <n v="3215"/>
    <n v="0.13840458048129492"/>
    <x v="0"/>
    <e v="#N/A"/>
    <e v="#N/A"/>
    <e v="#N/A"/>
    <n v="0"/>
  </r>
  <r>
    <s v="P300"/>
    <x v="0"/>
    <d v="2024-08-31T00:00:00"/>
    <x v="3"/>
    <s v="Check out our latest carousel on twitter!"/>
    <n v="4494"/>
    <n v="717"/>
    <n v="45"/>
    <n v="62916"/>
    <n v="62688"/>
    <n v="191"/>
    <x v="17"/>
    <s v="SummerSplash"/>
    <n v="5256"/>
    <n v="8.3539958039290485E-2"/>
    <x v="0"/>
    <e v="#N/A"/>
    <e v="#N/A"/>
    <e v="#N/A"/>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x v="0"/>
    <n v="8.06"/>
    <n v="5904"/>
    <n v="1047"/>
    <n v="3.0521488935595868E-3"/>
  </r>
  <r>
    <x v="0"/>
    <x v="1"/>
    <n v="1312"/>
    <n v="310"/>
    <x v="1"/>
    <n v="4.9800000000000004"/>
    <n v="9566"/>
    <n v="1002"/>
    <n v="2.4056467876692595E-2"/>
  </r>
  <r>
    <x v="0"/>
    <x v="2"/>
    <n v="584"/>
    <n v="169"/>
    <x v="2"/>
    <n v="8.31"/>
    <n v="26752"/>
    <n v="415"/>
    <n v="2.8343316099686518E-3"/>
  </r>
  <r>
    <x v="0"/>
    <x v="3"/>
    <n v="1535"/>
    <n v="445"/>
    <x v="3"/>
    <n v="4.1100000000000003"/>
    <n v="30671"/>
    <n v="1090"/>
    <n v="2.7633693838953876E-3"/>
  </r>
  <r>
    <x v="1"/>
    <x v="0"/>
    <n v="656"/>
    <n v="139"/>
    <x v="4"/>
    <n v="9.0500000000000007"/>
    <n v="9920"/>
    <n v="517"/>
    <n v="1.0629111842105262E-2"/>
  </r>
  <r>
    <x v="1"/>
    <x v="1"/>
    <n v="1697"/>
    <n v="414"/>
    <x v="5"/>
    <n v="2.37"/>
    <n v="7924"/>
    <n v="1283"/>
    <n v="4.06950189043112E-3"/>
  </r>
  <r>
    <x v="1"/>
    <x v="2"/>
    <n v="436"/>
    <n v="250"/>
    <x v="6"/>
    <n v="4.01"/>
    <n v="8912"/>
    <n v="186"/>
    <n v="7.3181959466637287E-4"/>
  </r>
  <r>
    <x v="1"/>
    <x v="3"/>
    <n v="1197"/>
    <n v="203"/>
    <x v="7"/>
    <n v="3.16"/>
    <n v="21205"/>
    <n v="994"/>
    <n v="2.4074558471628834E-3"/>
  </r>
  <r>
    <x v="2"/>
    <x v="0"/>
    <n v="1048"/>
    <n v="155"/>
    <x v="8"/>
    <n v="2.46"/>
    <n v="11329"/>
    <n v="893"/>
    <n v="1.9581057464812205E-3"/>
  </r>
  <r>
    <x v="2"/>
    <x v="1"/>
    <n v="1753"/>
    <n v="371"/>
    <x v="9"/>
    <n v="8.11"/>
    <n v="46670"/>
    <n v="1382"/>
    <n v="8.2206122036237311E-3"/>
  </r>
  <r>
    <x v="2"/>
    <x v="2"/>
    <n v="1335"/>
    <n v="40"/>
    <x v="10"/>
    <n v="8.19"/>
    <n v="22482"/>
    <n v="1295"/>
    <n v="1.0663965677676491E-2"/>
  </r>
  <r>
    <x v="2"/>
    <x v="3"/>
    <n v="403"/>
    <n v="66"/>
    <x v="11"/>
    <n v="3.49"/>
    <n v="24313"/>
    <n v="337"/>
    <n v="8.810135053880381E-4"/>
  </r>
  <r>
    <x v="3"/>
    <x v="0"/>
    <n v="911"/>
    <n v="282"/>
    <x v="12"/>
    <n v="6.92"/>
    <n v="18050"/>
    <n v="629"/>
    <n v="1.7953475096332241E-2"/>
  </r>
  <r>
    <x v="3"/>
    <x v="1"/>
    <n v="1779"/>
    <n v="109"/>
    <x v="13"/>
    <n v="9.1199999999999992"/>
    <n v="30635"/>
    <n v="1670"/>
    <n v="6.7817258883248729E-2"/>
  </r>
  <r>
    <x v="3"/>
    <x v="2"/>
    <n v="1238"/>
    <n v="403"/>
    <x v="14"/>
    <n v="3.5"/>
    <n v="31280"/>
    <n v="835"/>
    <n v="2.8059115684205575E-3"/>
  </r>
  <r>
    <x v="3"/>
    <x v="3"/>
    <n v="308"/>
    <n v="431"/>
    <x v="15"/>
    <n v="2.62"/>
    <n v="1783"/>
    <n v="-123"/>
    <n v="-2.8852446710938363E-4"/>
  </r>
  <r>
    <x v="4"/>
    <x v="0"/>
    <n v="226"/>
    <n v="445"/>
    <x v="16"/>
    <n v="9.36"/>
    <n v="9566"/>
    <n v="-219"/>
    <n v="-5.2184356130827853E-4"/>
  </r>
  <r>
    <x v="4"/>
    <x v="1"/>
    <n v="505"/>
    <n v="441"/>
    <x v="17"/>
    <n v="4.4800000000000004"/>
    <n v="42307"/>
    <n v="64"/>
    <n v="2.9096728436596409E-4"/>
  </r>
  <r>
    <x v="4"/>
    <x v="2"/>
    <n v="1420"/>
    <n v="63"/>
    <x v="18"/>
    <n v="6.19"/>
    <n v="5914"/>
    <n v="1357"/>
    <n v="4.3223718577598842E-3"/>
  </r>
  <r>
    <x v="4"/>
    <x v="3"/>
    <n v="144"/>
    <n v="53"/>
    <x v="19"/>
    <n v="8.7200000000000006"/>
    <n v="30060"/>
    <n v="91"/>
    <n v="8.0114801869932302E-4"/>
  </r>
  <r>
    <x v="5"/>
    <x v="0"/>
    <n v="1757"/>
    <n v="85"/>
    <x v="20"/>
    <n v="8.74"/>
    <n v="22728"/>
    <n v="1672"/>
    <n v="2.9566232250534917E-2"/>
  </r>
  <r>
    <x v="5"/>
    <x v="1"/>
    <n v="350"/>
    <n v="41"/>
    <x v="21"/>
    <n v="1.91"/>
    <n v="38610"/>
    <n v="309"/>
    <n v="1.2291902858165761E-3"/>
  </r>
  <r>
    <x v="5"/>
    <x v="2"/>
    <n v="987"/>
    <n v="440"/>
    <x v="22"/>
    <n v="4.66"/>
    <n v="2932"/>
    <n v="547"/>
    <n v="1.4052196073091972E-3"/>
  </r>
  <r>
    <x v="5"/>
    <x v="3"/>
    <n v="883"/>
    <n v="369"/>
    <x v="23"/>
    <n v="2.88"/>
    <n v="15071"/>
    <n v="514"/>
    <n v="2.2043056865940474E-3"/>
  </r>
  <r>
    <x v="6"/>
    <x v="0"/>
    <n v="1960"/>
    <n v="115"/>
    <x v="24"/>
    <n v="3.74"/>
    <n v="10740"/>
    <n v="1845"/>
    <n v="1.2112339486883223E-2"/>
  </r>
  <r>
    <x v="6"/>
    <x v="1"/>
    <n v="170"/>
    <n v="334"/>
    <x v="25"/>
    <n v="6.44"/>
    <n v="43420"/>
    <n v="-164"/>
    <n v="-4.8985931479434872E-4"/>
  </r>
  <r>
    <x v="6"/>
    <x v="2"/>
    <n v="704"/>
    <n v="275"/>
    <x v="26"/>
    <n v="8.56"/>
    <n v="32393"/>
    <n v="429"/>
    <n v="1.9018233565187323E-3"/>
  </r>
  <r>
    <x v="6"/>
    <x v="3"/>
    <n v="224"/>
    <n v="64"/>
    <x v="27"/>
    <n v="4.5599999999999996"/>
    <n v="28474"/>
    <n v="160"/>
    <n v="1.0222139877206545E-3"/>
  </r>
  <r>
    <x v="7"/>
    <x v="0"/>
    <n v="508"/>
    <n v="349"/>
    <x v="28"/>
    <n v="7.88"/>
    <n v="17328"/>
    <n v="159"/>
    <n v="3.3568878482771145E-4"/>
  </r>
  <r>
    <x v="7"/>
    <x v="1"/>
    <n v="1391"/>
    <n v="430"/>
    <x v="29"/>
    <n v="7.86"/>
    <n v="26067"/>
    <n v="961"/>
    <n v="3.2679182918410859E-3"/>
  </r>
  <r>
    <x v="7"/>
    <x v="2"/>
    <n v="1701"/>
    <n v="385"/>
    <x v="30"/>
    <n v="5.34"/>
    <n v="32763"/>
    <n v="1316"/>
    <n v="6.6814918613742752E-3"/>
  </r>
  <r>
    <x v="7"/>
    <x v="3"/>
    <n v="804"/>
    <n v="487"/>
    <x v="31"/>
    <n v="5.52"/>
    <n v="26452"/>
    <n v="317"/>
    <n v="1.0351121806907496E-3"/>
  </r>
  <r>
    <x v="8"/>
    <x v="0"/>
    <n v="653"/>
    <n v="112"/>
    <x v="32"/>
    <n v="4.05"/>
    <n v="15353"/>
    <n v="541"/>
    <n v="2.3396618085888509E-2"/>
  </r>
  <r>
    <x v="8"/>
    <x v="1"/>
    <n v="160"/>
    <n v="478"/>
    <x v="33"/>
    <n v="7.73"/>
    <n v="4839"/>
    <n v="-318"/>
    <n v="-7.3044341130855037E-4"/>
  </r>
  <r>
    <x v="8"/>
    <x v="2"/>
    <n v="1756"/>
    <n v="261"/>
    <x v="34"/>
    <n v="4.3600000000000003"/>
    <n v="39272"/>
    <n v="1495"/>
    <n v="5.2258292289891952E-3"/>
  </r>
  <r>
    <x v="8"/>
    <x v="3"/>
    <n v="576"/>
    <n v="101"/>
    <x v="35"/>
    <n v="3.48"/>
    <n v="16804"/>
    <n v="475"/>
    <n v="7.6583258093641171E-3"/>
  </r>
  <r>
    <x v="9"/>
    <x v="0"/>
    <n v="645"/>
    <n v="293"/>
    <x v="36"/>
    <n v="7.83"/>
    <n v="49303"/>
    <n v="352"/>
    <n v="8.0435815875105118E-4"/>
  </r>
  <r>
    <x v="9"/>
    <x v="1"/>
    <n v="214"/>
    <n v="411"/>
    <x v="37"/>
    <n v="6.11"/>
    <n v="26455"/>
    <n v="-197"/>
    <n v="-1.573092924275938E-3"/>
  </r>
  <r>
    <x v="9"/>
    <x v="2"/>
    <n v="826"/>
    <n v="498"/>
    <x v="38"/>
    <n v="9.43"/>
    <n v="12384"/>
    <n v="328"/>
    <n v="7.294302882583962E-4"/>
  </r>
  <r>
    <x v="9"/>
    <x v="3"/>
    <n v="460"/>
    <n v="141"/>
    <x v="39"/>
    <n v="4.04"/>
    <n v="49372"/>
    <n v="319"/>
    <n v="9.9584492290786717E-4"/>
  </r>
  <r>
    <x v="10"/>
    <x v="0"/>
    <n v="1528"/>
    <n v="203"/>
    <x v="40"/>
    <n v="6.23"/>
    <n v="47101"/>
    <n v="1325"/>
    <n v="2.7159263973697534E-3"/>
  </r>
  <r>
    <x v="10"/>
    <x v="1"/>
    <n v="1534"/>
    <n v="200"/>
    <x v="41"/>
    <n v="6.01"/>
    <n v="37903"/>
    <n v="1334"/>
    <n v="4.3555201483619459E-3"/>
  </r>
  <r>
    <x v="10"/>
    <x v="2"/>
    <n v="485"/>
    <n v="448"/>
    <x v="42"/>
    <n v="8.5500000000000007"/>
    <n v="33258"/>
    <n v="37"/>
    <n v="8.5087594228761446E-5"/>
  </r>
  <r>
    <x v="10"/>
    <x v="3"/>
    <n v="1210"/>
    <n v="178"/>
    <x v="43"/>
    <n v="5.42"/>
    <n v="6915"/>
    <n v="1032"/>
    <n v="1.0216810216810217E-2"/>
  </r>
  <r>
    <x v="11"/>
    <x v="0"/>
    <n v="215"/>
    <n v="139"/>
    <x v="44"/>
    <n v="3.25"/>
    <n v="35501"/>
    <n v="76"/>
    <n v="2.3358166752723071E-4"/>
  </r>
  <r>
    <x v="11"/>
    <x v="1"/>
    <n v="1078"/>
    <n v="20"/>
    <x v="45"/>
    <n v="8.84"/>
    <n v="14203"/>
    <n v="1058"/>
    <n v="5.7856572572266033E-3"/>
  </r>
  <r>
    <x v="11"/>
    <x v="2"/>
    <n v="1751"/>
    <n v="86"/>
    <x v="46"/>
    <n v="7.24"/>
    <n v="22206"/>
    <n v="1665"/>
    <n v="8.9042194769773791E-3"/>
  </r>
  <r>
    <x v="11"/>
    <x v="3"/>
    <n v="221"/>
    <n v="31"/>
    <x v="47"/>
    <n v="6.19"/>
    <n v="10283"/>
    <n v="190"/>
    <n v="2.1775755561413363E-3"/>
  </r>
  <r>
    <x v="12"/>
    <x v="0"/>
    <n v="1685"/>
    <n v="76"/>
    <x v="48"/>
    <n v="5.71"/>
    <n v="24913"/>
    <n v="1609"/>
    <n v="3.5582387934275416E-3"/>
  </r>
  <r>
    <x v="12"/>
    <x v="1"/>
    <n v="248"/>
    <n v="211"/>
    <x v="49"/>
    <n v="9.0399999999999991"/>
    <n v="26925"/>
    <n v="37"/>
    <n v="9.7537057491505044E-5"/>
  </r>
  <r>
    <x v="12"/>
    <x v="2"/>
    <n v="1300"/>
    <n v="71"/>
    <x v="50"/>
    <n v="3.91"/>
    <n v="9942"/>
    <n v="1229"/>
    <n v="6.6351734377108921E-3"/>
  </r>
  <r>
    <x v="12"/>
    <x v="3"/>
    <n v="422"/>
    <n v="394"/>
    <x v="51"/>
    <n v="7.83"/>
    <n v="32929"/>
    <n v="28"/>
    <n v="1.1714696924055294E-4"/>
  </r>
  <r>
    <x v="13"/>
    <x v="0"/>
    <n v="1429"/>
    <n v="182"/>
    <x v="52"/>
    <n v="7.16"/>
    <n v="37829"/>
    <n v="1247"/>
    <n v="1.2459409501923365E-2"/>
  </r>
  <r>
    <x v="13"/>
    <x v="1"/>
    <n v="1520"/>
    <n v="475"/>
    <x v="53"/>
    <n v="6.41"/>
    <n v="24384"/>
    <n v="1045"/>
    <n v="2.1071224772501347E-3"/>
  </r>
  <r>
    <x v="13"/>
    <x v="2"/>
    <n v="557"/>
    <n v="360"/>
    <x v="54"/>
    <n v="8.02"/>
    <n v="25797"/>
    <n v="197"/>
    <n v="6.1836513048445924E-4"/>
  </r>
  <r>
    <x v="13"/>
    <x v="3"/>
    <n v="728"/>
    <n v="395"/>
    <x v="55"/>
    <n v="3.86"/>
    <n v="12646"/>
    <n v="333"/>
    <n v="8.9845077946675727E-4"/>
  </r>
  <r>
    <x v="14"/>
    <x v="0"/>
    <n v="1592"/>
    <n v="20"/>
    <x v="56"/>
    <n v="9.09"/>
    <n v="26663"/>
    <n v="1572"/>
    <n v="4.1754984302038341E-3"/>
  </r>
  <r>
    <x v="14"/>
    <x v="1"/>
    <n v="1842"/>
    <n v="414"/>
    <x v="57"/>
    <n v="1.76"/>
    <n v="40478"/>
    <n v="1428"/>
    <n v="4.6652030735455539E-3"/>
  </r>
  <r>
    <x v="14"/>
    <x v="2"/>
    <n v="751"/>
    <n v="491"/>
    <x v="58"/>
    <n v="9.24"/>
    <n v="15476"/>
    <n v="260"/>
    <n v="5.9937250309483687E-4"/>
  </r>
  <r>
    <x v="14"/>
    <x v="3"/>
    <n v="1409"/>
    <n v="309"/>
    <x v="59"/>
    <n v="8.99"/>
    <n v="10217"/>
    <n v="1100"/>
    <n v="1.7327473496841675E-2"/>
  </r>
  <r>
    <x v="15"/>
    <x v="0"/>
    <n v="778"/>
    <n v="401"/>
    <x v="60"/>
    <n v="3.4"/>
    <n v="21939"/>
    <n v="377"/>
    <n v="7.4777848302126308E-3"/>
  </r>
  <r>
    <x v="15"/>
    <x v="1"/>
    <n v="443"/>
    <n v="345"/>
    <x v="61"/>
    <n v="9.1999999999999993"/>
    <n v="47462"/>
    <n v="98"/>
    <n v="2.0672314286678591E-4"/>
  </r>
  <r>
    <x v="15"/>
    <x v="2"/>
    <n v="1472"/>
    <n v="347"/>
    <x v="62"/>
    <n v="8.59"/>
    <n v="30270"/>
    <n v="1125"/>
    <n v="2.8755463538072232E-3"/>
  </r>
  <r>
    <x v="15"/>
    <x v="3"/>
    <n v="123"/>
    <n v="155"/>
    <x v="63"/>
    <n v="3.5"/>
    <n v="5442"/>
    <n v="-32"/>
    <n v="-2.6674224363569678E-4"/>
  </r>
  <r>
    <x v="16"/>
    <x v="0"/>
    <n v="817"/>
    <n v="151"/>
    <x v="64"/>
    <n v="2.36"/>
    <n v="1083"/>
    <n v="666"/>
    <n v="1.5783523991667436E-3"/>
  </r>
  <r>
    <x v="16"/>
    <x v="1"/>
    <n v="198"/>
    <n v="217"/>
    <x v="65"/>
    <n v="7.36"/>
    <n v="11901"/>
    <n v="-19"/>
    <n v="-7.9241946515856736E-5"/>
  </r>
  <r>
    <x v="16"/>
    <x v="2"/>
    <n v="1911"/>
    <n v="231"/>
    <x v="66"/>
    <n v="8.5500000000000007"/>
    <n v="24018"/>
    <n v="1680"/>
    <n v="6.2960020387054219E-3"/>
  </r>
  <r>
    <x v="16"/>
    <x v="3"/>
    <n v="1218"/>
    <n v="212"/>
    <x v="67"/>
    <n v="8.1300000000000008"/>
    <n v="38883"/>
    <n v="1006"/>
    <n v="1.6181177719515528E-2"/>
  </r>
  <r>
    <x v="17"/>
    <x v="0"/>
    <n v="1433"/>
    <n v="408"/>
    <x v="68"/>
    <n v="3.3"/>
    <n v="30575"/>
    <n v="1025"/>
    <n v="2.7759421954046647E-3"/>
  </r>
  <r>
    <x v="17"/>
    <x v="1"/>
    <n v="250"/>
    <n v="429"/>
    <x v="69"/>
    <n v="1.77"/>
    <n v="2315"/>
    <n v="-179"/>
    <n v="-3.9461907134448259E-4"/>
  </r>
  <r>
    <x v="17"/>
    <x v="2"/>
    <n v="752"/>
    <n v="153"/>
    <x v="70"/>
    <n v="2.09"/>
    <n v="12148"/>
    <n v="599"/>
    <n v="9.3146935792370964E-3"/>
  </r>
  <r>
    <x v="17"/>
    <x v="3"/>
    <n v="1918"/>
    <n v="212"/>
    <x v="71"/>
    <n v="7.36"/>
    <n v="36851"/>
    <n v="1706"/>
    <n v="1.8412588771126989E-2"/>
  </r>
  <r>
    <x v="18"/>
    <x v="0"/>
    <n v="1939"/>
    <n v="67"/>
    <x v="72"/>
    <n v="6.25"/>
    <n v="41215"/>
    <n v="1872"/>
    <n v="1.0101936744176006E-2"/>
  </r>
  <r>
    <x v="18"/>
    <x v="1"/>
    <n v="1929"/>
    <n v="267"/>
    <x v="73"/>
    <n v="1.75"/>
    <n v="43836"/>
    <n v="1662"/>
    <n v="4.400306062202642E-3"/>
  </r>
  <r>
    <x v="18"/>
    <x v="2"/>
    <n v="437"/>
    <n v="330"/>
    <x v="74"/>
    <n v="4.97"/>
    <n v="4509"/>
    <n v="107"/>
    <n v="2.2461107647482362E-4"/>
  </r>
  <r>
    <x v="18"/>
    <x v="3"/>
    <n v="307"/>
    <n v="189"/>
    <x v="75"/>
    <n v="9.3000000000000007"/>
    <n v="27822"/>
    <n v="118"/>
    <n v="1.0029834507730621E-3"/>
  </r>
  <r>
    <x v="19"/>
    <x v="0"/>
    <n v="1527"/>
    <n v="303"/>
    <x v="76"/>
    <n v="8.9"/>
    <n v="36397"/>
    <n v="1224"/>
    <n v="3.1600878834898319E-3"/>
  </r>
  <r>
    <x v="19"/>
    <x v="1"/>
    <n v="643"/>
    <n v="358"/>
    <x v="77"/>
    <n v="3.88"/>
    <n v="7285"/>
    <n v="285"/>
    <n v="1.8116632976086045E-3"/>
  </r>
  <r>
    <x v="19"/>
    <x v="2"/>
    <n v="201"/>
    <n v="221"/>
    <x v="78"/>
    <n v="5.9"/>
    <n v="33174"/>
    <n v="-20"/>
    <n v="-6.45594463381882E-5"/>
  </r>
  <r>
    <x v="19"/>
    <x v="3"/>
    <n v="414"/>
    <n v="47"/>
    <x v="79"/>
    <n v="1.53"/>
    <n v="6742"/>
    <n v="367"/>
    <n v="1.8459743173164463E-3"/>
  </r>
  <r>
    <x v="20"/>
    <x v="0"/>
    <n v="703"/>
    <n v="441"/>
    <x v="80"/>
    <n v="6.5"/>
    <n v="32478"/>
    <n v="262"/>
    <n v="7.3424937014295445E-4"/>
  </r>
  <r>
    <x v="20"/>
    <x v="1"/>
    <n v="508"/>
    <n v="69"/>
    <x v="81"/>
    <n v="3.16"/>
    <n v="42824"/>
    <n v="439"/>
    <n v="1.904307465405804E-2"/>
  </r>
  <r>
    <x v="20"/>
    <x v="2"/>
    <n v="697"/>
    <n v="61"/>
    <x v="82"/>
    <n v="8.25"/>
    <n v="21208"/>
    <n v="636"/>
    <n v="2.4684553912074862E-3"/>
  </r>
  <r>
    <x v="20"/>
    <x v="3"/>
    <n v="1707"/>
    <n v="223"/>
    <x v="83"/>
    <n v="5.41"/>
    <n v="44321"/>
    <n v="1484"/>
    <n v="5.8099018893926222E-3"/>
  </r>
  <r>
    <x v="21"/>
    <x v="0"/>
    <n v="642"/>
    <n v="66"/>
    <x v="84"/>
    <n v="5.85"/>
    <n v="13116"/>
    <n v="576"/>
    <n v="1.6649997398437907E-3"/>
  </r>
  <r>
    <x v="21"/>
    <x v="1"/>
    <n v="859"/>
    <n v="473"/>
    <x v="85"/>
    <n v="4.46"/>
    <n v="30214"/>
    <n v="386"/>
    <n v="1.8415942672029236E-3"/>
  </r>
  <r>
    <x v="21"/>
    <x v="2"/>
    <n v="191"/>
    <n v="154"/>
    <x v="86"/>
    <n v="5.22"/>
    <n v="15827"/>
    <n v="37"/>
    <n v="1.538378382873275E-4"/>
  </r>
  <r>
    <x v="21"/>
    <x v="3"/>
    <n v="1814"/>
    <n v="157"/>
    <x v="87"/>
    <n v="1.99"/>
    <n v="46643"/>
    <n v="1657"/>
    <n v="5.4476115330242955E-3"/>
  </r>
  <r>
    <x v="22"/>
    <x v="0"/>
    <n v="1466"/>
    <n v="69"/>
    <x v="88"/>
    <n v="6.85"/>
    <n v="36484"/>
    <n v="1397"/>
    <n v="2.609361574956106E-2"/>
  </r>
  <r>
    <x v="22"/>
    <x v="1"/>
    <n v="947"/>
    <n v="407"/>
    <x v="89"/>
    <n v="3.32"/>
    <n v="4996"/>
    <n v="540"/>
    <n v="1.6946705748699183E-3"/>
  </r>
  <r>
    <x v="22"/>
    <x v="2"/>
    <n v="1821"/>
    <n v="218"/>
    <x v="90"/>
    <n v="5.68"/>
    <n v="36095"/>
    <n v="1603"/>
    <n v="3.6641926318412166E-3"/>
  </r>
  <r>
    <x v="22"/>
    <x v="3"/>
    <n v="1507"/>
    <n v="463"/>
    <x v="91"/>
    <n v="6.08"/>
    <n v="16443"/>
    <n v="1044"/>
    <n v="4.0480806514152775E-3"/>
  </r>
  <r>
    <x v="23"/>
    <x v="0"/>
    <n v="1075"/>
    <n v="173"/>
    <x v="92"/>
    <n v="4.66"/>
    <n v="47812"/>
    <n v="902"/>
    <n v="1.7863862317548967E-2"/>
  </r>
  <r>
    <x v="23"/>
    <x v="1"/>
    <n v="171"/>
    <n v="277"/>
    <x v="93"/>
    <n v="8.6999999999999993"/>
    <n v="38452"/>
    <n v="-106"/>
    <n v="-3.4238942598089728E-4"/>
  </r>
  <r>
    <x v="23"/>
    <x v="2"/>
    <n v="1487"/>
    <n v="337"/>
    <x v="94"/>
    <n v="2.46"/>
    <n v="30428"/>
    <n v="1150"/>
    <n v="1.3348035517381463E-2"/>
  </r>
  <r>
    <x v="23"/>
    <x v="3"/>
    <n v="454"/>
    <n v="105"/>
    <x v="95"/>
    <n v="7.97"/>
    <n v="9269"/>
    <n v="349"/>
    <n v="2.8904606516373756E-3"/>
  </r>
  <r>
    <x v="24"/>
    <x v="0"/>
    <n v="187"/>
    <n v="236"/>
    <x v="96"/>
    <n v="9.41"/>
    <n v="29533"/>
    <n v="-49"/>
    <n v="-9.5822903629536917E-4"/>
  </r>
  <r>
    <x v="24"/>
    <x v="1"/>
    <n v="513"/>
    <n v="441"/>
    <x v="97"/>
    <n v="2.68"/>
    <n v="39997"/>
    <n v="72"/>
    <n v="2.1253044055789241E-4"/>
  </r>
  <r>
    <x v="24"/>
    <x v="2"/>
    <n v="628"/>
    <n v="183"/>
    <x v="98"/>
    <n v="7.32"/>
    <n v="5391"/>
    <n v="445"/>
    <n v="9.1361137230587303E-4"/>
  </r>
  <r>
    <x v="24"/>
    <x v="3"/>
    <n v="278"/>
    <n v="218"/>
    <x v="99"/>
    <n v="4.68"/>
    <n v="22373"/>
    <n v="60"/>
    <n v="1.9891590829976627E-4"/>
  </r>
  <r>
    <x v="25"/>
    <x v="0"/>
    <n v="1854"/>
    <n v="161"/>
    <x v="100"/>
    <n v="5.17"/>
    <n v="1810"/>
    <n v="1693"/>
    <n v="6.0297820659393885E-3"/>
  </r>
  <r>
    <x v="25"/>
    <x v="1"/>
    <n v="1710"/>
    <n v="378"/>
    <x v="101"/>
    <n v="6.2"/>
    <n v="28498"/>
    <n v="1332"/>
    <n v="3.9722183288650849E-3"/>
  </r>
  <r>
    <x v="25"/>
    <x v="2"/>
    <n v="330"/>
    <n v="232"/>
    <x v="102"/>
    <n v="2.69"/>
    <n v="39530"/>
    <n v="98"/>
    <n v="1.1091367973109091E-3"/>
  </r>
  <r>
    <x v="25"/>
    <x v="3"/>
    <n v="1293"/>
    <n v="408"/>
    <x v="103"/>
    <n v="8.9"/>
    <n v="37876"/>
    <n v="885"/>
    <n v="1.4355231143552312E-2"/>
  </r>
  <r>
    <x v="26"/>
    <x v="0"/>
    <n v="1696"/>
    <n v="71"/>
    <x v="104"/>
    <n v="3.79"/>
    <n v="36103"/>
    <n v="1625"/>
    <n v="3.8659916446999038E-3"/>
  </r>
  <r>
    <x v="26"/>
    <x v="1"/>
    <n v="1902"/>
    <n v="196"/>
    <x v="105"/>
    <n v="4.79"/>
    <n v="26103"/>
    <n v="1706"/>
    <n v="3.6409191506798447E-3"/>
  </r>
  <r>
    <x v="26"/>
    <x v="2"/>
    <n v="1441"/>
    <n v="268"/>
    <x v="106"/>
    <n v="6.37"/>
    <n v="3455"/>
    <n v="1173"/>
    <n v="3.7994240941142936E-3"/>
  </r>
  <r>
    <x v="26"/>
    <x v="3"/>
    <n v="452"/>
    <n v="161"/>
    <x v="107"/>
    <n v="2.65"/>
    <n v="40888"/>
    <n v="291"/>
    <n v="1.3168433770923554E-3"/>
  </r>
  <r>
    <x v="27"/>
    <x v="0"/>
    <n v="1494"/>
    <n v="375"/>
    <x v="108"/>
    <n v="1.81"/>
    <n v="22724"/>
    <n v="1119"/>
    <n v="5.0980195629097436E-3"/>
  </r>
  <r>
    <x v="27"/>
    <x v="1"/>
    <n v="1514"/>
    <n v="141"/>
    <x v="109"/>
    <n v="7.47"/>
    <n v="18601"/>
    <n v="1373"/>
    <n v="3.9832893324436451E-2"/>
  </r>
  <r>
    <x v="27"/>
    <x v="2"/>
    <n v="1937"/>
    <n v="210"/>
    <x v="110"/>
    <n v="4.2"/>
    <n v="20861"/>
    <n v="1727"/>
    <n v="9.1472457627118642E-2"/>
  </r>
  <r>
    <x v="27"/>
    <x v="3"/>
    <n v="736"/>
    <n v="163"/>
    <x v="111"/>
    <n v="5.43"/>
    <n v="46625"/>
    <n v="573"/>
    <n v="1.2696063334079292E-3"/>
  </r>
  <r>
    <x v="28"/>
    <x v="0"/>
    <n v="1502"/>
    <n v="70"/>
    <x v="112"/>
    <n v="3.32"/>
    <n v="20692"/>
    <n v="1432"/>
    <n v="3.0854022981076056E-3"/>
  </r>
  <r>
    <x v="28"/>
    <x v="1"/>
    <n v="1623"/>
    <n v="246"/>
    <x v="113"/>
    <n v="8.11"/>
    <n v="18656"/>
    <n v="1377"/>
    <n v="3.3225717718935038E-3"/>
  </r>
  <r>
    <x v="28"/>
    <x v="2"/>
    <n v="1592"/>
    <n v="233"/>
    <x v="114"/>
    <n v="6.66"/>
    <n v="13316"/>
    <n v="1359"/>
    <n v="4.1709634649381259E-3"/>
  </r>
  <r>
    <x v="28"/>
    <x v="3"/>
    <n v="1004"/>
    <n v="128"/>
    <x v="115"/>
    <n v="8.09"/>
    <n v="49558"/>
    <n v="876"/>
    <n v="1.7949900107576456E-3"/>
  </r>
  <r>
    <x v="29"/>
    <x v="0"/>
    <n v="1092"/>
    <n v="408"/>
    <x v="116"/>
    <n v="8.44"/>
    <n v="4683"/>
    <n v="684"/>
    <n v="2.4418891082463737E-3"/>
  </r>
  <r>
    <x v="29"/>
    <x v="1"/>
    <n v="1155"/>
    <n v="425"/>
    <x v="117"/>
    <n v="2.02"/>
    <n v="47502"/>
    <n v="730"/>
    <n v="7.8819223252750582E-3"/>
  </r>
  <r>
    <x v="29"/>
    <x v="2"/>
    <n v="1137"/>
    <n v="226"/>
    <x v="118"/>
    <n v="7.74"/>
    <n v="35359"/>
    <n v="911"/>
    <n v="1.1357969279872333E-2"/>
  </r>
  <r>
    <x v="29"/>
    <x v="3"/>
    <n v="1900"/>
    <n v="311"/>
    <x v="119"/>
    <n v="2.89"/>
    <n v="14154"/>
    <n v="1589"/>
    <n v="6.7364761743259283E-2"/>
  </r>
  <r>
    <x v="30"/>
    <x v="0"/>
    <n v="1814"/>
    <n v="49"/>
    <x v="120"/>
    <n v="1.76"/>
    <n v="4313"/>
    <n v="1765"/>
    <n v="1.2694280022152058E-2"/>
  </r>
  <r>
    <x v="30"/>
    <x v="1"/>
    <n v="1980"/>
    <n v="204"/>
    <x v="121"/>
    <n v="3.09"/>
    <n v="25140"/>
    <n v="1776"/>
    <n v="4.7027048496643764E-3"/>
  </r>
  <r>
    <x v="30"/>
    <x v="2"/>
    <n v="1786"/>
    <n v="257"/>
    <x v="122"/>
    <n v="4.68"/>
    <n v="9118"/>
    <n v="1529"/>
    <n v="5.5945437647730353E-3"/>
  </r>
  <r>
    <x v="30"/>
    <x v="3"/>
    <n v="1495"/>
    <n v="35"/>
    <x v="123"/>
    <n v="4.4800000000000004"/>
    <n v="39931"/>
    <n v="1460"/>
    <n v="1.0784060272556044E-2"/>
  </r>
  <r>
    <x v="31"/>
    <x v="0"/>
    <n v="1013"/>
    <n v="110"/>
    <x v="124"/>
    <n v="5.3"/>
    <n v="37132"/>
    <n v="903"/>
    <n v="1.9399371400213544E-3"/>
  </r>
  <r>
    <x v="31"/>
    <x v="1"/>
    <n v="816"/>
    <n v="196"/>
    <x v="125"/>
    <n v="8.1999999999999993"/>
    <n v="17951"/>
    <n v="620"/>
    <n v="6.51890482398957E-3"/>
  </r>
  <r>
    <x v="31"/>
    <x v="2"/>
    <n v="1633"/>
    <n v="445"/>
    <x v="126"/>
    <n v="2.2200000000000002"/>
    <n v="2798"/>
    <n v="1188"/>
    <n v="3.2110885265752712E-3"/>
  </r>
  <r>
    <x v="31"/>
    <x v="3"/>
    <n v="891"/>
    <n v="45"/>
    <x v="127"/>
    <n v="8.33"/>
    <n v="15045"/>
    <n v="846"/>
    <n v="8.9463220675944331E-3"/>
  </r>
  <r>
    <x v="32"/>
    <x v="0"/>
    <n v="1855"/>
    <n v="133"/>
    <x v="128"/>
    <n v="3.3"/>
    <n v="14548"/>
    <n v="1722"/>
    <n v="4.9526734945684533E-3"/>
  </r>
  <r>
    <x v="32"/>
    <x v="1"/>
    <n v="651"/>
    <n v="353"/>
    <x v="129"/>
    <n v="5.61"/>
    <n v="45708"/>
    <n v="298"/>
    <n v="1.3279798218368011E-3"/>
  </r>
  <r>
    <x v="32"/>
    <x v="2"/>
    <n v="118"/>
    <n v="262"/>
    <x v="130"/>
    <n v="2.56"/>
    <n v="12350"/>
    <n v="-144"/>
    <n v="-2.9505778214900419E-4"/>
  </r>
  <r>
    <x v="32"/>
    <x v="3"/>
    <n v="1331"/>
    <n v="430"/>
    <x v="131"/>
    <n v="3.29"/>
    <n v="40868"/>
    <n v="901"/>
    <n v="6.6563238770685582E-2"/>
  </r>
  <r>
    <x v="33"/>
    <x v="0"/>
    <n v="1748"/>
    <n v="176"/>
    <x v="132"/>
    <n v="9.24"/>
    <n v="43122"/>
    <n v="1572"/>
    <n v="4.1140093533520543E-3"/>
  </r>
  <r>
    <x v="33"/>
    <x v="1"/>
    <n v="663"/>
    <n v="236"/>
    <x v="133"/>
    <n v="4.51"/>
    <n v="23853"/>
    <n v="427"/>
    <n v="8.9132327063455119E-4"/>
  </r>
  <r>
    <x v="33"/>
    <x v="2"/>
    <n v="1040"/>
    <n v="149"/>
    <x v="134"/>
    <n v="5.23"/>
    <n v="45380"/>
    <n v="891"/>
    <n v="7.2138155497801851E-3"/>
  </r>
  <r>
    <x v="33"/>
    <x v="3"/>
    <n v="1166"/>
    <n v="442"/>
    <x v="135"/>
    <n v="4.68"/>
    <n v="7705"/>
    <n v="724"/>
    <n v="2.1533199494386201E-3"/>
  </r>
  <r>
    <x v="34"/>
    <x v="0"/>
    <n v="115"/>
    <n v="281"/>
    <x v="136"/>
    <n v="9.23"/>
    <n v="25525"/>
    <n v="-166"/>
    <n v="-4.6442530166661538E-4"/>
  </r>
  <r>
    <x v="34"/>
    <x v="1"/>
    <n v="1249"/>
    <n v="351"/>
    <x v="137"/>
    <n v="6.37"/>
    <n v="20560"/>
    <n v="898"/>
    <n v="2.8026678401667868E-3"/>
  </r>
  <r>
    <x v="34"/>
    <x v="2"/>
    <n v="1501"/>
    <n v="75"/>
    <x v="138"/>
    <n v="2.0099999999999998"/>
    <n v="19119"/>
    <n v="1426"/>
    <n v="5.4606097042616498E-3"/>
  </r>
  <r>
    <x v="34"/>
    <x v="3"/>
    <n v="1411"/>
    <n v="186"/>
    <x v="139"/>
    <n v="3.72"/>
    <n v="43999"/>
    <n v="1225"/>
    <n v="2.660475540999557E-3"/>
  </r>
  <r>
    <x v="35"/>
    <x v="0"/>
    <n v="1556"/>
    <n v="476"/>
    <x v="140"/>
    <n v="3.89"/>
    <n v="10825"/>
    <n v="1080"/>
    <n v="3.0815234138714207E-3"/>
  </r>
  <r>
    <x v="35"/>
    <x v="1"/>
    <n v="1159"/>
    <n v="411"/>
    <x v="141"/>
    <n v="8.6999999999999993"/>
    <n v="40323"/>
    <n v="748"/>
    <n v="5.5309489126657251E-3"/>
  </r>
  <r>
    <x v="35"/>
    <x v="2"/>
    <n v="927"/>
    <n v="358"/>
    <x v="142"/>
    <n v="6.95"/>
    <n v="48270"/>
    <n v="569"/>
    <n v="3.2149617199197672E-3"/>
  </r>
  <r>
    <x v="35"/>
    <x v="3"/>
    <n v="152"/>
    <n v="355"/>
    <x v="143"/>
    <n v="9.48"/>
    <n v="18001"/>
    <n v="-203"/>
    <n v="-7.4916318840900623E-4"/>
  </r>
  <r>
    <x v="36"/>
    <x v="0"/>
    <n v="1957"/>
    <n v="234"/>
    <x v="144"/>
    <n v="4.6100000000000003"/>
    <n v="3314"/>
    <n v="1723"/>
    <n v="7.8174979469426455E-3"/>
  </r>
  <r>
    <x v="36"/>
    <x v="1"/>
    <n v="1294"/>
    <n v="382"/>
    <x v="145"/>
    <n v="8.0299999999999994"/>
    <n v="23489"/>
    <n v="912"/>
    <n v="2.951437207526165E-3"/>
  </r>
  <r>
    <x v="36"/>
    <x v="2"/>
    <n v="1587"/>
    <n v="385"/>
    <x v="146"/>
    <n v="6.99"/>
    <n v="42832"/>
    <n v="1202"/>
    <n v="9.5868559578880207E-3"/>
  </r>
  <r>
    <x v="36"/>
    <x v="3"/>
    <n v="1707"/>
    <n v="263"/>
    <x v="147"/>
    <n v="9.0299999999999994"/>
    <n v="24494"/>
    <n v="1444"/>
    <n v="2.9844823452574837E-3"/>
  </r>
  <r>
    <x v="37"/>
    <x v="0"/>
    <n v="1138"/>
    <n v="173"/>
    <x v="148"/>
    <n v="2.86"/>
    <n v="44097"/>
    <n v="965"/>
    <n v="2.1336434670711376E-3"/>
  </r>
  <r>
    <x v="37"/>
    <x v="1"/>
    <n v="1895"/>
    <n v="305"/>
    <x v="149"/>
    <n v="3.85"/>
    <n v="31853"/>
    <n v="1590"/>
    <n v="1.5380597231492498E-2"/>
  </r>
  <r>
    <x v="37"/>
    <x v="2"/>
    <n v="362"/>
    <n v="399"/>
    <x v="150"/>
    <n v="7.3"/>
    <n v="37636"/>
    <n v="-37"/>
    <n v="-2.5404236328057951E-4"/>
  </r>
  <r>
    <x v="37"/>
    <x v="3"/>
    <n v="1662"/>
    <n v="487"/>
    <x v="151"/>
    <n v="9.08"/>
    <n v="22996"/>
    <n v="1175"/>
    <n v="1.1211297170936501E-2"/>
  </r>
  <r>
    <x v="38"/>
    <x v="0"/>
    <n v="1440"/>
    <n v="65"/>
    <x v="152"/>
    <n v="4.34"/>
    <n v="49772"/>
    <n v="1375"/>
    <n v="1.0986903610895812E-2"/>
  </r>
  <r>
    <x v="38"/>
    <x v="1"/>
    <n v="1884"/>
    <n v="177"/>
    <x v="153"/>
    <n v="7.8"/>
    <n v="22713"/>
    <n v="1707"/>
    <n v="7.4625886920141118E-3"/>
  </r>
  <r>
    <x v="38"/>
    <x v="2"/>
    <n v="861"/>
    <n v="153"/>
    <x v="154"/>
    <n v="3.85"/>
    <n v="8718"/>
    <n v="708"/>
    <n v="2.2383883603805262E-3"/>
  </r>
  <r>
    <x v="38"/>
    <x v="3"/>
    <n v="1063"/>
    <n v="47"/>
    <x v="155"/>
    <n v="6.58"/>
    <n v="39031"/>
    <n v="1016"/>
    <n v="2.1933280515000334E-3"/>
  </r>
  <r>
    <x v="39"/>
    <x v="0"/>
    <n v="1371"/>
    <n v="56"/>
    <x v="156"/>
    <n v="8.6199999999999992"/>
    <n v="33799"/>
    <n v="1315"/>
    <n v="5.1314269659413726E-3"/>
  </r>
  <r>
    <x v="39"/>
    <x v="1"/>
    <n v="345"/>
    <n v="464"/>
    <x v="157"/>
    <n v="4.55"/>
    <n v="20553"/>
    <n v="-119"/>
    <n v="-3.242506811989101E-4"/>
  </r>
  <r>
    <x v="39"/>
    <x v="2"/>
    <n v="946"/>
    <n v="47"/>
    <x v="158"/>
    <n v="8.33"/>
    <n v="10002"/>
    <n v="899"/>
    <n v="1.9305268040440133E-3"/>
  </r>
  <r>
    <x v="39"/>
    <x v="3"/>
    <n v="510"/>
    <n v="195"/>
    <x v="159"/>
    <n v="9.4"/>
    <n v="30987"/>
    <n v="315"/>
    <n v="1.4048764823676851E-3"/>
  </r>
  <r>
    <x v="40"/>
    <x v="0"/>
    <n v="393"/>
    <n v="181"/>
    <x v="160"/>
    <n v="7.23"/>
    <n v="6296"/>
    <n v="212"/>
    <n v="4.5894399584352609E-4"/>
  </r>
  <r>
    <x v="40"/>
    <x v="1"/>
    <n v="1098"/>
    <n v="190"/>
    <x v="161"/>
    <n v="9.39"/>
    <n v="21539"/>
    <n v="908"/>
    <n v="2.6711067442503544E-3"/>
  </r>
  <r>
    <x v="40"/>
    <x v="2"/>
    <n v="1399"/>
    <n v="49"/>
    <x v="162"/>
    <n v="5.12"/>
    <n v="14722"/>
    <n v="1350"/>
    <n v="0.12139196115457243"/>
  </r>
  <r>
    <x v="40"/>
    <x v="3"/>
    <n v="1658"/>
    <n v="416"/>
    <x v="163"/>
    <n v="6.11"/>
    <n v="11383"/>
    <n v="1242"/>
    <n v="1.2783696155627605E-2"/>
  </r>
  <r>
    <x v="41"/>
    <x v="0"/>
    <n v="1102"/>
    <n v="422"/>
    <x v="164"/>
    <n v="7.74"/>
    <n v="9480"/>
    <n v="680"/>
    <n v="1.6599536189430002E-3"/>
  </r>
  <r>
    <x v="41"/>
    <x v="1"/>
    <n v="1358"/>
    <n v="242"/>
    <x v="165"/>
    <n v="4.9400000000000004"/>
    <n v="29116"/>
    <n v="1116"/>
    <n v="3.2726025107547218E-3"/>
  </r>
  <r>
    <x v="41"/>
    <x v="2"/>
    <n v="1077"/>
    <n v="216"/>
    <x v="166"/>
    <n v="1.8"/>
    <n v="14068"/>
    <n v="861"/>
    <n v="7.4313827032625582E-2"/>
  </r>
  <r>
    <x v="41"/>
    <x v="3"/>
    <n v="1596"/>
    <n v="211"/>
    <x v="167"/>
    <n v="8.64"/>
    <n v="35801"/>
    <n v="1385"/>
    <n v="8.6589559237261637E-2"/>
  </r>
  <r>
    <x v="42"/>
    <x v="0"/>
    <n v="490"/>
    <n v="29"/>
    <x v="168"/>
    <n v="1.53"/>
    <n v="49077"/>
    <n v="461"/>
    <n v="1.2652703863603304E-3"/>
  </r>
  <r>
    <x v="42"/>
    <x v="1"/>
    <n v="609"/>
    <n v="135"/>
    <x v="169"/>
    <n v="8.52"/>
    <n v="21453"/>
    <n v="474"/>
    <n v="1.2703279268462635E-3"/>
  </r>
  <r>
    <x v="42"/>
    <x v="2"/>
    <n v="364"/>
    <n v="72"/>
    <x v="170"/>
    <n v="5.53"/>
    <n v="21061"/>
    <n v="292"/>
    <n v="1.3852123834191975E-3"/>
  </r>
  <r>
    <x v="42"/>
    <x v="3"/>
    <n v="442"/>
    <n v="53"/>
    <x v="171"/>
    <n v="1.87"/>
    <n v="20059"/>
    <n v="389"/>
    <n v="8.8100339265573832E-4"/>
  </r>
  <r>
    <x v="43"/>
    <x v="0"/>
    <n v="1033"/>
    <n v="392"/>
    <x v="172"/>
    <n v="6.27"/>
    <n v="23140"/>
    <n v="641"/>
    <n v="2.2719297934705941E-3"/>
  </r>
  <r>
    <x v="43"/>
    <x v="1"/>
    <n v="988"/>
    <n v="474"/>
    <x v="173"/>
    <n v="9.4600000000000009"/>
    <n v="23461"/>
    <n v="514"/>
    <n v="1.3908582190520517E-3"/>
  </r>
  <r>
    <x v="43"/>
    <x v="2"/>
    <n v="1946"/>
    <n v="270"/>
    <x v="174"/>
    <n v="7.5"/>
    <n v="11805"/>
    <n v="1676"/>
    <n v="8.5217161393981913E-3"/>
  </r>
  <r>
    <x v="43"/>
    <x v="3"/>
    <n v="1957"/>
    <n v="490"/>
    <x v="175"/>
    <n v="4.7300000000000004"/>
    <n v="15969"/>
    <n v="1467"/>
    <n v="3.3781683281175518E-3"/>
  </r>
  <r>
    <x v="44"/>
    <x v="0"/>
    <n v="559"/>
    <n v="392"/>
    <x v="176"/>
    <n v="3.19"/>
    <n v="2436"/>
    <n v="167"/>
    <n v="2.1240874055607844E-3"/>
  </r>
  <r>
    <x v="44"/>
    <x v="1"/>
    <n v="1307"/>
    <n v="278"/>
    <x v="177"/>
    <n v="2.4900000000000002"/>
    <n v="47603"/>
    <n v="1029"/>
    <n v="1.0546598747527339E-2"/>
  </r>
  <r>
    <x v="44"/>
    <x v="2"/>
    <n v="1432"/>
    <n v="425"/>
    <x v="178"/>
    <n v="4.5"/>
    <n v="42964"/>
    <n v="1007"/>
    <n v="3.5231964173255893E-2"/>
  </r>
  <r>
    <x v="44"/>
    <x v="3"/>
    <n v="623"/>
    <n v="414"/>
    <x v="179"/>
    <n v="6.49"/>
    <n v="39923"/>
    <n v="209"/>
    <n v="7.2032949042720017E-4"/>
  </r>
  <r>
    <x v="45"/>
    <x v="0"/>
    <n v="198"/>
    <n v="358"/>
    <x v="180"/>
    <n v="6.73"/>
    <n v="2293"/>
    <n v="-160"/>
    <n v="-2.3937045570150504E-3"/>
  </r>
  <r>
    <x v="45"/>
    <x v="1"/>
    <n v="198"/>
    <n v="373"/>
    <x v="181"/>
    <n v="4.83"/>
    <n v="25920"/>
    <n v="-175"/>
    <n v="-2.4688919612877742E-3"/>
  </r>
  <r>
    <x v="45"/>
    <x v="2"/>
    <n v="353"/>
    <n v="300"/>
    <x v="182"/>
    <n v="5.3"/>
    <n v="11035"/>
    <n v="53"/>
    <n v="3.7204992488803405E-4"/>
  </r>
  <r>
    <x v="45"/>
    <x v="3"/>
    <n v="520"/>
    <n v="375"/>
    <x v="183"/>
    <n v="6.54"/>
    <n v="20733"/>
    <n v="145"/>
    <n v="3.9254967783854025E-4"/>
  </r>
  <r>
    <x v="46"/>
    <x v="0"/>
    <n v="961"/>
    <n v="358"/>
    <x v="184"/>
    <n v="6.8"/>
    <n v="18693"/>
    <n v="603"/>
    <n v="9.6729174353133666E-3"/>
  </r>
  <r>
    <x v="46"/>
    <x v="1"/>
    <n v="1375"/>
    <n v="330"/>
    <x v="185"/>
    <n v="2.6"/>
    <n v="7875"/>
    <n v="1045"/>
    <n v="2.7767665682619565E-3"/>
  </r>
  <r>
    <x v="46"/>
    <x v="2"/>
    <n v="1147"/>
    <n v="388"/>
    <x v="186"/>
    <n v="2.44"/>
    <n v="8471"/>
    <n v="759"/>
    <n v="2.2786497424135072E-3"/>
  </r>
  <r>
    <x v="46"/>
    <x v="3"/>
    <n v="1707"/>
    <n v="74"/>
    <x v="187"/>
    <n v="3.09"/>
    <n v="14090"/>
    <n v="1633"/>
    <n v="6.0633064141836068E-3"/>
  </r>
  <r>
    <x v="47"/>
    <x v="0"/>
    <n v="1693"/>
    <n v="154"/>
    <x v="188"/>
    <n v="5.69"/>
    <n v="14216"/>
    <n v="1539"/>
    <n v="3.4630573463394878E-3"/>
  </r>
  <r>
    <x v="47"/>
    <x v="1"/>
    <n v="833"/>
    <n v="380"/>
    <x v="189"/>
    <n v="3.86"/>
    <n v="3582"/>
    <n v="453"/>
    <n v="2.0189235082027123E-3"/>
  </r>
  <r>
    <x v="47"/>
    <x v="2"/>
    <n v="1222"/>
    <n v="274"/>
    <x v="190"/>
    <n v="3.16"/>
    <n v="32500"/>
    <n v="948"/>
    <n v="1.9492496005888871E-3"/>
  </r>
  <r>
    <x v="47"/>
    <x v="3"/>
    <n v="777"/>
    <n v="140"/>
    <x v="191"/>
    <n v="1.6"/>
    <n v="6832"/>
    <n v="637"/>
    <n v="5.8992406001111317E-2"/>
  </r>
  <r>
    <x v="48"/>
    <x v="0"/>
    <n v="1957"/>
    <n v="76"/>
    <x v="192"/>
    <n v="6.09"/>
    <n v="33381"/>
    <n v="1881"/>
    <n v="4.2172902172767646E-3"/>
  </r>
  <r>
    <x v="48"/>
    <x v="1"/>
    <n v="405"/>
    <n v="66"/>
    <x v="193"/>
    <n v="5.59"/>
    <n v="48419"/>
    <n v="339"/>
    <n v="8.1031272334393834E-4"/>
  </r>
  <r>
    <x v="48"/>
    <x v="2"/>
    <n v="1581"/>
    <n v="71"/>
    <x v="194"/>
    <n v="3.55"/>
    <n v="16149"/>
    <n v="1510"/>
    <n v="3.1272392897231877E-3"/>
  </r>
  <r>
    <x v="48"/>
    <x v="3"/>
    <n v="1035"/>
    <n v="171"/>
    <x v="195"/>
    <n v="5.21"/>
    <n v="7541"/>
    <n v="864"/>
    <n v="5.8531430158590371E-3"/>
  </r>
  <r>
    <x v="49"/>
    <x v="0"/>
    <n v="1765"/>
    <n v="109"/>
    <x v="196"/>
    <n v="1.82"/>
    <n v="20042"/>
    <n v="1656"/>
    <n v="3.5487361913231685E-3"/>
  </r>
  <r>
    <x v="49"/>
    <x v="1"/>
    <n v="837"/>
    <n v="430"/>
    <x v="197"/>
    <n v="4"/>
    <n v="49400"/>
    <n v="407"/>
    <n v="1.1168646563102854E-3"/>
  </r>
  <r>
    <x v="49"/>
    <x v="2"/>
    <n v="337"/>
    <n v="68"/>
    <x v="198"/>
    <n v="7.57"/>
    <n v="4007"/>
    <n v="269"/>
    <n v="5.8987476673632601E-4"/>
  </r>
  <r>
    <x v="49"/>
    <x v="3"/>
    <n v="119"/>
    <n v="456"/>
    <x v="199"/>
    <n v="6.81"/>
    <n v="12174"/>
    <n v="-337"/>
    <n v="-4.0653839194161288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D9DF65-4343-4594-9645-AB9A62E9BB68}"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0" firstHeaderRow="0" firstDataRow="1" firstDataCol="1"/>
  <pivotFields count="19">
    <pivotField showAll="0"/>
    <pivotField showAll="0">
      <items count="5">
        <item x="3"/>
        <item x="2"/>
        <item x="0"/>
        <item x="1"/>
        <item t="default"/>
      </items>
    </pivotField>
    <pivotField numFmtId="14" showAll="0"/>
    <pivotField showAll="0"/>
    <pivotField showAll="0"/>
    <pivotField numFmtId="2" showAll="0"/>
    <pivotField numFmtId="2" showAll="0"/>
    <pivotField numFmtId="2" showAll="0"/>
    <pivotField numFmtId="2" showAll="0"/>
    <pivotField numFmtId="2" showAll="0"/>
    <pivotField dataField="1" numFmtId="2" showAll="0"/>
    <pivotField axis="axisRow" dataField="1" showAll="0">
      <items count="7">
        <item x="1"/>
        <item x="3"/>
        <item x="0"/>
        <item x="2"/>
        <item x="5"/>
        <item x="4"/>
        <item t="default"/>
      </items>
    </pivotField>
    <pivotField showAll="0"/>
    <pivotField numFmtId="2" showAll="0"/>
    <pivotField numFmtId="10" showAll="0"/>
    <pivotField showAll="0"/>
    <pivotField showAll="0"/>
    <pivotField showAll="0"/>
    <pivotField showAll="0"/>
  </pivotFields>
  <rowFields count="1">
    <field x="11"/>
  </rowFields>
  <rowItems count="7">
    <i>
      <x/>
    </i>
    <i>
      <x v="1"/>
    </i>
    <i>
      <x v="2"/>
    </i>
    <i>
      <x v="3"/>
    </i>
    <i>
      <x v="4"/>
    </i>
    <i>
      <x v="5"/>
    </i>
    <i t="grand">
      <x/>
    </i>
  </rowItems>
  <colFields count="1">
    <field x="-2"/>
  </colFields>
  <colItems count="2">
    <i>
      <x/>
    </i>
    <i i="1">
      <x v="1"/>
    </i>
  </colItems>
  <dataFields count="2">
    <dataField name="Average of Clicks" fld="10" subtotal="average" baseField="11" baseItem="0" numFmtId="2"/>
    <dataField name="Count of Hashtags Used" fld="11" subtotal="count" baseField="0" baseItem="0"/>
  </dataFields>
  <conditionalFormats count="1">
    <conditionalFormat type="all" priority="1">
      <pivotAreas count="1">
        <pivotArea type="data" collapsedLevelsAreSubtotals="1" fieldPosition="0">
          <references count="2">
            <reference field="4294967294" count="1" selected="0">
              <x v="0"/>
            </reference>
            <reference field="11" count="6">
              <x v="0"/>
              <x v="1"/>
              <x v="2"/>
              <x v="3"/>
              <x v="4"/>
              <x v="5"/>
            </reference>
          </references>
        </pivotArea>
      </pivotAreas>
    </conditionalFormat>
  </conditionalFormat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 chart="2" format="4">
      <pivotArea type="data" outline="0" fieldPosition="0">
        <references count="2">
          <reference field="4294967294" count="1" selected="0">
            <x v="0"/>
          </reference>
          <reference field="11" count="1" selected="0">
            <x v="3"/>
          </reference>
        </references>
      </pivotArea>
    </chartFormat>
    <chartFormat chart="2" format="5">
      <pivotArea type="data" outline="0" fieldPosition="0">
        <references count="2">
          <reference field="4294967294" count="1" selected="0">
            <x v="0"/>
          </reference>
          <reference field="11" count="1" selected="0">
            <x v="4"/>
          </reference>
        </references>
      </pivotArea>
    </chartFormat>
    <chartFormat chart="2" format="6">
      <pivotArea type="data" outline="0" fieldPosition="0">
        <references count="2">
          <reference field="4294967294" count="1" selected="0">
            <x v="0"/>
          </reference>
          <reference field="11"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1" count="1" selected="0">
            <x v="0"/>
          </reference>
        </references>
      </pivotArea>
    </chartFormat>
    <chartFormat chart="6" format="16">
      <pivotArea type="data" outline="0" fieldPosition="0">
        <references count="2">
          <reference field="4294967294" count="1" selected="0">
            <x v="0"/>
          </reference>
          <reference field="11" count="1" selected="0">
            <x v="1"/>
          </reference>
        </references>
      </pivotArea>
    </chartFormat>
    <chartFormat chart="6" format="17">
      <pivotArea type="data" outline="0" fieldPosition="0">
        <references count="2">
          <reference field="4294967294" count="1" selected="0">
            <x v="0"/>
          </reference>
          <reference field="11" count="1" selected="0">
            <x v="2"/>
          </reference>
        </references>
      </pivotArea>
    </chartFormat>
    <chartFormat chart="6" format="18">
      <pivotArea type="data" outline="0" fieldPosition="0">
        <references count="2">
          <reference field="4294967294" count="1" selected="0">
            <x v="0"/>
          </reference>
          <reference field="11" count="1" selected="0">
            <x v="3"/>
          </reference>
        </references>
      </pivotArea>
    </chartFormat>
    <chartFormat chart="6" format="19">
      <pivotArea type="data" outline="0" fieldPosition="0">
        <references count="2">
          <reference field="4294967294" count="1" selected="0">
            <x v="0"/>
          </reference>
          <reference field="11" count="1" selected="0">
            <x v="4"/>
          </reference>
        </references>
      </pivotArea>
    </chartFormat>
    <chartFormat chart="6" format="20">
      <pivotArea type="data" outline="0" fieldPosition="0">
        <references count="2">
          <reference field="4294967294" count="1" selected="0">
            <x v="0"/>
          </reference>
          <reference field="11" count="1" selected="0">
            <x v="5"/>
          </reference>
        </references>
      </pivotArea>
    </chartFormat>
    <chartFormat chart="2" format="7" series="1">
      <pivotArea type="data" outline="0" fieldPosition="0">
        <references count="1">
          <reference field="4294967294" count="1" selected="0">
            <x v="1"/>
          </reference>
        </references>
      </pivotArea>
    </chartFormat>
    <chartFormat chart="6" format="2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E6F727-8BF8-46F6-AE4F-AADBF3A4F9FD}"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0" firstHeaderRow="0" firstDataRow="1" firstDataCol="1"/>
  <pivotFields count="19">
    <pivotField showAll="0"/>
    <pivotField showAll="0"/>
    <pivotField numFmtId="14" showAll="0"/>
    <pivotField showAll="0"/>
    <pivotField showAll="0"/>
    <pivotField dataField="1" numFmtId="2" showAll="0"/>
    <pivotField dataField="1" numFmtId="2" showAll="0"/>
    <pivotField numFmtId="2" showAll="0"/>
    <pivotField numFmtId="2" showAll="0"/>
    <pivotField numFmtId="2" showAll="0"/>
    <pivotField numFmtId="2" showAll="0"/>
    <pivotField axis="axisRow" showAll="0">
      <items count="7">
        <item x="1"/>
        <item x="3"/>
        <item x="0"/>
        <item x="2"/>
        <item x="5"/>
        <item x="4"/>
        <item t="default"/>
      </items>
    </pivotField>
    <pivotField showAll="0"/>
    <pivotField numFmtId="2" showAll="0"/>
    <pivotField numFmtId="10" showAll="0"/>
    <pivotField showAll="0"/>
    <pivotField showAll="0"/>
    <pivotField showAll="0"/>
    <pivotField showAll="0"/>
  </pivotFields>
  <rowFields count="1">
    <field x="11"/>
  </rowFields>
  <rowItems count="7">
    <i>
      <x/>
    </i>
    <i>
      <x v="1"/>
    </i>
    <i>
      <x v="2"/>
    </i>
    <i>
      <x v="3"/>
    </i>
    <i>
      <x v="4"/>
    </i>
    <i>
      <x v="5"/>
    </i>
    <i t="grand">
      <x/>
    </i>
  </rowItems>
  <colFields count="1">
    <field x="-2"/>
  </colFields>
  <colItems count="2">
    <i>
      <x/>
    </i>
    <i i="1">
      <x v="1"/>
    </i>
  </colItems>
  <dataFields count="2">
    <dataField name="Average of Likes" fld="5" subtotal="average" baseField="11" baseItem="0" numFmtId="2"/>
    <dataField name="Average of Shares" fld="6" subtotal="average" baseField="11"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488852-3233-4988-A615-1D97D68C9CFD}"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8" firstHeaderRow="0" firstDataRow="1" firstDataCol="1"/>
  <pivotFields count="27">
    <pivotField showAll="0"/>
    <pivotField axis="axisRow" showAll="0">
      <items count="5">
        <item sd="0" x="3"/>
        <item sd="0" x="2"/>
        <item sd="0" x="0"/>
        <item sd="0" x="1"/>
        <item t="default" sd="0"/>
      </items>
    </pivotField>
    <pivotField numFmtId="14" showAll="0"/>
    <pivotField axis="axisRow" showAll="0">
      <items count="7">
        <item x="3"/>
        <item x="4"/>
        <item x="0"/>
        <item x="2"/>
        <item x="1"/>
        <item x="5"/>
        <item t="default"/>
      </items>
    </pivotField>
    <pivotField showAll="0"/>
    <pivotField dataField="1" numFmtId="1" showAll="0"/>
    <pivotField dataField="1" numFmtId="1" showAll="0"/>
    <pivotField dataField="1" numFmtId="1" showAll="0"/>
    <pivotField numFmtId="1" showAll="0"/>
    <pivotField numFmtId="1" showAll="0"/>
    <pivotField numFmtId="1" showAll="0"/>
    <pivotField showAll="0"/>
    <pivotField showAll="0"/>
    <pivotField numFmtId="1" showAll="0"/>
    <pivotField numFmtId="10"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2">
    <field x="1"/>
    <field x="3"/>
  </rowFields>
  <rowItems count="5">
    <i>
      <x/>
    </i>
    <i>
      <x v="1"/>
    </i>
    <i>
      <x v="2"/>
    </i>
    <i>
      <x v="3"/>
    </i>
    <i t="grand">
      <x/>
    </i>
  </rowItems>
  <colFields count="1">
    <field x="-2"/>
  </colFields>
  <colItems count="4">
    <i>
      <x/>
    </i>
    <i i="1">
      <x v="1"/>
    </i>
    <i i="2">
      <x v="2"/>
    </i>
    <i i="3">
      <x v="3"/>
    </i>
  </colItems>
  <dataFields count="4">
    <dataField name="Sum of Likes" fld="5" baseField="0" baseItem="0" numFmtId="1"/>
    <dataField name="Sum of Shares" fld="6" baseField="0" baseItem="0" numFmtId="1"/>
    <dataField name="Sum of Comments" fld="7" baseField="0" baseItem="0" numFmtId="1"/>
    <dataField name="Total _Engagement" fld="26" baseField="1" baseItem="0" numFmtId="1"/>
  </dataFields>
  <chartFormats count="13">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1"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4" format="11" series="1">
      <pivotArea type="data" outline="0" fieldPosition="0">
        <references count="1">
          <reference field="4294967294" count="1" selected="0">
            <x v="3"/>
          </reference>
        </references>
      </pivotArea>
    </chartFormat>
    <chartFormat chart="9"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97EB20-8122-4809-ACF6-733A2F7D3DEE}"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34" firstHeaderRow="1" firstDataRow="1" firstDataCol="1"/>
  <pivotFields count="27">
    <pivotField showAll="0"/>
    <pivotField axis="axisRow" showAll="0">
      <items count="5">
        <item x="3"/>
        <item x="2"/>
        <item x="0"/>
        <item x="1"/>
        <item t="default"/>
      </items>
    </pivotField>
    <pivotField numFmtId="14" showAll="0"/>
    <pivotField axis="axisRow" showAll="0">
      <items count="7">
        <item x="3"/>
        <item x="4"/>
        <item x="0"/>
        <item x="2"/>
        <item x="1"/>
        <item x="5"/>
        <item t="default"/>
      </items>
    </pivotField>
    <pivotField showAll="0"/>
    <pivotField numFmtId="1" showAll="0"/>
    <pivotField numFmtId="1" showAll="0"/>
    <pivotField numFmtId="1" showAll="0"/>
    <pivotField numFmtId="1" showAll="0"/>
    <pivotField numFmtId="1" showAll="0"/>
    <pivotField numFmtId="1" showAll="0"/>
    <pivotField showAll="0"/>
    <pivotField showAll="0"/>
    <pivotField numFmtId="1" showAll="0"/>
    <pivotField dataField="1" numFmtId="10"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3"/>
    <field x="1"/>
  </rowFields>
  <rowItems count="3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t="grand">
      <x/>
    </i>
  </rowItems>
  <colItems count="1">
    <i/>
  </colItems>
  <dataFields count="1">
    <dataField name="Average of Engagement Rate" fld="14" subtotal="average" baseField="1" baseItem="0" numFmtId="1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F26E4A-D4D5-475B-8814-603EC1930E67}"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7">
    <pivotField showAll="0"/>
    <pivotField showAll="0">
      <items count="5">
        <item x="3"/>
        <item x="2"/>
        <item x="0"/>
        <item x="1"/>
        <item t="default"/>
      </items>
    </pivotField>
    <pivotField numFmtId="14" showAll="0"/>
    <pivotField showAll="0"/>
    <pivotField showAll="0"/>
    <pivotField numFmtId="1" showAll="0"/>
    <pivotField numFmtId="1" showAll="0"/>
    <pivotField numFmtId="1" showAll="0"/>
    <pivotField numFmtId="1" showAll="0"/>
    <pivotField numFmtId="1" showAll="0"/>
    <pivotField numFmtId="1" showAll="0"/>
    <pivotField showAll="0"/>
    <pivotField showAll="0"/>
    <pivotField numFmtId="1" showAll="0"/>
    <pivotField numFmtId="10" showAll="0"/>
    <pivotField axis="axisRow" showAll="0">
      <items count="6">
        <item x="3"/>
        <item x="2"/>
        <item x="4"/>
        <item x="0"/>
        <item x="1"/>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6">
    <i>
      <x/>
    </i>
    <i>
      <x v="1"/>
    </i>
    <i>
      <x v="2"/>
    </i>
    <i>
      <x v="3"/>
    </i>
    <i>
      <x v="4"/>
    </i>
    <i t="grand">
      <x/>
    </i>
  </rowItems>
  <colItems count="1">
    <i/>
  </colItems>
  <dataFields count="1">
    <dataField name="Cost Per Engagement" fld="23" baseField="15" baseItem="0" numFmtId="2"/>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5" count="1" selected="0">
            <x v="0"/>
          </reference>
        </references>
      </pivotArea>
    </chartFormat>
    <chartFormat chart="4" format="14">
      <pivotArea type="data" outline="0" fieldPosition="0">
        <references count="2">
          <reference field="4294967294" count="1" selected="0">
            <x v="0"/>
          </reference>
          <reference field="15" count="1" selected="0">
            <x v="1"/>
          </reference>
        </references>
      </pivotArea>
    </chartFormat>
    <chartFormat chart="4" format="15">
      <pivotArea type="data" outline="0" fieldPosition="0">
        <references count="2">
          <reference field="4294967294" count="1" selected="0">
            <x v="0"/>
          </reference>
          <reference field="15" count="1" selected="0">
            <x v="2"/>
          </reference>
        </references>
      </pivotArea>
    </chartFormat>
    <chartFormat chart="4" format="16">
      <pivotArea type="data" outline="0" fieldPosition="0">
        <references count="2">
          <reference field="4294967294" count="1" selected="0">
            <x v="0"/>
          </reference>
          <reference field="15" count="1" selected="0">
            <x v="3"/>
          </reference>
        </references>
      </pivotArea>
    </chartFormat>
    <chartFormat chart="4" format="17">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787623-667B-4B04-9D69-39D57985074E}"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J9" firstHeaderRow="0" firstDataRow="1" firstDataCol="1"/>
  <pivotFields count="27">
    <pivotField showAll="0"/>
    <pivotField showAll="0"/>
    <pivotField numFmtId="14" showAll="0"/>
    <pivotField showAll="0"/>
    <pivotField showAll="0"/>
    <pivotField dataField="1" numFmtId="1" showAll="0"/>
    <pivotField numFmtId="1" showAll="0"/>
    <pivotField numFmtId="1" showAll="0"/>
    <pivotField dataField="1" numFmtId="1" showAll="0"/>
    <pivotField numFmtId="1" showAll="0"/>
    <pivotField dataField="1" numFmtId="1" showAll="0"/>
    <pivotField showAll="0"/>
    <pivotField showAll="0"/>
    <pivotField numFmtId="1" showAll="0"/>
    <pivotField dataField="1" numFmtId="10" showAll="0"/>
    <pivotField axis="axisRow" showAll="0">
      <items count="6">
        <item x="3"/>
        <item x="2"/>
        <item x="4"/>
        <item x="0"/>
        <item x="1"/>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15"/>
  </rowFields>
  <rowItems count="6">
    <i>
      <x/>
    </i>
    <i>
      <x v="1"/>
    </i>
    <i>
      <x v="2"/>
    </i>
    <i>
      <x v="3"/>
    </i>
    <i>
      <x v="4"/>
    </i>
    <i t="grand">
      <x/>
    </i>
  </rowItems>
  <colFields count="1">
    <field x="-2"/>
  </colFields>
  <colItems count="9">
    <i>
      <x/>
    </i>
    <i i="1">
      <x v="1"/>
    </i>
    <i i="2">
      <x v="2"/>
    </i>
    <i i="3">
      <x v="3"/>
    </i>
    <i i="4">
      <x v="4"/>
    </i>
    <i i="5">
      <x v="5"/>
    </i>
    <i i="6">
      <x v="6"/>
    </i>
    <i i="7">
      <x v="7"/>
    </i>
    <i i="8">
      <x v="8"/>
    </i>
  </colItems>
  <dataFields count="9">
    <dataField name="Sum of Impressions" fld="8" baseField="0" baseItem="0" numFmtId="1"/>
    <dataField name="Sum of Clicks" fld="10" baseField="0" baseItem="0" numFmtId="1"/>
    <dataField name="Sum of Likes" fld="5" baseField="0" baseItem="0" numFmtId="1"/>
    <dataField name="Sum of Engagement Rate" fld="14" baseField="0" baseItem="0" numFmtId="10"/>
    <dataField name="Average of Impressions" fld="8" subtotal="average" baseField="15" baseItem="0" numFmtId="1"/>
    <dataField name="Average of Clicks" fld="10" subtotal="average" baseField="15" baseItem="0" numFmtId="1"/>
    <dataField name="Average of Likes" fld="5" subtotal="average" baseField="15" baseItem="0" numFmtId="1"/>
    <dataField name="Average of Engagement Rate" fld="14" subtotal="average" baseField="15" baseItem="0" numFmtId="10"/>
    <dataField name="Cost_Per_Engagement" fld="25" baseField="15" baseItem="0" numFmtId="1"/>
  </dataFields>
  <formats count="1">
    <format dxfId="39">
      <pivotArea collapsedLevelsAreSubtotals="1" fieldPosition="0">
        <references count="2">
          <reference field="4294967294" count="1" selected="0">
            <x v="8"/>
          </reference>
          <reference field="15" count="0"/>
        </references>
      </pivotArea>
    </format>
  </formats>
  <chartFormats count="2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2" format="6" series="1">
      <pivotArea type="data" outline="0" fieldPosition="0">
        <references count="1">
          <reference field="4294967294" count="1" selected="0">
            <x v="6"/>
          </reference>
        </references>
      </pivotArea>
    </chartFormat>
    <chartFormat chart="2" format="7" series="1">
      <pivotArea type="data" outline="0" fieldPosition="0">
        <references count="1">
          <reference field="4294967294" count="1" selected="0">
            <x v="7"/>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4" format="5" series="1">
      <pivotArea type="data" outline="0" fieldPosition="0">
        <references count="1">
          <reference field="4294967294" count="1" selected="0">
            <x v="5"/>
          </reference>
        </references>
      </pivotArea>
    </chartFormat>
    <chartFormat chart="4" format="6" series="1">
      <pivotArea type="data" outline="0" fieldPosition="0">
        <references count="1">
          <reference field="4294967294" count="1" selected="0">
            <x v="6"/>
          </reference>
        </references>
      </pivotArea>
    </chartFormat>
    <chartFormat chart="4" format="7" series="1">
      <pivotArea type="data" outline="0" fieldPosition="0">
        <references count="1">
          <reference field="4294967294" count="1" selected="0">
            <x v="7"/>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8" format="5" series="1">
      <pivotArea type="data" outline="0" fieldPosition="0">
        <references count="1">
          <reference field="4294967294" count="1" selected="0">
            <x v="5"/>
          </reference>
        </references>
      </pivotArea>
    </chartFormat>
    <chartFormat chart="8" format="6" series="1">
      <pivotArea type="data" outline="0" fieldPosition="0">
        <references count="1">
          <reference field="4294967294" count="1" selected="0">
            <x v="6"/>
          </reference>
        </references>
      </pivotArea>
    </chartFormat>
    <chartFormat chart="8" format="7" series="1">
      <pivotArea type="data" outline="0" fieldPosition="0">
        <references count="1">
          <reference field="4294967294" count="1" selected="0">
            <x v="7"/>
          </reference>
        </references>
      </pivotArea>
    </chartFormat>
    <chartFormat chart="8" format="8" series="1">
      <pivotArea type="data" outline="0" fieldPosition="0">
        <references count="1">
          <reference field="4294967294" count="1" selected="0">
            <x v="8"/>
          </reference>
        </references>
      </pivotArea>
    </chartFormat>
    <chartFormat chart="8" format="9">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5F5917-844E-4150-82C9-8CAE52D3C575}"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55" firstHeaderRow="1" firstDataRow="2" firstDataCol="1"/>
  <pivotFields count="12">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1"/>
        <item x="0"/>
        <item x="2"/>
        <item x="3"/>
        <item t="default"/>
      </items>
    </pivotField>
    <pivotField numFmtId="1" showAll="0"/>
    <pivotField numFmtId="1" showAll="0"/>
    <pivotField numFmtId="1" showAll="0">
      <items count="201">
        <item x="191"/>
        <item x="166"/>
        <item x="162"/>
        <item x="131"/>
        <item x="167"/>
        <item x="110"/>
        <item x="81"/>
        <item x="32"/>
        <item x="119"/>
        <item x="13"/>
        <item x="178"/>
        <item x="12"/>
        <item x="109"/>
        <item x="1"/>
        <item x="4"/>
        <item x="60"/>
        <item x="96"/>
        <item x="92"/>
        <item x="88"/>
        <item x="20"/>
        <item x="35"/>
        <item x="103"/>
        <item x="184"/>
        <item x="67"/>
        <item x="59"/>
        <item x="70"/>
        <item x="180"/>
        <item x="181"/>
        <item x="176"/>
        <item x="118"/>
        <item x="199"/>
        <item x="94"/>
        <item x="47"/>
        <item x="102"/>
        <item x="117"/>
        <item x="71"/>
        <item x="127"/>
        <item x="125"/>
        <item x="163"/>
        <item x="177"/>
        <item x="52"/>
        <item x="43"/>
        <item x="149"/>
        <item x="151"/>
        <item x="19"/>
        <item x="75"/>
        <item x="63"/>
        <item x="95"/>
        <item x="10"/>
        <item x="134"/>
        <item x="37"/>
        <item x="152"/>
        <item x="146"/>
        <item x="141"/>
        <item x="123"/>
        <item x="120"/>
        <item x="182"/>
        <item x="150"/>
        <item x="2"/>
        <item x="195"/>
        <item x="24"/>
        <item x="27"/>
        <item x="77"/>
        <item x="9"/>
        <item x="142"/>
        <item x="45"/>
        <item x="50"/>
        <item x="72"/>
        <item x="46"/>
        <item x="30"/>
        <item x="174"/>
        <item x="79"/>
        <item x="85"/>
        <item x="170"/>
        <item x="17"/>
        <item x="108"/>
        <item x="107"/>
        <item x="144"/>
        <item x="159"/>
        <item x="129"/>
        <item x="189"/>
        <item x="26"/>
        <item x="153"/>
        <item x="23"/>
        <item x="51"/>
        <item x="65"/>
        <item x="86"/>
        <item x="21"/>
        <item x="6"/>
        <item x="83"/>
        <item x="156"/>
        <item x="82"/>
        <item x="91"/>
        <item x="138"/>
        <item x="66"/>
        <item x="143"/>
        <item x="187"/>
        <item x="122"/>
        <item x="116"/>
        <item x="100"/>
        <item x="172"/>
        <item x="34"/>
        <item x="179"/>
        <item x="29"/>
        <item x="14"/>
        <item x="99"/>
        <item x="87"/>
        <item x="31"/>
        <item x="57"/>
        <item x="41"/>
        <item x="93"/>
        <item x="78"/>
        <item x="106"/>
        <item x="145"/>
        <item x="18"/>
        <item x="5"/>
        <item x="154"/>
        <item x="54"/>
        <item x="89"/>
        <item x="39"/>
        <item x="137"/>
        <item x="44"/>
        <item x="114"/>
        <item x="186"/>
        <item x="25"/>
        <item x="101"/>
        <item x="135"/>
        <item x="97"/>
        <item x="161"/>
        <item x="165"/>
        <item x="0"/>
        <item x="84"/>
        <item x="128"/>
        <item x="140"/>
        <item x="80"/>
        <item x="136"/>
        <item x="168"/>
        <item x="197"/>
        <item x="157"/>
        <item x="183"/>
        <item x="173"/>
        <item x="68"/>
        <item x="55"/>
        <item x="126"/>
        <item x="169"/>
        <item x="185"/>
        <item x="56"/>
        <item x="73"/>
        <item x="49"/>
        <item x="121"/>
        <item x="11"/>
        <item x="132"/>
        <item x="76"/>
        <item x="22"/>
        <item x="62"/>
        <item x="3"/>
        <item x="164"/>
        <item x="7"/>
        <item x="113"/>
        <item x="193"/>
        <item x="16"/>
        <item x="104"/>
        <item x="64"/>
        <item x="15"/>
        <item x="58"/>
        <item x="42"/>
        <item x="33"/>
        <item x="175"/>
        <item x="36"/>
        <item x="90"/>
        <item x="171"/>
        <item x="188"/>
        <item x="192"/>
        <item x="38"/>
        <item x="111"/>
        <item x="148"/>
        <item x="69"/>
        <item x="48"/>
        <item x="198"/>
        <item x="8"/>
        <item x="139"/>
        <item x="160"/>
        <item x="155"/>
        <item x="112"/>
        <item x="124"/>
        <item x="158"/>
        <item x="196"/>
        <item x="105"/>
        <item x="28"/>
        <item x="61"/>
        <item x="74"/>
        <item x="133"/>
        <item x="194"/>
        <item x="147"/>
        <item x="190"/>
        <item x="98"/>
        <item x="130"/>
        <item x="115"/>
        <item x="40"/>
        <item x="53"/>
        <item t="default"/>
      </items>
    </pivotField>
    <pivotField numFmtId="2" showAll="0"/>
    <pivotField numFmtId="164" showAll="0"/>
    <pivotField dataField="1" numFmtId="1"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Sum of Net_Growth" fld="7" baseField="0" baseItem="0" numFmtId="1"/>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2"/>
          </reference>
        </references>
      </pivotArea>
    </chartFormat>
    <chartFormat chart="3" format="7" series="1">
      <pivotArea type="data" outline="0" fieldPosition="0">
        <references count="2">
          <reference field="4294967294" count="1" selected="0">
            <x v="0"/>
          </reference>
          <reference field="1" count="1" selected="0">
            <x v="3"/>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0"/>
          </reference>
          <reference field="1" count="1" selected="0">
            <x v="2"/>
          </reference>
        </references>
      </pivotArea>
    </chartFormat>
    <chartFormat chart="4" format="11" series="1">
      <pivotArea type="data" outline="0" fieldPosition="0">
        <references count="2">
          <reference field="4294967294" count="1" selected="0">
            <x v="0"/>
          </reference>
          <reference field="1" count="1" selected="0">
            <x v="3"/>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2"/>
          </reference>
        </references>
      </pivotArea>
    </chartFormat>
    <chartFormat chart="5"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F817E0-7FCE-4A9B-B870-5BDC2F8A9F37}"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2">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1"/>
        <item x="0"/>
        <item x="2"/>
        <item x="3"/>
        <item t="default"/>
      </items>
    </pivotField>
    <pivotField numFmtId="1" showAll="0"/>
    <pivotField numFmtId="1" showAll="0"/>
    <pivotField numFmtId="1" showAll="0"/>
    <pivotField numFmtId="2" showAll="0"/>
    <pivotField numFmtId="164" showAll="0"/>
    <pivotField numFmtId="1"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i>
    <i>
      <x v="1"/>
    </i>
    <i>
      <x v="2"/>
    </i>
    <i>
      <x v="3"/>
    </i>
    <i t="grand">
      <x/>
    </i>
  </rowItems>
  <colItems count="1">
    <i/>
  </colItems>
  <dataFields count="1">
    <dataField name="Average of Growth_Rate" fld="8" subtotal="average" baseField="1" baseItem="1"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5CF46C-F754-4550-B98C-2E7B92EF343B}"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8" firstHeaderRow="0" firstDataRow="1" firstDataCol="1"/>
  <pivotFields count="12">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1"/>
        <item x="0"/>
        <item x="2"/>
        <item x="3"/>
        <item t="default"/>
      </items>
    </pivotField>
    <pivotField numFmtId="1" showAll="0"/>
    <pivotField numFmtId="1" showAll="0"/>
    <pivotField numFmtId="1" showAll="0"/>
    <pivotField dataField="1" numFmtId="2" showAll="0"/>
    <pivotField dataField="1" numFmtId="164" showAll="0"/>
    <pivotField numFmtI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i>
    <i>
      <x v="1"/>
    </i>
    <i>
      <x v="2"/>
    </i>
    <i>
      <x v="3"/>
    </i>
    <i t="grand">
      <x/>
    </i>
  </rowItems>
  <colFields count="1">
    <field x="-2"/>
  </colFields>
  <colItems count="2">
    <i>
      <x/>
    </i>
    <i i="1">
      <x v="1"/>
    </i>
  </colItems>
  <dataFields count="2">
    <dataField name="Sum of Ad_Spend" fld="6" baseField="0" baseItem="0" numFmtId="164"/>
    <dataField name="Average of Engagement_Rate" fld="5" subtotal="average" baseField="1" baseItem="0" numFmtId="2"/>
  </dataFields>
  <chartFormats count="3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1"/>
          </reference>
          <reference field="1" count="1" selected="0">
            <x v="0"/>
          </reference>
        </references>
      </pivotArea>
    </chartFormat>
    <chartFormat chart="2" format="7">
      <pivotArea type="data" outline="0" fieldPosition="0">
        <references count="2">
          <reference field="4294967294" count="1" selected="0">
            <x v="1"/>
          </reference>
          <reference field="1" count="1" selected="0">
            <x v="1"/>
          </reference>
        </references>
      </pivotArea>
    </chartFormat>
    <chartFormat chart="2" format="8">
      <pivotArea type="data" outline="0" fieldPosition="0">
        <references count="2">
          <reference field="4294967294" count="1" selected="0">
            <x v="1"/>
          </reference>
          <reference field="1" count="1" selected="0">
            <x v="2"/>
          </reference>
        </references>
      </pivotArea>
    </chartFormat>
    <chartFormat chart="2" format="9">
      <pivotArea type="data" outline="0" fieldPosition="0">
        <references count="2">
          <reference field="4294967294" count="1" selected="0">
            <x v="1"/>
          </reference>
          <reference field="1"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 chart="11" format="12">
      <pivotArea type="data" outline="0" fieldPosition="0">
        <references count="2">
          <reference field="4294967294" count="1" selected="0">
            <x v="1"/>
          </reference>
          <reference field="1" count="1" selected="0">
            <x v="0"/>
          </reference>
        </references>
      </pivotArea>
    </chartFormat>
    <chartFormat chart="11" format="13">
      <pivotArea type="data" outline="0" fieldPosition="0">
        <references count="2">
          <reference field="4294967294" count="1" selected="0">
            <x v="1"/>
          </reference>
          <reference field="1" count="1" selected="0">
            <x v="1"/>
          </reference>
        </references>
      </pivotArea>
    </chartFormat>
    <chartFormat chart="11" format="14">
      <pivotArea type="data" outline="0" fieldPosition="0">
        <references count="2">
          <reference field="4294967294" count="1" selected="0">
            <x v="1"/>
          </reference>
          <reference field="1" count="1" selected="0">
            <x v="2"/>
          </reference>
        </references>
      </pivotArea>
    </chartFormat>
    <chartFormat chart="11" format="15">
      <pivotArea type="data" outline="0" fieldPosition="0">
        <references count="2">
          <reference field="4294967294" count="1" selected="0">
            <x v="1"/>
          </reference>
          <reference field="1" count="1" selected="0">
            <x v="3"/>
          </reference>
        </references>
      </pivotArea>
    </chartFormat>
    <chartFormat chart="12"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1"/>
          </reference>
        </references>
      </pivotArea>
    </chartFormat>
    <chartFormat chart="12" format="18">
      <pivotArea type="data" outline="0" fieldPosition="0">
        <references count="2">
          <reference field="4294967294" count="1" selected="0">
            <x v="1"/>
          </reference>
          <reference field="1" count="1" selected="0">
            <x v="0"/>
          </reference>
        </references>
      </pivotArea>
    </chartFormat>
    <chartFormat chart="12" format="19">
      <pivotArea type="data" outline="0" fieldPosition="0">
        <references count="2">
          <reference field="4294967294" count="1" selected="0">
            <x v="1"/>
          </reference>
          <reference field="1" count="1" selected="0">
            <x v="1"/>
          </reference>
        </references>
      </pivotArea>
    </chartFormat>
    <chartFormat chart="12" format="20">
      <pivotArea type="data" outline="0" fieldPosition="0">
        <references count="2">
          <reference field="4294967294" count="1" selected="0">
            <x v="1"/>
          </reference>
          <reference field="1" count="1" selected="0">
            <x v="2"/>
          </reference>
        </references>
      </pivotArea>
    </chartFormat>
    <chartFormat chart="12" format="21">
      <pivotArea type="data" outline="0" fieldPosition="0">
        <references count="2">
          <reference field="4294967294" count="1" selected="0">
            <x v="1"/>
          </reference>
          <reference field="1"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series="1">
      <pivotArea type="data" outline="0" fieldPosition="0">
        <references count="1">
          <reference field="4294967294" count="1" selected="0">
            <x v="1"/>
          </reference>
        </references>
      </pivotArea>
    </chartFormat>
    <chartFormat chart="13" format="18">
      <pivotArea type="data" outline="0" fieldPosition="0">
        <references count="2">
          <reference field="4294967294" count="1" selected="0">
            <x v="1"/>
          </reference>
          <reference field="1" count="1" selected="0">
            <x v="0"/>
          </reference>
        </references>
      </pivotArea>
    </chartFormat>
    <chartFormat chart="13" format="19">
      <pivotArea type="data" outline="0" fieldPosition="0">
        <references count="2">
          <reference field="4294967294" count="1" selected="0">
            <x v="1"/>
          </reference>
          <reference field="1" count="1" selected="0">
            <x v="1"/>
          </reference>
        </references>
      </pivotArea>
    </chartFormat>
    <chartFormat chart="13" format="20">
      <pivotArea type="data" outline="0" fieldPosition="0">
        <references count="2">
          <reference field="4294967294" count="1" selected="0">
            <x v="1"/>
          </reference>
          <reference field="1" count="1" selected="0">
            <x v="2"/>
          </reference>
        </references>
      </pivotArea>
    </chartFormat>
    <chartFormat chart="13" format="21">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FF85B2-8CA2-450E-A8FB-81BD4E77158B}" autoFormatId="16" applyNumberFormats="0" applyBorderFormats="0" applyFontFormats="0" applyPatternFormats="0" applyAlignmentFormats="0" applyWidthHeightFormats="0">
  <queryTableRefresh nextId="24">
    <queryTableFields count="19">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22" name="Hashtags Used" tableColumnId="22"/>
      <queryTableField id="15" name="Campaign_Name" tableColumnId="15"/>
      <queryTableField id="16" name="Total Engagement " tableColumnId="16"/>
      <queryTableField id="17" name="Engagement Rate" tableColumnId="17"/>
      <queryTableField id="18" name="Campaign_Name2" tableColumnId="18"/>
      <queryTableField id="19" name="Start Date" tableColumnId="19"/>
      <queryTableField id="20" name="End Date" tableColumnId="20"/>
      <queryTableField id="21" name="Budget" tableColumnId="2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4B1B8D-FA7D-4017-93F4-568537E6DF4D}" name="Table1" displayName="Table1" ref="A1:T301" totalsRowShown="0" headerRowDxfId="82" dataDxfId="80" headerRowBorderDxfId="81" tableBorderDxfId="79">
  <autoFilter ref="A1:T301" xr:uid="{994B1B8D-FA7D-4017-93F4-568537E6DF4D}"/>
  <tableColumns count="20">
    <tableColumn id="1" xr3:uid="{C0F06B5F-3B1E-4090-851F-42985A455161}" name="Post ID" dataDxfId="78"/>
    <tableColumn id="2" xr3:uid="{A5CC8209-B5B3-416A-8FFB-C920A1514C73}" name="Platform" dataDxfId="77"/>
    <tableColumn id="3" xr3:uid="{34AFC3FA-8BB4-4B7C-AEAB-E5D132705EB6}" name="Date" dataDxfId="76"/>
    <tableColumn id="4" xr3:uid="{6099CB11-562B-4F21-853F-1F61DC4A3580}" name="Content Type" dataDxfId="75"/>
    <tableColumn id="5" xr3:uid="{FA048CB6-183A-4B44-B893-4B5A3820E612}" name="Post Text" dataDxfId="74"/>
    <tableColumn id="6" xr3:uid="{29CD918C-A1E6-4A8C-829D-B64DC056FCDC}" name="Likes" dataDxfId="73"/>
    <tableColumn id="7" xr3:uid="{F60F92D1-21E7-4BDA-8346-93A40F64EE76}" name="Shares" dataDxfId="72"/>
    <tableColumn id="8" xr3:uid="{683FC201-579F-4FC0-8FB8-4F16C74ED7B8}" name="Comments" dataDxfId="71"/>
    <tableColumn id="9" xr3:uid="{BDBD518A-DF0F-4D88-9120-BA9C99BA7A2C}" name="Impressions" dataDxfId="70"/>
    <tableColumn id="10" xr3:uid="{C47FE49E-D07C-488E-936B-BB78851D156B}" name="Reach" dataDxfId="69"/>
    <tableColumn id="11" xr3:uid="{7135EF92-38C6-4B0A-AE20-E30219EE492E}" name="Clicks" dataDxfId="68"/>
    <tableColumn id="12" xr3:uid="{D978E696-C934-4E22-8C4E-F9CB554CD2DC}" name="Hashtags Used" dataDxfId="67"/>
    <tableColumn id="13" xr3:uid="{F04636A1-8B8F-4AD4-B03A-9454832BB726}" name="Campaign_Name" dataDxfId="66"/>
    <tableColumn id="14" xr3:uid="{03D660E4-0F49-47FB-8415-0C36AD559DED}" name="Total Engagement " dataDxfId="65">
      <calculatedColumnFormula>SUM(F2,G2,H2)</calculatedColumnFormula>
    </tableColumn>
    <tableColumn id="15" xr3:uid="{1C049710-11B4-45A5-A91F-10FEDA561C4D}" name="Engagement Rate" dataDxfId="64">
      <calculatedColumnFormula>IFERROR((Table1[[#This Row],[Likes]]+Table1[[#This Row],[Shares]]+Table1[[#This Row],[Comments]])/Table1[[#This Row],[Impressions]], 0)</calculatedColumnFormula>
    </tableColumn>
    <tableColumn id="16" xr3:uid="{7931EC46-8499-4083-8107-43688C9DA9A9}" name="Campaign_Name2" dataDxfId="63">
      <calculatedColumnFormula array="1">IFERROR(INDEX('Campaign Metadata (2)'!$A$2:$A$10, MATCH(1, (C2&gt;='Campaign Metadata (2)'!$B$2:$B$10) * (C2&lt;='Campaign Metadata (2)'!$C$2:$C$10), 0)), "No Campaign")</calculatedColumnFormula>
    </tableColumn>
    <tableColumn id="17" xr3:uid="{7C7B28F3-50FF-49D7-A952-39DCC0C09698}" name="Start Date" dataDxfId="62">
      <calculatedColumnFormula>VLOOKUP(Table1[[#This Row],[Campaign_Name2]],Table3[#All],2,)</calculatedColumnFormula>
    </tableColumn>
    <tableColumn id="18" xr3:uid="{3941673C-3CB7-4469-AC36-94FB7E93E8B9}" name="End Date" dataDxfId="61">
      <calculatedColumnFormula>VLOOKUP(Table1[[#This Row],[Campaign_Name2]],Table3[#All],3,FALSE)</calculatedColumnFormula>
    </tableColumn>
    <tableColumn id="19" xr3:uid="{FFF19998-B37C-40C4-9A3D-CE6AAF8116DD}" name="Budget" dataDxfId="60">
      <calculatedColumnFormula>VLOOKUP(Table1[[#This Row],[Campaign_Name2]],Table3[],5,FALSE)</calculatedColumnFormula>
    </tableColumn>
    <tableColumn id="20" xr3:uid="{33E8E30F-1382-4E2F-BCA6-724BA405C1B0}" name="Per-Post Budget" dataDxfId="59">
      <calculatedColumnFormula>IF(Table1[[#This Row],[Campaign_Name2]]="No Campaign", 0, Table1[[#This Row],[Budget]]/COUNTIF(Table1[Campaign_Name2],Table1[[#This Row],[Campaign_Name2]]))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F75005-15A3-4062-8FA6-05C6FDA4B56F}" name="Table15_1" displayName="Table15_1" ref="A1:S340" tableType="queryTable" totalsRowShown="0">
  <autoFilter ref="A1:S340" xr:uid="{FDF75005-15A3-4062-8FA6-05C6FDA4B56F}"/>
  <tableColumns count="19">
    <tableColumn id="1" xr3:uid="{EB416A71-6355-4B7C-93A5-74214CCF9359}" uniqueName="1" name="Post ID" queryTableFieldId="1" dataDxfId="58"/>
    <tableColumn id="2" xr3:uid="{D476ECF4-0FA3-46E2-A770-0CF1EACD20F9}" uniqueName="2" name="Platform" queryTableFieldId="2" dataDxfId="57"/>
    <tableColumn id="3" xr3:uid="{E35B2DF7-085D-4AF8-91C0-1464DACAEDA7}" uniqueName="3" name="Date" queryTableFieldId="3" dataDxfId="56"/>
    <tableColumn id="4" xr3:uid="{135CFD06-2DE1-45BF-BCCA-1365E1B9DAC8}" uniqueName="4" name="Content Type" queryTableFieldId="4" dataDxfId="55"/>
    <tableColumn id="5" xr3:uid="{48C4CA3E-8BDD-475D-A7A8-32F0D6A4E150}" uniqueName="5" name="Post Text" queryTableFieldId="5" dataDxfId="54"/>
    <tableColumn id="6" xr3:uid="{F930B071-3B50-4DED-A03F-9E3931EBDDF2}" uniqueName="6" name="Likes" queryTableFieldId="6" dataDxfId="53"/>
    <tableColumn id="7" xr3:uid="{614AB82C-9217-408A-9852-15AA0C6A9FEF}" uniqueName="7" name="Shares" queryTableFieldId="7" dataDxfId="52"/>
    <tableColumn id="8" xr3:uid="{973FFE8C-6BA4-4D00-8CB9-B36F4D7A1449}" uniqueName="8" name="Comments" queryTableFieldId="8" dataDxfId="51"/>
    <tableColumn id="9" xr3:uid="{AD96D6F5-2CAA-4EB2-803C-4CE56009AE76}" uniqueName="9" name="Impressions" queryTableFieldId="9" dataDxfId="50"/>
    <tableColumn id="10" xr3:uid="{5CEB664C-913D-473A-860B-19A9A63BBBA6}" uniqueName="10" name="Reach" queryTableFieldId="10" dataDxfId="49"/>
    <tableColumn id="11" xr3:uid="{6C68F5D7-C293-4EED-A1AF-787439E8FF63}" uniqueName="11" name="Clicks" queryTableFieldId="11" dataDxfId="48"/>
    <tableColumn id="22" xr3:uid="{3DD26563-B0C0-40C8-A99F-0B73D75123D1}" uniqueName="22" name="Hashtags Used" queryTableFieldId="22" dataDxfId="47"/>
    <tableColumn id="15" xr3:uid="{D04A7349-C105-4797-A569-2F2C5D749F68}" uniqueName="15" name="Campaign_Name" queryTableFieldId="15" dataDxfId="46"/>
    <tableColumn id="16" xr3:uid="{7A7B9557-A526-4B62-BEC9-17272396739E}" uniqueName="16" name="Total Engagement " queryTableFieldId="16" dataDxfId="45"/>
    <tableColumn id="17" xr3:uid="{5A7B3CBB-FC14-4E19-8CA7-340496033674}" uniqueName="17" name="Engagement Rate" queryTableFieldId="17" dataDxfId="44"/>
    <tableColumn id="18" xr3:uid="{B4F30FA9-AAB8-403D-A4D3-79EB79A43319}" uniqueName="18" name="Campaign_Name2" queryTableFieldId="18" dataDxfId="43"/>
    <tableColumn id="19" xr3:uid="{A45B86A7-5641-4828-9B8B-20C4F119CCC3}" uniqueName="19" name="Start Date" queryTableFieldId="19" dataDxfId="42"/>
    <tableColumn id="20" xr3:uid="{3143227D-1CC6-406E-A4CA-FB0599C70006}" uniqueName="20" name="End Date" queryTableFieldId="20" dataDxfId="41"/>
    <tableColumn id="21" xr3:uid="{A150C560-A98D-415C-AEBB-24D803CBC48A}" uniqueName="21" name="Budget" queryTableFieldId="21" dataDxfId="4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307A8A-A42C-4AD0-AF1D-699BD28836EC}" name="Table2" displayName="Table2" ref="A1:I201" totalsRowShown="0" headerRowDxfId="35" dataDxfId="33" headerRowBorderDxfId="34" tableBorderDxfId="32">
  <autoFilter ref="A1:I201" xr:uid="{A3307A8A-A42C-4AD0-AF1D-699BD28836EC}"/>
  <tableColumns count="9">
    <tableColumn id="1" xr3:uid="{D809A6EE-5921-483C-8364-8F1F9DF2863D}" name="Week_Start_Date" dataDxfId="31"/>
    <tableColumn id="2" xr3:uid="{791BFD1E-1950-439B-BB5A-215C54271149}" name="Platform" dataDxfId="30"/>
    <tableColumn id="3" xr3:uid="{FB424292-0851-4E9B-9446-0CFD9C0B7128}" name="New_Followers" dataDxfId="29"/>
    <tableColumn id="4" xr3:uid="{05B34C5F-B3D0-46C5-A450-61DA853A5A1B}" name="Unfollows" dataDxfId="28"/>
    <tableColumn id="5" xr3:uid="{837F5791-3E92-4050-9077-C95D6349279C}" name="Total_Followers" dataDxfId="27"/>
    <tableColumn id="6" xr3:uid="{771BB91F-6AB0-471B-AEB7-C0CCEE702FB4}" name="Engagement_Rate" dataDxfId="26"/>
    <tableColumn id="7" xr3:uid="{1FEB2E4A-8BEC-4AB6-8939-0735EF4F3240}" name="Ad_Spend" dataDxfId="25"/>
    <tableColumn id="8" xr3:uid="{6934A4E1-4520-47A2-838C-37F7B053C428}" name="Net_Growth" dataDxfId="24">
      <calculatedColumnFormula>Table2[[#This Row],[New_Followers]]-Table2[[#This Row],[Unfollows]]</calculatedColumnFormula>
    </tableColumn>
    <tableColumn id="9" xr3:uid="{07CBA733-EB88-4F28-87AB-1A952A9D3B83}" name="Growth_Rate" dataDxfId="23">
      <calculatedColumnFormula>Table2[[#This Row],[Net_Growth]]/(Table2[[#This Row],[Total_Followers]]-Table2[[#This Row],[Net_Growth]])</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3EA011-9016-498D-AA67-F167CD5755FC}" name="Table6" displayName="Table6" ref="A1:B52" totalsRowShown="0" headerRowDxfId="4">
  <autoFilter ref="A1:B52" xr:uid="{3C3EA011-9016-498D-AA67-F167CD5755FC}">
    <filterColumn colId="1">
      <top10 val="10" filterVal="4360"/>
    </filterColumn>
  </autoFilter>
  <tableColumns count="2">
    <tableColumn id="1" xr3:uid="{54CED28D-B402-4F3A-9A07-C490F148530C}" name="Week_Start_Date" dataDxfId="6"/>
    <tableColumn id="2" xr3:uid="{5CB5BDAD-D479-4C2E-BEAE-EFF3B1E0E270}" name="Net_Gain"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C057EB-F059-47C4-9427-5078F5263D4D}" name="Table10" displayName="Table10" ref="A1:B6" totalsRowShown="0" headerRowDxfId="38" headerRowBorderDxfId="37">
  <autoFilter ref="A1:B6" xr:uid="{E6C057EB-F059-47C4-9427-5078F5263D4D}"/>
  <tableColumns count="2">
    <tableColumn id="1" xr3:uid="{AC5832C9-FF55-43C3-BDA1-F0B5552B3C1E}" name="Campaign Name"/>
    <tableColumn id="2" xr3:uid="{5AD0504E-3581-4C99-86D9-C8549B769E95}" name="Empact" dataDxfId="3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1783C0-B0D2-49D6-B310-CD472008AB24}" name="Table3" displayName="Table3" ref="A1:K5" totalsRowShown="0" headerRowDxfId="22" dataDxfId="20" headerRowBorderDxfId="21" tableBorderDxfId="19" totalsRowBorderDxfId="18">
  <autoFilter ref="A1:K5" xr:uid="{9B1783C0-B0D2-49D6-B310-CD472008AB24}"/>
  <tableColumns count="11">
    <tableColumn id="1" xr3:uid="{FAAA3A16-7A72-41CB-9852-9244F13C6302}" name="Campaign_Name" dataDxfId="17"/>
    <tableColumn id="2" xr3:uid="{65586DE5-67C5-4499-BCE9-3731E2EECDD0}" name="Start_Date" dataDxfId="16"/>
    <tableColumn id="3" xr3:uid="{F69862D4-EFED-410E-A4C3-FFAA3C5A049B}" name="End_Date" dataDxfId="15"/>
    <tableColumn id="4" xr3:uid="{773BBD7B-ABBA-4F6E-8023-8B1E8BDE0422}" name="Objective" dataDxfId="14"/>
    <tableColumn id="5" xr3:uid="{5F6FFD16-FD71-41F3-A72B-D16F3877D93C}" name="Total_Budget" dataDxfId="13"/>
    <tableColumn id="6" xr3:uid="{56456226-D47E-4FFD-986F-6CEC3D2715E8}" name="Target_Platforms" dataDxfId="12"/>
    <tableColumn id="7" xr3:uid="{77EDA08A-98D3-4169-AA60-6C8633EE8CB0}" name="Primary_Hashtags" dataDxfId="11"/>
    <tableColumn id="8" xr3:uid="{B7EC4B0A-2DBD-4F99-B4B6-0194A72DC240}" name="Before_Period_Start_Date" dataDxfId="10">
      <calculatedColumnFormula>(Table3[[#This Row],[Start_Date]]-30)</calculatedColumnFormula>
    </tableColumn>
    <tableColumn id="9" xr3:uid="{60E3B60D-3A8D-4F4D-A2F5-5C5902DEDE16}" name="Avg_Engagement_During" dataDxfId="9">
      <calculatedColumnFormula>AVERAGEIFS(Cleaned_Data!$O:$O, Cleaned_Data!$C:$C, "&gt;="&amp;B2, Cleaned_Data!$C:$C, "&lt;="&amp;C2)</calculatedColumnFormula>
    </tableColumn>
    <tableColumn id="10" xr3:uid="{1BA1E1F4-B928-4FC9-B481-BDA9906DB573}" name="Avg_Engagement_Before" dataDxfId="8">
      <calculatedColumnFormula>AVERAGEIFS(Cleaned_Data!$O:$O, Cleaned_Data!$C:$C, "&gt;="&amp;H2, Cleaned_Data!$C:$C, "&lt;"&amp;B2)</calculatedColumnFormula>
    </tableColumn>
    <tableColumn id="11" xr3:uid="{9CCCA653-2916-4087-AF38-ECFA1B5F5439}" name="Engagement_Uplift" dataDxfId="7">
      <calculatedColumnFormula>(I2-J2)/J2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B4BE1-401C-4177-A412-CF4C606D4450}">
  <sheetPr codeName="Sheet1"/>
  <dimension ref="A1:S134"/>
  <sheetViews>
    <sheetView showGridLines="0" topLeftCell="A13" zoomScale="38" zoomScaleNormal="117" workbookViewId="0">
      <selection activeCell="C11" sqref="C11"/>
    </sheetView>
  </sheetViews>
  <sheetFormatPr defaultRowHeight="14.4" x14ac:dyDescent="0.3"/>
  <cols>
    <col min="1" max="1" width="9.88671875" style="43" customWidth="1"/>
    <col min="2" max="2" width="9.6640625" style="43" customWidth="1"/>
    <col min="3" max="3" width="15.109375" style="43" customWidth="1"/>
    <col min="4" max="4" width="8.88671875" style="43"/>
    <col min="5" max="5" width="18.33203125" style="43" customWidth="1"/>
    <col min="6" max="6" width="8.88671875" style="43"/>
    <col min="7" max="7" width="9.77734375" style="43" customWidth="1"/>
    <col min="8" max="8" width="11.5546875" style="43" customWidth="1"/>
    <col min="9" max="9" width="8.88671875" style="43"/>
    <col min="10" max="10" width="14" style="43" customWidth="1"/>
    <col min="11" max="12" width="8.88671875" style="43"/>
    <col min="13" max="13" width="32.44140625" style="43" customWidth="1"/>
    <col min="14" max="16384" width="8.88671875" style="43"/>
  </cols>
  <sheetData>
    <row r="1" spans="1:19" ht="14.4" customHeight="1" x14ac:dyDescent="0.3">
      <c r="A1" s="61" t="s">
        <v>648</v>
      </c>
      <c r="B1" s="61"/>
      <c r="C1" s="61"/>
      <c r="D1" s="61"/>
      <c r="E1" s="61"/>
      <c r="F1" s="61"/>
      <c r="G1" s="61"/>
      <c r="H1" s="61"/>
      <c r="I1" s="61"/>
      <c r="J1" s="61"/>
      <c r="K1" s="61"/>
      <c r="L1" s="61"/>
      <c r="M1" s="61"/>
      <c r="N1" s="61"/>
      <c r="O1" s="61"/>
      <c r="P1" s="61"/>
      <c r="Q1" s="61"/>
      <c r="R1" s="61"/>
      <c r="S1" s="61"/>
    </row>
    <row r="2" spans="1:19" ht="14.4" customHeight="1" x14ac:dyDescent="0.3">
      <c r="A2" s="61"/>
      <c r="B2" s="61"/>
      <c r="C2" s="61"/>
      <c r="D2" s="61"/>
      <c r="E2" s="61"/>
      <c r="F2" s="61"/>
      <c r="G2" s="61"/>
      <c r="H2" s="61"/>
      <c r="I2" s="61"/>
      <c r="J2" s="61"/>
      <c r="K2" s="61"/>
      <c r="L2" s="61"/>
      <c r="M2" s="61"/>
      <c r="N2" s="61"/>
      <c r="O2" s="61"/>
      <c r="P2" s="61"/>
      <c r="Q2" s="61"/>
      <c r="R2" s="61"/>
      <c r="S2" s="61"/>
    </row>
    <row r="3" spans="1:19" ht="50.4" customHeight="1" x14ac:dyDescent="0.3">
      <c r="A3" s="61"/>
      <c r="B3" s="61"/>
      <c r="C3" s="61"/>
      <c r="D3" s="61"/>
      <c r="E3" s="61"/>
      <c r="F3" s="61"/>
      <c r="G3" s="61"/>
      <c r="H3" s="61"/>
      <c r="I3" s="61"/>
      <c r="J3" s="61"/>
      <c r="K3" s="61"/>
      <c r="L3" s="61"/>
      <c r="M3" s="61"/>
      <c r="N3" s="61"/>
      <c r="O3" s="61"/>
      <c r="P3" s="61"/>
      <c r="Q3" s="61"/>
      <c r="R3" s="61"/>
      <c r="S3" s="61"/>
    </row>
    <row r="5" spans="1:19" ht="14.4" customHeight="1" x14ac:dyDescent="0.3">
      <c r="A5" s="58" t="s">
        <v>649</v>
      </c>
      <c r="B5" s="59"/>
      <c r="C5" s="59"/>
      <c r="E5" s="58" t="s">
        <v>651</v>
      </c>
      <c r="F5" s="58"/>
      <c r="G5" s="58"/>
      <c r="H5" s="58"/>
      <c r="I5" s="58"/>
      <c r="J5" s="58"/>
    </row>
    <row r="6" spans="1:19" ht="14.4" customHeight="1" x14ac:dyDescent="0.3">
      <c r="A6" s="59"/>
      <c r="B6" s="59"/>
      <c r="C6" s="59"/>
      <c r="E6" s="58"/>
      <c r="F6" s="58"/>
      <c r="G6" s="58"/>
      <c r="H6" s="58"/>
      <c r="I6" s="58"/>
      <c r="J6" s="58"/>
    </row>
    <row r="7" spans="1:19" ht="108" customHeight="1" x14ac:dyDescent="0.3">
      <c r="A7" s="60" t="s">
        <v>43</v>
      </c>
      <c r="B7" s="60"/>
      <c r="C7" s="44" t="s">
        <v>650</v>
      </c>
      <c r="E7" s="62" t="s">
        <v>665</v>
      </c>
      <c r="F7" s="62"/>
      <c r="G7" s="62"/>
      <c r="H7" s="62"/>
      <c r="I7" s="62"/>
      <c r="J7" s="62"/>
    </row>
    <row r="8" spans="1:19" ht="41.4" customHeight="1" x14ac:dyDescent="0.3">
      <c r="A8" s="60"/>
      <c r="B8" s="60"/>
      <c r="E8" s="62"/>
      <c r="F8" s="62"/>
      <c r="G8" s="62"/>
      <c r="H8" s="62"/>
      <c r="I8" s="62"/>
      <c r="J8" s="62"/>
    </row>
    <row r="9" spans="1:19" ht="126" customHeight="1" x14ac:dyDescent="0.3">
      <c r="C9" s="44"/>
      <c r="D9" s="45"/>
    </row>
    <row r="10" spans="1:19" ht="25.2" x14ac:dyDescent="0.5">
      <c r="A10" s="46"/>
      <c r="H10" s="60"/>
      <c r="I10" s="63"/>
      <c r="J10" s="46"/>
    </row>
    <row r="13" spans="1:19" ht="212.4" customHeight="1" x14ac:dyDescent="0.3"/>
    <row r="17" spans="1:2" ht="133.19999999999999" customHeight="1" x14ac:dyDescent="0.3"/>
    <row r="18" spans="1:2" ht="6.6" customHeight="1" x14ac:dyDescent="0.3"/>
    <row r="19" spans="1:2" x14ac:dyDescent="0.3">
      <c r="A19" s="60"/>
      <c r="B19" s="59"/>
    </row>
    <row r="20" spans="1:2" x14ac:dyDescent="0.3">
      <c r="A20" s="59"/>
      <c r="B20" s="59"/>
    </row>
    <row r="132" spans="7:7" ht="12" customHeight="1" x14ac:dyDescent="0.3"/>
    <row r="133" spans="7:7" hidden="1" x14ac:dyDescent="0.3"/>
    <row r="134" spans="7:7" ht="25.8" x14ac:dyDescent="0.5">
      <c r="G134" s="70"/>
    </row>
  </sheetData>
  <mergeCells count="7">
    <mergeCell ref="A5:C6"/>
    <mergeCell ref="A7:B8"/>
    <mergeCell ref="A19:B20"/>
    <mergeCell ref="E7:J8"/>
    <mergeCell ref="E5:J6"/>
    <mergeCell ref="H10:I10"/>
    <mergeCell ref="A1:S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sheetPr>
  <dimension ref="A1:M1000"/>
  <sheetViews>
    <sheetView topLeftCell="E1" workbookViewId="0"/>
  </sheetViews>
  <sheetFormatPr defaultColWidth="14.44140625" defaultRowHeight="15" customHeight="1" x14ac:dyDescent="0.3"/>
  <cols>
    <col min="1" max="1" width="8.6640625" customWidth="1"/>
    <col min="2" max="2" width="22.6640625" customWidth="1"/>
    <col min="3" max="3" width="24.6640625" customWidth="1"/>
    <col min="4" max="10" width="8.6640625" customWidth="1"/>
    <col min="11" max="11" width="15.6640625" customWidth="1"/>
    <col min="12" max="12" width="29.44140625" customWidth="1"/>
    <col min="13" max="13" width="31.6640625" customWidth="1"/>
    <col min="14" max="26" width="8.6640625" customWidth="1"/>
  </cols>
  <sheetData>
    <row r="1" spans="1:13" ht="14.25" customHeight="1" x14ac:dyDescent="0.3">
      <c r="A1" s="1" t="s">
        <v>0</v>
      </c>
      <c r="B1" s="2" t="s">
        <v>1</v>
      </c>
      <c r="C1" s="1" t="s">
        <v>2</v>
      </c>
      <c r="D1" s="2" t="s">
        <v>3</v>
      </c>
      <c r="E1" s="2" t="s">
        <v>4</v>
      </c>
      <c r="F1" s="1" t="s">
        <v>5</v>
      </c>
      <c r="G1" s="1" t="s">
        <v>6</v>
      </c>
      <c r="H1" s="2" t="s">
        <v>7</v>
      </c>
      <c r="I1" s="2" t="s">
        <v>8</v>
      </c>
      <c r="J1" s="1" t="s">
        <v>9</v>
      </c>
      <c r="K1" s="1" t="s">
        <v>10</v>
      </c>
      <c r="L1" s="1" t="s">
        <v>11</v>
      </c>
      <c r="M1" s="2" t="s">
        <v>12</v>
      </c>
    </row>
    <row r="2" spans="1:13" ht="14.25" customHeight="1" x14ac:dyDescent="0.3">
      <c r="A2" s="3" t="s">
        <v>13</v>
      </c>
      <c r="B2" s="3" t="s">
        <v>14</v>
      </c>
      <c r="C2" s="3" t="s">
        <v>15</v>
      </c>
      <c r="D2" s="3" t="s">
        <v>16</v>
      </c>
      <c r="E2" s="3" t="s">
        <v>17</v>
      </c>
      <c r="F2" s="3">
        <v>1461</v>
      </c>
      <c r="G2" s="3">
        <v>184</v>
      </c>
      <c r="H2" s="3">
        <v>344</v>
      </c>
      <c r="I2" s="3">
        <v>21915</v>
      </c>
      <c r="J2" s="3">
        <v>21675</v>
      </c>
      <c r="K2" s="3">
        <v>15</v>
      </c>
      <c r="L2" s="4" t="s">
        <v>18</v>
      </c>
      <c r="M2" s="5" t="s">
        <v>19</v>
      </c>
    </row>
    <row r="3" spans="1:13" ht="14.25" customHeight="1" x14ac:dyDescent="0.3">
      <c r="A3" s="3" t="s">
        <v>20</v>
      </c>
      <c r="B3" s="3" t="s">
        <v>14</v>
      </c>
      <c r="C3" s="3" t="s">
        <v>21</v>
      </c>
      <c r="D3" s="3" t="s">
        <v>22</v>
      </c>
      <c r="E3" s="3" t="s">
        <v>23</v>
      </c>
      <c r="F3" s="3">
        <v>4054</v>
      </c>
      <c r="G3" s="3">
        <v>389</v>
      </c>
      <c r="H3" s="3">
        <v>493</v>
      </c>
      <c r="I3" s="3">
        <v>64864</v>
      </c>
      <c r="J3" s="3">
        <v>64383</v>
      </c>
      <c r="K3" s="3">
        <v>117</v>
      </c>
      <c r="L3" s="4" t="s">
        <v>24</v>
      </c>
      <c r="M3" s="5" t="s">
        <v>25</v>
      </c>
    </row>
    <row r="4" spans="1:13" ht="14.25" customHeight="1" x14ac:dyDescent="0.3">
      <c r="A4" s="3" t="s">
        <v>26</v>
      </c>
      <c r="B4" s="3" t="s">
        <v>27</v>
      </c>
      <c r="C4" s="3" t="s">
        <v>28</v>
      </c>
      <c r="D4" s="3" t="s">
        <v>16</v>
      </c>
      <c r="E4" s="3" t="s">
        <v>29</v>
      </c>
      <c r="F4" s="3">
        <v>2795</v>
      </c>
      <c r="G4" s="3">
        <v>105</v>
      </c>
      <c r="H4" s="3">
        <v>49</v>
      </c>
      <c r="I4" s="3">
        <v>53105</v>
      </c>
      <c r="J4" s="3">
        <v>52307</v>
      </c>
      <c r="K4" s="3">
        <v>204</v>
      </c>
      <c r="L4" s="4" t="s">
        <v>30</v>
      </c>
      <c r="M4" s="5" t="s">
        <v>31</v>
      </c>
    </row>
    <row r="5" spans="1:13" ht="14.25" customHeight="1" x14ac:dyDescent="0.3">
      <c r="A5" s="3" t="s">
        <v>32</v>
      </c>
      <c r="B5" s="3" t="s">
        <v>33</v>
      </c>
      <c r="C5" s="3" t="s">
        <v>34</v>
      </c>
      <c r="D5" s="3" t="s">
        <v>35</v>
      </c>
      <c r="E5" s="3" t="s">
        <v>36</v>
      </c>
      <c r="F5" s="3">
        <v>2404</v>
      </c>
      <c r="G5" s="3">
        <v>363</v>
      </c>
      <c r="H5" s="3">
        <v>138</v>
      </c>
      <c r="I5" s="3">
        <v>19232</v>
      </c>
      <c r="J5" s="3">
        <v>18636</v>
      </c>
      <c r="K5" s="3">
        <v>128</v>
      </c>
      <c r="L5" s="4" t="s">
        <v>37</v>
      </c>
      <c r="M5" s="5" t="s">
        <v>38</v>
      </c>
    </row>
    <row r="6" spans="1:13" ht="14.25" customHeight="1" x14ac:dyDescent="0.3">
      <c r="A6" s="3" t="s">
        <v>39</v>
      </c>
      <c r="B6" s="3" t="s">
        <v>27</v>
      </c>
      <c r="C6" s="3" t="s">
        <v>40</v>
      </c>
      <c r="D6" s="3" t="s">
        <v>16</v>
      </c>
      <c r="E6" s="3" t="s">
        <v>29</v>
      </c>
      <c r="F6" s="3">
        <v>3557</v>
      </c>
      <c r="G6" s="3">
        <v>687</v>
      </c>
      <c r="H6" s="3">
        <v>424</v>
      </c>
      <c r="I6" s="3">
        <v>71140</v>
      </c>
      <c r="J6" s="3">
        <v>70701</v>
      </c>
      <c r="K6" s="3">
        <v>224</v>
      </c>
      <c r="L6" s="4" t="s">
        <v>41</v>
      </c>
      <c r="M6" s="5" t="s">
        <v>19</v>
      </c>
    </row>
    <row r="7" spans="1:13" ht="14.25" customHeight="1" x14ac:dyDescent="0.3">
      <c r="A7" s="3" t="s">
        <v>42</v>
      </c>
      <c r="B7" s="3" t="s">
        <v>43</v>
      </c>
      <c r="C7" s="3" t="s">
        <v>44</v>
      </c>
      <c r="D7" s="3" t="s">
        <v>45</v>
      </c>
      <c r="E7" s="3" t="s">
        <v>46</v>
      </c>
      <c r="F7" s="3">
        <v>2945</v>
      </c>
      <c r="G7" s="3">
        <v>930</v>
      </c>
      <c r="H7" s="3">
        <v>355</v>
      </c>
      <c r="I7" s="3">
        <v>23560</v>
      </c>
      <c r="J7" s="3">
        <v>23275</v>
      </c>
      <c r="K7" s="3">
        <v>256</v>
      </c>
      <c r="L7" s="4" t="s">
        <v>30</v>
      </c>
      <c r="M7" s="5" t="s">
        <v>25</v>
      </c>
    </row>
    <row r="8" spans="1:13" ht="14.25" customHeight="1" x14ac:dyDescent="0.3">
      <c r="A8" s="3" t="s">
        <v>47</v>
      </c>
      <c r="B8" s="3" t="s">
        <v>14</v>
      </c>
      <c r="C8" s="3" t="s">
        <v>48</v>
      </c>
      <c r="D8" s="3" t="s">
        <v>45</v>
      </c>
      <c r="E8" s="3" t="s">
        <v>49</v>
      </c>
      <c r="F8" s="3">
        <v>3860</v>
      </c>
      <c r="G8" s="3">
        <v>201</v>
      </c>
      <c r="H8" s="3">
        <v>279</v>
      </c>
      <c r="I8" s="3">
        <v>61760</v>
      </c>
      <c r="J8" s="3">
        <v>61660</v>
      </c>
      <c r="K8" s="3">
        <v>235</v>
      </c>
      <c r="L8" s="4" t="s">
        <v>30</v>
      </c>
      <c r="M8" s="5" t="s">
        <v>25</v>
      </c>
    </row>
    <row r="9" spans="1:13" ht="14.25" customHeight="1" x14ac:dyDescent="0.3">
      <c r="A9" s="3" t="s">
        <v>50</v>
      </c>
      <c r="B9" s="3" t="s">
        <v>27</v>
      </c>
      <c r="C9" s="3" t="s">
        <v>51</v>
      </c>
      <c r="D9" s="3" t="s">
        <v>52</v>
      </c>
      <c r="E9" s="3" t="s">
        <v>53</v>
      </c>
      <c r="F9" s="3">
        <v>3929</v>
      </c>
      <c r="G9" s="3">
        <v>262</v>
      </c>
      <c r="H9" s="3">
        <v>278</v>
      </c>
      <c r="I9" s="3">
        <v>43219</v>
      </c>
      <c r="J9" s="3">
        <v>42841</v>
      </c>
      <c r="K9" s="3">
        <v>39</v>
      </c>
      <c r="L9" s="4" t="s">
        <v>37</v>
      </c>
      <c r="M9" s="5" t="s">
        <v>38</v>
      </c>
    </row>
    <row r="10" spans="1:13" ht="14.25" customHeight="1" x14ac:dyDescent="0.3">
      <c r="A10" s="3" t="s">
        <v>54</v>
      </c>
      <c r="B10" s="3" t="s">
        <v>43</v>
      </c>
      <c r="C10" s="3" t="s">
        <v>55</v>
      </c>
      <c r="D10" s="3" t="s">
        <v>22</v>
      </c>
      <c r="E10" s="3" t="s">
        <v>56</v>
      </c>
      <c r="F10" s="3">
        <v>3784</v>
      </c>
      <c r="G10" s="3">
        <v>808</v>
      </c>
      <c r="H10" s="3">
        <v>404</v>
      </c>
      <c r="I10" s="3">
        <v>56760</v>
      </c>
      <c r="J10" s="3">
        <v>56343</v>
      </c>
      <c r="K10" s="3">
        <v>131</v>
      </c>
      <c r="L10" s="4" t="s">
        <v>30</v>
      </c>
      <c r="M10" s="5" t="s">
        <v>25</v>
      </c>
    </row>
    <row r="11" spans="1:13" ht="14.25" customHeight="1" x14ac:dyDescent="0.3">
      <c r="A11" s="3" t="s">
        <v>57</v>
      </c>
      <c r="B11" s="3" t="s">
        <v>43</v>
      </c>
      <c r="C11" s="3" t="s">
        <v>58</v>
      </c>
      <c r="D11" s="3" t="s">
        <v>52</v>
      </c>
      <c r="E11" s="3" t="s">
        <v>59</v>
      </c>
      <c r="F11" s="3">
        <v>4241</v>
      </c>
      <c r="G11" s="3">
        <v>902</v>
      </c>
      <c r="H11" s="3">
        <v>47</v>
      </c>
      <c r="I11" s="3">
        <v>72097</v>
      </c>
      <c r="J11" s="3">
        <v>71598</v>
      </c>
      <c r="K11" s="3">
        <v>167</v>
      </c>
      <c r="L11" s="4" t="s">
        <v>30</v>
      </c>
      <c r="M11" s="5" t="s">
        <v>25</v>
      </c>
    </row>
    <row r="12" spans="1:13" ht="14.25" customHeight="1" x14ac:dyDescent="0.3">
      <c r="A12" s="3" t="s">
        <v>60</v>
      </c>
      <c r="B12" s="3" t="s">
        <v>33</v>
      </c>
      <c r="C12" s="3" t="s">
        <v>61</v>
      </c>
      <c r="D12" s="3" t="s">
        <v>35</v>
      </c>
      <c r="E12" s="3" t="s">
        <v>36</v>
      </c>
      <c r="F12" s="3">
        <v>1792</v>
      </c>
      <c r="G12" s="3">
        <v>614</v>
      </c>
      <c r="H12" s="3">
        <v>497</v>
      </c>
      <c r="I12" s="3">
        <v>25088</v>
      </c>
      <c r="J12" s="3">
        <v>24675</v>
      </c>
      <c r="K12" s="3">
        <v>65</v>
      </c>
      <c r="L12" s="4" t="s">
        <v>62</v>
      </c>
      <c r="M12" s="5" t="s">
        <v>38</v>
      </c>
    </row>
    <row r="13" spans="1:13" ht="14.25" customHeight="1" x14ac:dyDescent="0.3">
      <c r="A13" s="3" t="s">
        <v>63</v>
      </c>
      <c r="B13" s="3" t="s">
        <v>43</v>
      </c>
      <c r="C13" s="3" t="s">
        <v>64</v>
      </c>
      <c r="D13" s="3" t="s">
        <v>16</v>
      </c>
      <c r="E13" s="3" t="s">
        <v>65</v>
      </c>
      <c r="F13" s="3">
        <v>1946</v>
      </c>
      <c r="G13" s="3">
        <v>686</v>
      </c>
      <c r="H13" s="3">
        <v>377</v>
      </c>
      <c r="I13" s="3">
        <v>23352</v>
      </c>
      <c r="J13" s="3">
        <v>22982</v>
      </c>
      <c r="K13" s="3">
        <v>213</v>
      </c>
      <c r="L13" s="4" t="s">
        <v>62</v>
      </c>
      <c r="M13" s="5" t="s">
        <v>31</v>
      </c>
    </row>
    <row r="14" spans="1:13" ht="14.25" customHeight="1" x14ac:dyDescent="0.3">
      <c r="A14" s="3" t="s">
        <v>66</v>
      </c>
      <c r="B14" s="3" t="s">
        <v>27</v>
      </c>
      <c r="C14" s="3" t="s">
        <v>67</v>
      </c>
      <c r="D14" s="3" t="s">
        <v>45</v>
      </c>
      <c r="E14" s="3" t="s">
        <v>68</v>
      </c>
      <c r="F14" s="3">
        <v>1171</v>
      </c>
      <c r="G14" s="3">
        <v>286</v>
      </c>
      <c r="H14" s="3">
        <v>231</v>
      </c>
      <c r="I14" s="3">
        <v>22249</v>
      </c>
      <c r="J14" s="3">
        <v>21282</v>
      </c>
      <c r="K14" s="3">
        <v>114</v>
      </c>
      <c r="L14" s="4" t="s">
        <v>37</v>
      </c>
      <c r="M14" s="5" t="s">
        <v>19</v>
      </c>
    </row>
    <row r="15" spans="1:13" ht="14.25" customHeight="1" x14ac:dyDescent="0.3">
      <c r="A15" s="3" t="s">
        <v>69</v>
      </c>
      <c r="B15" s="3" t="s">
        <v>43</v>
      </c>
      <c r="C15" s="3" t="s">
        <v>70</v>
      </c>
      <c r="D15" s="3" t="s">
        <v>35</v>
      </c>
      <c r="E15" s="3" t="s">
        <v>71</v>
      </c>
      <c r="F15" s="3">
        <v>4242</v>
      </c>
      <c r="G15" s="3">
        <v>555</v>
      </c>
      <c r="H15" s="3">
        <v>131</v>
      </c>
      <c r="I15" s="3">
        <v>33936</v>
      </c>
      <c r="J15" s="3">
        <v>33802</v>
      </c>
      <c r="K15" s="3">
        <v>265</v>
      </c>
      <c r="L15" s="4" t="s">
        <v>62</v>
      </c>
      <c r="M15" s="5"/>
    </row>
    <row r="16" spans="1:13" ht="14.25" customHeight="1" x14ac:dyDescent="0.3">
      <c r="A16" s="3" t="s">
        <v>72</v>
      </c>
      <c r="B16" s="3" t="s">
        <v>43</v>
      </c>
      <c r="C16" s="3" t="s">
        <v>73</v>
      </c>
      <c r="D16" s="3" t="s">
        <v>74</v>
      </c>
      <c r="E16" s="3" t="s">
        <v>75</v>
      </c>
      <c r="F16" s="3">
        <v>3888</v>
      </c>
      <c r="G16" s="3">
        <v>604</v>
      </c>
      <c r="H16" s="3">
        <v>128</v>
      </c>
      <c r="I16" s="3">
        <v>77760</v>
      </c>
      <c r="J16" s="3">
        <v>77167</v>
      </c>
      <c r="K16" s="3">
        <v>20</v>
      </c>
      <c r="L16" s="4" t="s">
        <v>62</v>
      </c>
      <c r="M16" s="5" t="s">
        <v>19</v>
      </c>
    </row>
    <row r="17" spans="1:13" ht="14.25" customHeight="1" x14ac:dyDescent="0.3">
      <c r="A17" s="3" t="s">
        <v>76</v>
      </c>
      <c r="B17" s="3" t="s">
        <v>43</v>
      </c>
      <c r="C17" s="3" t="s">
        <v>77</v>
      </c>
      <c r="D17" s="3" t="s">
        <v>22</v>
      </c>
      <c r="E17" s="3" t="s">
        <v>56</v>
      </c>
      <c r="F17" s="3">
        <v>3452</v>
      </c>
      <c r="G17" s="3">
        <v>377</v>
      </c>
      <c r="H17" s="3">
        <v>360</v>
      </c>
      <c r="I17" s="3">
        <v>55232</v>
      </c>
      <c r="J17" s="3">
        <v>55075</v>
      </c>
      <c r="K17" s="3">
        <v>87</v>
      </c>
      <c r="L17" s="4" t="s">
        <v>62</v>
      </c>
      <c r="M17" s="5" t="s">
        <v>31</v>
      </c>
    </row>
    <row r="18" spans="1:13" ht="14.25" customHeight="1" x14ac:dyDescent="0.3">
      <c r="A18" s="3" t="s">
        <v>78</v>
      </c>
      <c r="B18" s="3" t="s">
        <v>43</v>
      </c>
      <c r="C18" s="3" t="s">
        <v>79</v>
      </c>
      <c r="D18" s="3" t="s">
        <v>22</v>
      </c>
      <c r="E18" s="3" t="s">
        <v>56</v>
      </c>
      <c r="F18" s="3">
        <v>4441</v>
      </c>
      <c r="G18" s="3">
        <v>511</v>
      </c>
      <c r="H18" s="3">
        <v>70</v>
      </c>
      <c r="I18" s="3">
        <v>53292</v>
      </c>
      <c r="J18" s="3">
        <v>53082</v>
      </c>
      <c r="K18" s="3">
        <v>159</v>
      </c>
      <c r="L18" s="4" t="s">
        <v>37</v>
      </c>
      <c r="M18" s="5" t="s">
        <v>38</v>
      </c>
    </row>
    <row r="19" spans="1:13" ht="14.25" customHeight="1" x14ac:dyDescent="0.3">
      <c r="A19" s="3" t="s">
        <v>80</v>
      </c>
      <c r="B19" s="3" t="s">
        <v>33</v>
      </c>
      <c r="C19" s="3" t="s">
        <v>81</v>
      </c>
      <c r="D19" s="3" t="s">
        <v>16</v>
      </c>
      <c r="E19" s="3" t="s">
        <v>82</v>
      </c>
      <c r="F19" s="3">
        <v>3000</v>
      </c>
      <c r="G19" s="3">
        <v>382</v>
      </c>
      <c r="H19" s="3">
        <v>325</v>
      </c>
      <c r="I19" s="3">
        <v>36000</v>
      </c>
      <c r="J19" s="3">
        <v>35819</v>
      </c>
      <c r="K19" s="3">
        <v>19</v>
      </c>
      <c r="L19" s="4" t="s">
        <v>62</v>
      </c>
      <c r="M19" s="5" t="s">
        <v>19</v>
      </c>
    </row>
    <row r="20" spans="1:13" ht="14.25" customHeight="1" x14ac:dyDescent="0.3">
      <c r="A20" s="3" t="s">
        <v>83</v>
      </c>
      <c r="B20" s="3" t="s">
        <v>33</v>
      </c>
      <c r="C20" s="3" t="s">
        <v>84</v>
      </c>
      <c r="D20" s="3" t="s">
        <v>74</v>
      </c>
      <c r="E20" s="3" t="s">
        <v>85</v>
      </c>
      <c r="F20" s="3">
        <v>1071</v>
      </c>
      <c r="G20" s="3">
        <v>519</v>
      </c>
      <c r="H20" s="3">
        <v>22</v>
      </c>
      <c r="I20" s="3">
        <v>16065</v>
      </c>
      <c r="J20" s="3">
        <v>15865</v>
      </c>
      <c r="K20" s="3">
        <v>103</v>
      </c>
      <c r="L20" s="4" t="s">
        <v>30</v>
      </c>
      <c r="M20" s="5" t="s">
        <v>38</v>
      </c>
    </row>
    <row r="21" spans="1:13" ht="14.25" customHeight="1" x14ac:dyDescent="0.3">
      <c r="A21" s="3" t="s">
        <v>86</v>
      </c>
      <c r="B21" s="3" t="s">
        <v>33</v>
      </c>
      <c r="C21" s="3" t="s">
        <v>87</v>
      </c>
      <c r="D21" s="3" t="s">
        <v>45</v>
      </c>
      <c r="E21" s="3" t="s">
        <v>88</v>
      </c>
      <c r="F21" s="3">
        <v>4054</v>
      </c>
      <c r="G21" s="3">
        <v>488</v>
      </c>
      <c r="H21" s="3">
        <v>373</v>
      </c>
      <c r="I21" s="3">
        <v>77026</v>
      </c>
      <c r="J21" s="3">
        <v>76881</v>
      </c>
      <c r="K21" s="3">
        <v>25</v>
      </c>
      <c r="L21" s="4" t="s">
        <v>30</v>
      </c>
      <c r="M21" s="5" t="s">
        <v>19</v>
      </c>
    </row>
    <row r="22" spans="1:13" ht="14.25" customHeight="1" x14ac:dyDescent="0.3">
      <c r="A22" s="3" t="s">
        <v>89</v>
      </c>
      <c r="B22" s="3" t="s">
        <v>33</v>
      </c>
      <c r="C22" s="3" t="s">
        <v>90</v>
      </c>
      <c r="D22" s="3" t="s">
        <v>16</v>
      </c>
      <c r="E22" s="3" t="s">
        <v>82</v>
      </c>
      <c r="F22" s="3">
        <v>4838</v>
      </c>
      <c r="G22" s="3">
        <v>640</v>
      </c>
      <c r="H22" s="3">
        <v>128</v>
      </c>
      <c r="I22" s="3">
        <v>72570</v>
      </c>
      <c r="J22" s="3">
        <v>72396</v>
      </c>
      <c r="K22" s="3">
        <v>83</v>
      </c>
      <c r="L22" s="4" t="s">
        <v>62</v>
      </c>
      <c r="M22" s="5" t="s">
        <v>38</v>
      </c>
    </row>
    <row r="23" spans="1:13" ht="14.25" customHeight="1" x14ac:dyDescent="0.3">
      <c r="A23" s="3" t="s">
        <v>91</v>
      </c>
      <c r="B23" s="3" t="s">
        <v>43</v>
      </c>
      <c r="C23" s="3" t="s">
        <v>92</v>
      </c>
      <c r="D23" s="3" t="s">
        <v>22</v>
      </c>
      <c r="E23" s="3" t="s">
        <v>56</v>
      </c>
      <c r="F23" s="3">
        <v>1570</v>
      </c>
      <c r="G23" s="3">
        <v>187</v>
      </c>
      <c r="H23" s="3">
        <v>260</v>
      </c>
      <c r="I23" s="3">
        <v>25120</v>
      </c>
      <c r="J23" s="3">
        <v>24613</v>
      </c>
      <c r="K23" s="3">
        <v>133</v>
      </c>
      <c r="L23" s="4" t="s">
        <v>30</v>
      </c>
      <c r="M23" s="5" t="s">
        <v>38</v>
      </c>
    </row>
    <row r="24" spans="1:13" ht="14.25" customHeight="1" x14ac:dyDescent="0.3">
      <c r="A24" s="3" t="s">
        <v>93</v>
      </c>
      <c r="B24" s="3" t="s">
        <v>43</v>
      </c>
      <c r="C24" s="3" t="s">
        <v>94</v>
      </c>
      <c r="D24" s="3" t="s">
        <v>74</v>
      </c>
      <c r="E24" s="3" t="s">
        <v>75</v>
      </c>
      <c r="F24" s="3">
        <v>1606</v>
      </c>
      <c r="G24" s="3">
        <v>547</v>
      </c>
      <c r="H24" s="3">
        <v>316</v>
      </c>
      <c r="I24" s="3">
        <v>32120</v>
      </c>
      <c r="J24" s="3">
        <v>31736</v>
      </c>
      <c r="K24" s="3">
        <v>225</v>
      </c>
      <c r="L24" s="4" t="s">
        <v>95</v>
      </c>
      <c r="M24" s="5" t="s">
        <v>25</v>
      </c>
    </row>
    <row r="25" spans="1:13" ht="14.25" customHeight="1" x14ac:dyDescent="0.3">
      <c r="A25" s="3" t="s">
        <v>96</v>
      </c>
      <c r="B25" s="3" t="s">
        <v>43</v>
      </c>
      <c r="C25" s="3" t="s">
        <v>97</v>
      </c>
      <c r="D25" s="3" t="s">
        <v>74</v>
      </c>
      <c r="E25" s="3" t="s">
        <v>75</v>
      </c>
      <c r="F25" s="3">
        <v>3961</v>
      </c>
      <c r="G25" s="3">
        <v>761</v>
      </c>
      <c r="H25" s="3">
        <v>131</v>
      </c>
      <c r="I25" s="3">
        <v>67337</v>
      </c>
      <c r="J25" s="3">
        <v>66615</v>
      </c>
      <c r="K25" s="3">
        <v>161</v>
      </c>
      <c r="L25" s="4" t="s">
        <v>62</v>
      </c>
      <c r="M25" s="5" t="s">
        <v>31</v>
      </c>
    </row>
    <row r="26" spans="1:13" ht="14.25" customHeight="1" x14ac:dyDescent="0.3">
      <c r="A26" s="3" t="s">
        <v>98</v>
      </c>
      <c r="B26" s="3" t="s">
        <v>14</v>
      </c>
      <c r="C26" s="3" t="s">
        <v>99</v>
      </c>
      <c r="D26" s="3" t="s">
        <v>45</v>
      </c>
      <c r="E26" s="3" t="s">
        <v>49</v>
      </c>
      <c r="F26" s="3">
        <v>3128</v>
      </c>
      <c r="G26" s="3">
        <v>211</v>
      </c>
      <c r="H26" s="3">
        <v>197</v>
      </c>
      <c r="I26" s="3">
        <v>59432</v>
      </c>
      <c r="J26" s="3">
        <v>59182</v>
      </c>
      <c r="K26" s="3">
        <v>238</v>
      </c>
      <c r="L26" s="4" t="s">
        <v>37</v>
      </c>
      <c r="M26" s="5"/>
    </row>
    <row r="27" spans="1:13" ht="14.25" customHeight="1" x14ac:dyDescent="0.3">
      <c r="A27" s="3" t="s">
        <v>100</v>
      </c>
      <c r="B27" s="3" t="s">
        <v>27</v>
      </c>
      <c r="C27" s="3" t="s">
        <v>101</v>
      </c>
      <c r="D27" s="3" t="s">
        <v>16</v>
      </c>
      <c r="E27" s="3" t="s">
        <v>29</v>
      </c>
      <c r="F27" s="3">
        <v>3009</v>
      </c>
      <c r="G27" s="3">
        <v>413</v>
      </c>
      <c r="H27" s="3">
        <v>358</v>
      </c>
      <c r="I27" s="3">
        <v>42126</v>
      </c>
      <c r="J27" s="3">
        <v>41309</v>
      </c>
      <c r="K27" s="3">
        <v>211</v>
      </c>
      <c r="L27" s="4" t="s">
        <v>62</v>
      </c>
      <c r="M27" s="5" t="s">
        <v>25</v>
      </c>
    </row>
    <row r="28" spans="1:13" ht="14.25" customHeight="1" x14ac:dyDescent="0.3">
      <c r="A28" s="3" t="s">
        <v>102</v>
      </c>
      <c r="B28" s="3" t="s">
        <v>27</v>
      </c>
      <c r="C28" s="3" t="s">
        <v>103</v>
      </c>
      <c r="D28" s="3" t="s">
        <v>22</v>
      </c>
      <c r="E28" s="3" t="s">
        <v>104</v>
      </c>
      <c r="F28" s="3">
        <v>2076</v>
      </c>
      <c r="G28" s="3">
        <v>195</v>
      </c>
      <c r="H28" s="3">
        <v>104</v>
      </c>
      <c r="I28" s="3">
        <v>33216</v>
      </c>
      <c r="J28" s="3">
        <v>32244</v>
      </c>
      <c r="K28" s="3">
        <v>51</v>
      </c>
      <c r="L28" s="4" t="s">
        <v>62</v>
      </c>
      <c r="M28" s="5" t="s">
        <v>38</v>
      </c>
    </row>
    <row r="29" spans="1:13" ht="14.25" customHeight="1" x14ac:dyDescent="0.3">
      <c r="A29" s="3" t="s">
        <v>105</v>
      </c>
      <c r="B29" s="3" t="s">
        <v>33</v>
      </c>
      <c r="C29" s="3" t="s">
        <v>106</v>
      </c>
      <c r="D29" s="3" t="s">
        <v>74</v>
      </c>
      <c r="E29" s="3" t="s">
        <v>85</v>
      </c>
      <c r="F29" s="3">
        <v>432</v>
      </c>
      <c r="G29" s="3">
        <v>624</v>
      </c>
      <c r="H29" s="3">
        <v>123</v>
      </c>
      <c r="I29" s="3">
        <v>6912</v>
      </c>
      <c r="J29" s="3">
        <v>6259</v>
      </c>
      <c r="K29" s="3">
        <v>79</v>
      </c>
      <c r="L29" s="4" t="s">
        <v>62</v>
      </c>
      <c r="M29" s="5" t="s">
        <v>38</v>
      </c>
    </row>
    <row r="30" spans="1:13" ht="14.25" customHeight="1" x14ac:dyDescent="0.3">
      <c r="A30" s="3" t="s">
        <v>107</v>
      </c>
      <c r="B30" s="3" t="s">
        <v>33</v>
      </c>
      <c r="C30" s="3" t="s">
        <v>108</v>
      </c>
      <c r="D30" s="3" t="s">
        <v>45</v>
      </c>
      <c r="E30" s="3" t="s">
        <v>88</v>
      </c>
      <c r="F30" s="3">
        <v>2566</v>
      </c>
      <c r="G30" s="3">
        <v>118</v>
      </c>
      <c r="H30" s="3">
        <v>37</v>
      </c>
      <c r="I30" s="3">
        <v>12830</v>
      </c>
      <c r="J30" s="3">
        <v>12264</v>
      </c>
      <c r="K30" s="3">
        <v>221</v>
      </c>
      <c r="L30" s="4" t="s">
        <v>62</v>
      </c>
      <c r="M30" s="5" t="s">
        <v>31</v>
      </c>
    </row>
    <row r="31" spans="1:13" ht="14.25" customHeight="1" x14ac:dyDescent="0.3">
      <c r="A31" s="3" t="s">
        <v>109</v>
      </c>
      <c r="B31" s="3" t="s">
        <v>33</v>
      </c>
      <c r="C31" s="3" t="s">
        <v>110</v>
      </c>
      <c r="D31" s="3" t="s">
        <v>74</v>
      </c>
      <c r="E31" s="3" t="s">
        <v>85</v>
      </c>
      <c r="F31" s="3">
        <v>3095</v>
      </c>
      <c r="G31" s="3">
        <v>39</v>
      </c>
      <c r="H31" s="3">
        <v>78</v>
      </c>
      <c r="I31" s="3">
        <v>55710</v>
      </c>
      <c r="J31" s="3">
        <v>54808</v>
      </c>
      <c r="K31" s="3">
        <v>93</v>
      </c>
      <c r="L31" s="4" t="s">
        <v>37</v>
      </c>
      <c r="M31" s="5"/>
    </row>
    <row r="32" spans="1:13" ht="14.25" customHeight="1" x14ac:dyDescent="0.3">
      <c r="A32" s="3" t="s">
        <v>111</v>
      </c>
      <c r="B32" s="3" t="s">
        <v>33</v>
      </c>
      <c r="C32" s="3" t="s">
        <v>112</v>
      </c>
      <c r="D32" s="3" t="s">
        <v>22</v>
      </c>
      <c r="E32" s="3" t="s">
        <v>113</v>
      </c>
      <c r="F32" s="3">
        <v>438</v>
      </c>
      <c r="G32" s="3">
        <v>153</v>
      </c>
      <c r="H32" s="3">
        <v>275</v>
      </c>
      <c r="I32" s="3">
        <v>3066</v>
      </c>
      <c r="J32" s="3">
        <v>2701</v>
      </c>
      <c r="K32" s="3">
        <v>282</v>
      </c>
      <c r="L32" s="4" t="s">
        <v>30</v>
      </c>
      <c r="M32" s="5" t="s">
        <v>25</v>
      </c>
    </row>
    <row r="33" spans="1:13" ht="14.25" customHeight="1" x14ac:dyDescent="0.3">
      <c r="A33" s="3" t="s">
        <v>114</v>
      </c>
      <c r="B33" s="3" t="s">
        <v>14</v>
      </c>
      <c r="C33" s="3" t="s">
        <v>115</v>
      </c>
      <c r="D33" s="3" t="s">
        <v>45</v>
      </c>
      <c r="E33" s="3" t="s">
        <v>49</v>
      </c>
      <c r="F33" s="3">
        <v>2278</v>
      </c>
      <c r="G33" s="3">
        <v>10</v>
      </c>
      <c r="H33" s="3">
        <v>321</v>
      </c>
      <c r="I33" s="3">
        <v>13668</v>
      </c>
      <c r="J33" s="3">
        <v>12676</v>
      </c>
      <c r="K33" s="3">
        <v>275</v>
      </c>
      <c r="L33" s="4" t="s">
        <v>37</v>
      </c>
      <c r="M33" s="5" t="s">
        <v>19</v>
      </c>
    </row>
    <row r="34" spans="1:13" ht="14.25" customHeight="1" x14ac:dyDescent="0.3">
      <c r="A34" s="3" t="s">
        <v>116</v>
      </c>
      <c r="B34" s="3" t="s">
        <v>43</v>
      </c>
      <c r="C34" s="3" t="s">
        <v>117</v>
      </c>
      <c r="D34" s="3" t="s">
        <v>52</v>
      </c>
      <c r="E34" s="3" t="s">
        <v>59</v>
      </c>
      <c r="F34" s="3">
        <v>1407</v>
      </c>
      <c r="G34" s="3">
        <v>400</v>
      </c>
      <c r="H34" s="3">
        <v>351</v>
      </c>
      <c r="I34" s="3">
        <v>16884</v>
      </c>
      <c r="J34" s="3">
        <v>15954</v>
      </c>
      <c r="K34" s="3">
        <v>113</v>
      </c>
      <c r="L34" s="4" t="s">
        <v>30</v>
      </c>
      <c r="M34" s="5" t="s">
        <v>19</v>
      </c>
    </row>
    <row r="35" spans="1:13" ht="14.25" customHeight="1" x14ac:dyDescent="0.3">
      <c r="A35" s="3" t="s">
        <v>118</v>
      </c>
      <c r="B35" s="3" t="s">
        <v>43</v>
      </c>
      <c r="C35" s="3" t="s">
        <v>119</v>
      </c>
      <c r="D35" s="3" t="s">
        <v>22</v>
      </c>
      <c r="E35" s="3" t="s">
        <v>56</v>
      </c>
      <c r="F35" s="3">
        <v>1652</v>
      </c>
      <c r="G35" s="3">
        <v>89</v>
      </c>
      <c r="H35" s="3">
        <v>357</v>
      </c>
      <c r="I35" s="3">
        <v>29736</v>
      </c>
      <c r="J35" s="3">
        <v>28771</v>
      </c>
      <c r="K35" s="3">
        <v>215</v>
      </c>
      <c r="L35" s="4" t="s">
        <v>30</v>
      </c>
      <c r="M35" s="5" t="s">
        <v>31</v>
      </c>
    </row>
    <row r="36" spans="1:13" ht="14.25" customHeight="1" x14ac:dyDescent="0.3">
      <c r="A36" s="3" t="s">
        <v>120</v>
      </c>
      <c r="B36" s="3" t="s">
        <v>33</v>
      </c>
      <c r="C36" s="3" t="s">
        <v>121</v>
      </c>
      <c r="D36" s="3" t="s">
        <v>74</v>
      </c>
      <c r="E36" s="3" t="s">
        <v>85</v>
      </c>
      <c r="F36" s="3">
        <v>3775</v>
      </c>
      <c r="G36" s="3">
        <v>16</v>
      </c>
      <c r="H36" s="3">
        <v>239</v>
      </c>
      <c r="I36" s="3">
        <v>33975</v>
      </c>
      <c r="J36" s="3">
        <v>33310</v>
      </c>
      <c r="K36" s="3">
        <v>271</v>
      </c>
      <c r="L36" s="4" t="s">
        <v>62</v>
      </c>
      <c r="M36" s="5" t="s">
        <v>25</v>
      </c>
    </row>
    <row r="37" spans="1:13" ht="14.25" customHeight="1" x14ac:dyDescent="0.3">
      <c r="A37" s="3" t="s">
        <v>122</v>
      </c>
      <c r="B37" s="3" t="s">
        <v>33</v>
      </c>
      <c r="C37" s="3" t="s">
        <v>123</v>
      </c>
      <c r="D37" s="3" t="s">
        <v>35</v>
      </c>
      <c r="E37" s="3" t="s">
        <v>36</v>
      </c>
      <c r="F37" s="3">
        <v>4518</v>
      </c>
      <c r="G37" s="3">
        <v>285</v>
      </c>
      <c r="H37" s="3">
        <v>383</v>
      </c>
      <c r="I37" s="3">
        <v>67770</v>
      </c>
      <c r="J37" s="3">
        <v>67621</v>
      </c>
      <c r="K37" s="3">
        <v>31</v>
      </c>
      <c r="L37" s="4" t="s">
        <v>37</v>
      </c>
      <c r="M37" s="5" t="s">
        <v>25</v>
      </c>
    </row>
    <row r="38" spans="1:13" ht="14.25" customHeight="1" x14ac:dyDescent="0.3">
      <c r="A38" s="3" t="s">
        <v>124</v>
      </c>
      <c r="B38" s="3" t="s">
        <v>43</v>
      </c>
      <c r="C38" s="3" t="s">
        <v>125</v>
      </c>
      <c r="D38" s="3" t="s">
        <v>45</v>
      </c>
      <c r="E38" s="3" t="s">
        <v>46</v>
      </c>
      <c r="F38" s="3">
        <v>3024</v>
      </c>
      <c r="G38" s="3">
        <v>925</v>
      </c>
      <c r="H38" s="3">
        <v>350</v>
      </c>
      <c r="I38" s="3">
        <v>24192</v>
      </c>
      <c r="J38" s="3">
        <v>23518</v>
      </c>
      <c r="K38" s="3">
        <v>36</v>
      </c>
      <c r="L38" s="4" t="s">
        <v>37</v>
      </c>
      <c r="M38" s="5" t="s">
        <v>25</v>
      </c>
    </row>
    <row r="39" spans="1:13" ht="14.25" customHeight="1" x14ac:dyDescent="0.3">
      <c r="A39" s="3" t="s">
        <v>126</v>
      </c>
      <c r="B39" s="3" t="s">
        <v>27</v>
      </c>
      <c r="C39" s="3" t="s">
        <v>127</v>
      </c>
      <c r="D39" s="3" t="s">
        <v>16</v>
      </c>
      <c r="E39" s="3" t="s">
        <v>29</v>
      </c>
      <c r="F39" s="3">
        <v>3138</v>
      </c>
      <c r="G39" s="3">
        <v>123</v>
      </c>
      <c r="H39" s="3">
        <v>291</v>
      </c>
      <c r="I39" s="3">
        <v>28242</v>
      </c>
      <c r="J39" s="3">
        <v>27550</v>
      </c>
      <c r="K39" s="3">
        <v>87</v>
      </c>
      <c r="L39" s="4" t="s">
        <v>30</v>
      </c>
      <c r="M39" s="5" t="s">
        <v>38</v>
      </c>
    </row>
    <row r="40" spans="1:13" ht="14.25" customHeight="1" x14ac:dyDescent="0.3">
      <c r="A40" s="3" t="s">
        <v>128</v>
      </c>
      <c r="B40" s="3" t="s">
        <v>43</v>
      </c>
      <c r="C40" s="3" t="s">
        <v>129</v>
      </c>
      <c r="D40" s="3" t="s">
        <v>52</v>
      </c>
      <c r="E40" s="3" t="s">
        <v>59</v>
      </c>
      <c r="F40" s="3">
        <v>3564</v>
      </c>
      <c r="G40" s="3">
        <v>629</v>
      </c>
      <c r="H40" s="3">
        <v>177</v>
      </c>
      <c r="I40" s="3">
        <v>60588</v>
      </c>
      <c r="J40" s="3">
        <v>59627</v>
      </c>
      <c r="K40" s="3">
        <v>92</v>
      </c>
      <c r="L40" s="4" t="s">
        <v>30</v>
      </c>
      <c r="M40" s="5"/>
    </row>
    <row r="41" spans="1:13" ht="14.25" customHeight="1" x14ac:dyDescent="0.3">
      <c r="A41" s="3" t="s">
        <v>130</v>
      </c>
      <c r="B41" s="3" t="s">
        <v>14</v>
      </c>
      <c r="C41" s="3" t="s">
        <v>131</v>
      </c>
      <c r="D41" s="3" t="s">
        <v>52</v>
      </c>
      <c r="E41" s="3" t="s">
        <v>132</v>
      </c>
      <c r="F41" s="3">
        <v>4750</v>
      </c>
      <c r="G41" s="3">
        <v>151</v>
      </c>
      <c r="H41" s="3">
        <v>415</v>
      </c>
      <c r="I41" s="3">
        <v>38000</v>
      </c>
      <c r="J41" s="3">
        <v>37792</v>
      </c>
      <c r="K41" s="3">
        <v>299</v>
      </c>
      <c r="L41" s="4" t="s">
        <v>37</v>
      </c>
      <c r="M41" s="5" t="s">
        <v>38</v>
      </c>
    </row>
    <row r="42" spans="1:13" ht="14.25" customHeight="1" x14ac:dyDescent="0.3">
      <c r="A42" s="3" t="s">
        <v>133</v>
      </c>
      <c r="B42" s="3" t="s">
        <v>33</v>
      </c>
      <c r="C42" s="3" t="s">
        <v>134</v>
      </c>
      <c r="D42" s="3" t="s">
        <v>16</v>
      </c>
      <c r="E42" s="3" t="s">
        <v>82</v>
      </c>
      <c r="F42" s="3">
        <v>456</v>
      </c>
      <c r="G42" s="3">
        <v>629</v>
      </c>
      <c r="H42" s="3">
        <v>428</v>
      </c>
      <c r="I42" s="3">
        <v>8208</v>
      </c>
      <c r="J42" s="3">
        <v>7377</v>
      </c>
      <c r="K42" s="3">
        <v>205</v>
      </c>
      <c r="L42" s="4" t="s">
        <v>62</v>
      </c>
      <c r="M42" s="5" t="s">
        <v>38</v>
      </c>
    </row>
    <row r="43" spans="1:13" ht="14.25" customHeight="1" x14ac:dyDescent="0.3">
      <c r="A43" s="3" t="s">
        <v>135</v>
      </c>
      <c r="B43" s="3" t="s">
        <v>27</v>
      </c>
      <c r="C43" s="3" t="s">
        <v>136</v>
      </c>
      <c r="D43" s="3" t="s">
        <v>16</v>
      </c>
      <c r="E43" s="3" t="s">
        <v>29</v>
      </c>
      <c r="F43" s="3">
        <v>1543</v>
      </c>
      <c r="G43" s="3">
        <v>820</v>
      </c>
      <c r="H43" s="3">
        <v>333</v>
      </c>
      <c r="I43" s="3">
        <v>12344</v>
      </c>
      <c r="J43" s="3">
        <v>11496</v>
      </c>
      <c r="K43" s="3">
        <v>241</v>
      </c>
      <c r="L43" s="4" t="s">
        <v>37</v>
      </c>
      <c r="M43" s="5"/>
    </row>
    <row r="44" spans="1:13" ht="14.25" customHeight="1" x14ac:dyDescent="0.3">
      <c r="A44" s="3" t="s">
        <v>137</v>
      </c>
      <c r="B44" s="3" t="s">
        <v>33</v>
      </c>
      <c r="C44" s="3" t="s">
        <v>138</v>
      </c>
      <c r="D44" s="3" t="s">
        <v>45</v>
      </c>
      <c r="E44" s="3" t="s">
        <v>88</v>
      </c>
      <c r="F44" s="3">
        <v>2174</v>
      </c>
      <c r="G44" s="3">
        <v>658</v>
      </c>
      <c r="H44" s="3">
        <v>15</v>
      </c>
      <c r="I44" s="3">
        <v>13044</v>
      </c>
      <c r="J44" s="3">
        <v>12206</v>
      </c>
      <c r="K44" s="3">
        <v>137</v>
      </c>
      <c r="L44" s="4" t="s">
        <v>30</v>
      </c>
      <c r="M44" s="5" t="s">
        <v>31</v>
      </c>
    </row>
    <row r="45" spans="1:13" ht="14.25" customHeight="1" x14ac:dyDescent="0.3">
      <c r="A45" s="3" t="s">
        <v>139</v>
      </c>
      <c r="B45" s="3" t="s">
        <v>14</v>
      </c>
      <c r="C45" s="3" t="s">
        <v>140</v>
      </c>
      <c r="D45" s="3" t="s">
        <v>52</v>
      </c>
      <c r="E45" s="3" t="s">
        <v>132</v>
      </c>
      <c r="F45" s="3">
        <v>2358</v>
      </c>
      <c r="G45" s="3">
        <v>784</v>
      </c>
      <c r="H45" s="3">
        <v>344</v>
      </c>
      <c r="I45" s="3">
        <v>35370</v>
      </c>
      <c r="J45" s="3">
        <v>34475</v>
      </c>
      <c r="K45" s="3">
        <v>216</v>
      </c>
      <c r="L45" s="4" t="s">
        <v>30</v>
      </c>
      <c r="M45" s="5"/>
    </row>
    <row r="46" spans="1:13" ht="14.25" customHeight="1" x14ac:dyDescent="0.3">
      <c r="A46" s="3" t="s">
        <v>141</v>
      </c>
      <c r="B46" s="3" t="s">
        <v>43</v>
      </c>
      <c r="C46" s="3" t="s">
        <v>142</v>
      </c>
      <c r="D46" s="3" t="s">
        <v>74</v>
      </c>
      <c r="E46" s="3" t="s">
        <v>75</v>
      </c>
      <c r="F46" s="3">
        <v>3371</v>
      </c>
      <c r="G46" s="3">
        <v>106</v>
      </c>
      <c r="H46" s="3">
        <v>327</v>
      </c>
      <c r="I46" s="3">
        <v>50565</v>
      </c>
      <c r="J46" s="3">
        <v>49816</v>
      </c>
      <c r="K46" s="3">
        <v>176</v>
      </c>
      <c r="L46" s="4" t="s">
        <v>62</v>
      </c>
      <c r="M46" s="5" t="s">
        <v>19</v>
      </c>
    </row>
    <row r="47" spans="1:13" ht="14.25" customHeight="1" x14ac:dyDescent="0.3">
      <c r="A47" s="3" t="s">
        <v>143</v>
      </c>
      <c r="B47" s="3" t="s">
        <v>14</v>
      </c>
      <c r="C47" s="3" t="s">
        <v>144</v>
      </c>
      <c r="D47" s="3" t="s">
        <v>74</v>
      </c>
      <c r="E47" s="3" t="s">
        <v>145</v>
      </c>
      <c r="F47" s="3">
        <v>1108</v>
      </c>
      <c r="G47" s="3">
        <v>177</v>
      </c>
      <c r="H47" s="3">
        <v>212</v>
      </c>
      <c r="I47" s="3">
        <v>8864</v>
      </c>
      <c r="J47" s="3">
        <v>8710</v>
      </c>
      <c r="K47" s="3">
        <v>97</v>
      </c>
      <c r="L47" s="4" t="s">
        <v>30</v>
      </c>
      <c r="M47" s="5" t="s">
        <v>38</v>
      </c>
    </row>
    <row r="48" spans="1:13" ht="14.25" customHeight="1" x14ac:dyDescent="0.3">
      <c r="A48" s="3" t="s">
        <v>146</v>
      </c>
      <c r="B48" s="3" t="s">
        <v>14</v>
      </c>
      <c r="C48" s="3" t="s">
        <v>147</v>
      </c>
      <c r="D48" s="3" t="s">
        <v>45</v>
      </c>
      <c r="E48" s="3" t="s">
        <v>49</v>
      </c>
      <c r="F48" s="3">
        <v>2704</v>
      </c>
      <c r="G48" s="3">
        <v>752</v>
      </c>
      <c r="H48" s="3">
        <v>153</v>
      </c>
      <c r="I48" s="3">
        <v>21632</v>
      </c>
      <c r="J48" s="3">
        <v>20792</v>
      </c>
      <c r="K48" s="3">
        <v>127</v>
      </c>
      <c r="L48" s="4" t="s">
        <v>62</v>
      </c>
      <c r="M48" s="5"/>
    </row>
    <row r="49" spans="1:13" ht="14.25" customHeight="1" x14ac:dyDescent="0.3">
      <c r="A49" s="3" t="s">
        <v>148</v>
      </c>
      <c r="B49" s="3" t="s">
        <v>14</v>
      </c>
      <c r="C49" s="3" t="s">
        <v>58</v>
      </c>
      <c r="D49" s="3" t="s">
        <v>35</v>
      </c>
      <c r="E49" s="3" t="s">
        <v>149</v>
      </c>
      <c r="F49" s="3">
        <v>1950</v>
      </c>
      <c r="G49" s="3">
        <v>295</v>
      </c>
      <c r="H49" s="3">
        <v>478</v>
      </c>
      <c r="I49" s="3">
        <v>37050</v>
      </c>
      <c r="J49" s="3">
        <v>36272</v>
      </c>
      <c r="K49" s="3">
        <v>119</v>
      </c>
      <c r="L49" s="4" t="s">
        <v>30</v>
      </c>
      <c r="M49" s="5"/>
    </row>
    <row r="50" spans="1:13" ht="14.25" customHeight="1" x14ac:dyDescent="0.3">
      <c r="A50" s="3" t="s">
        <v>150</v>
      </c>
      <c r="B50" s="3" t="s">
        <v>14</v>
      </c>
      <c r="C50" s="3" t="s">
        <v>151</v>
      </c>
      <c r="D50" s="3" t="s">
        <v>35</v>
      </c>
      <c r="E50" s="3" t="s">
        <v>149</v>
      </c>
      <c r="F50" s="3">
        <v>2164</v>
      </c>
      <c r="G50" s="3">
        <v>549</v>
      </c>
      <c r="H50" s="3">
        <v>274</v>
      </c>
      <c r="I50" s="3">
        <v>28132</v>
      </c>
      <c r="J50" s="3">
        <v>27361</v>
      </c>
      <c r="K50" s="3">
        <v>177</v>
      </c>
      <c r="L50" s="4" t="s">
        <v>30</v>
      </c>
      <c r="M50" s="5" t="s">
        <v>38</v>
      </c>
    </row>
    <row r="51" spans="1:13" ht="14.25" customHeight="1" x14ac:dyDescent="0.3">
      <c r="A51" s="3" t="s">
        <v>152</v>
      </c>
      <c r="B51" s="3" t="s">
        <v>27</v>
      </c>
      <c r="C51" s="3" t="s">
        <v>153</v>
      </c>
      <c r="D51" s="3" t="s">
        <v>35</v>
      </c>
      <c r="E51" s="3" t="s">
        <v>154</v>
      </c>
      <c r="F51" s="3">
        <v>2754</v>
      </c>
      <c r="G51" s="3">
        <v>130</v>
      </c>
      <c r="H51" s="3">
        <v>90</v>
      </c>
      <c r="I51" s="3">
        <v>22032</v>
      </c>
      <c r="J51" s="3">
        <v>21288</v>
      </c>
      <c r="K51" s="3">
        <v>112</v>
      </c>
      <c r="L51" s="4" t="s">
        <v>30</v>
      </c>
      <c r="M51" s="5" t="s">
        <v>31</v>
      </c>
    </row>
    <row r="52" spans="1:13" ht="14.25" customHeight="1" x14ac:dyDescent="0.3">
      <c r="A52" s="3" t="s">
        <v>155</v>
      </c>
      <c r="B52" s="3" t="s">
        <v>43</v>
      </c>
      <c r="C52" s="3" t="s">
        <v>156</v>
      </c>
      <c r="D52" s="3" t="s">
        <v>45</v>
      </c>
      <c r="E52" s="3" t="s">
        <v>46</v>
      </c>
      <c r="F52" s="3">
        <v>2200</v>
      </c>
      <c r="G52" s="3">
        <v>504</v>
      </c>
      <c r="H52" s="3">
        <v>239</v>
      </c>
      <c r="I52" s="3">
        <v>37400</v>
      </c>
      <c r="J52" s="3">
        <v>36938</v>
      </c>
      <c r="K52" s="3">
        <v>225</v>
      </c>
      <c r="L52" s="4" t="s">
        <v>62</v>
      </c>
      <c r="M52" s="5" t="s">
        <v>25</v>
      </c>
    </row>
    <row r="53" spans="1:13" ht="14.25" customHeight="1" x14ac:dyDescent="0.3">
      <c r="A53" s="3" t="s">
        <v>157</v>
      </c>
      <c r="B53" s="3" t="s">
        <v>43</v>
      </c>
      <c r="C53" s="3" t="s">
        <v>158</v>
      </c>
      <c r="D53" s="3" t="s">
        <v>52</v>
      </c>
      <c r="E53" s="3" t="s">
        <v>59</v>
      </c>
      <c r="F53" s="3">
        <v>947</v>
      </c>
      <c r="G53" s="3">
        <v>338</v>
      </c>
      <c r="H53" s="3">
        <v>350</v>
      </c>
      <c r="I53" s="3">
        <v>10417</v>
      </c>
      <c r="J53" s="3">
        <v>9730</v>
      </c>
      <c r="K53" s="3">
        <v>34</v>
      </c>
      <c r="L53" s="4" t="s">
        <v>30</v>
      </c>
      <c r="M53" s="5" t="s">
        <v>38</v>
      </c>
    </row>
    <row r="54" spans="1:13" ht="14.25" customHeight="1" x14ac:dyDescent="0.3">
      <c r="A54" s="3" t="s">
        <v>159</v>
      </c>
      <c r="B54" s="3" t="s">
        <v>27</v>
      </c>
      <c r="C54" s="3" t="s">
        <v>147</v>
      </c>
      <c r="D54" s="3" t="s">
        <v>45</v>
      </c>
      <c r="E54" s="3" t="s">
        <v>68</v>
      </c>
      <c r="F54" s="3">
        <v>804</v>
      </c>
      <c r="G54" s="3">
        <v>639</v>
      </c>
      <c r="H54" s="3">
        <v>43</v>
      </c>
      <c r="I54" s="3">
        <v>4020</v>
      </c>
      <c r="J54" s="3">
        <v>3144</v>
      </c>
      <c r="K54" s="3">
        <v>11</v>
      </c>
      <c r="L54" s="4" t="s">
        <v>160</v>
      </c>
      <c r="M54" s="5"/>
    </row>
    <row r="55" spans="1:13" ht="14.25" customHeight="1" x14ac:dyDescent="0.3">
      <c r="A55" s="3" t="s">
        <v>161</v>
      </c>
      <c r="B55" s="3" t="s">
        <v>27</v>
      </c>
      <c r="C55" s="3" t="s">
        <v>162</v>
      </c>
      <c r="D55" s="3" t="s">
        <v>45</v>
      </c>
      <c r="E55" s="3" t="s">
        <v>68</v>
      </c>
      <c r="F55" s="3">
        <v>1686</v>
      </c>
      <c r="G55" s="3">
        <v>904</v>
      </c>
      <c r="H55" s="3">
        <v>472</v>
      </c>
      <c r="I55" s="3">
        <v>18546</v>
      </c>
      <c r="J55" s="3">
        <v>18171</v>
      </c>
      <c r="K55" s="3">
        <v>52</v>
      </c>
      <c r="L55" s="4" t="s">
        <v>62</v>
      </c>
      <c r="M55" s="5" t="s">
        <v>25</v>
      </c>
    </row>
    <row r="56" spans="1:13" ht="14.25" customHeight="1" x14ac:dyDescent="0.3">
      <c r="A56" s="3" t="s">
        <v>163</v>
      </c>
      <c r="B56" s="3" t="s">
        <v>43</v>
      </c>
      <c r="C56" s="3" t="s">
        <v>164</v>
      </c>
      <c r="D56" s="3" t="s">
        <v>52</v>
      </c>
      <c r="E56" s="3" t="s">
        <v>59</v>
      </c>
      <c r="F56" s="3">
        <v>1226</v>
      </c>
      <c r="G56" s="3">
        <v>119</v>
      </c>
      <c r="H56" s="3">
        <v>7</v>
      </c>
      <c r="I56" s="3">
        <v>14712</v>
      </c>
      <c r="J56" s="3">
        <v>14049</v>
      </c>
      <c r="K56" s="3">
        <v>123</v>
      </c>
      <c r="L56" s="4" t="s">
        <v>37</v>
      </c>
      <c r="M56" s="5" t="s">
        <v>38</v>
      </c>
    </row>
    <row r="57" spans="1:13" ht="14.25" customHeight="1" x14ac:dyDescent="0.3">
      <c r="A57" s="3" t="s">
        <v>165</v>
      </c>
      <c r="B57" s="3" t="s">
        <v>43</v>
      </c>
      <c r="C57" s="3" t="s">
        <v>166</v>
      </c>
      <c r="D57" s="3" t="s">
        <v>45</v>
      </c>
      <c r="E57" s="3" t="s">
        <v>46</v>
      </c>
      <c r="F57" s="3">
        <v>2946</v>
      </c>
      <c r="G57" s="3">
        <v>498</v>
      </c>
      <c r="H57" s="3">
        <v>367</v>
      </c>
      <c r="I57" s="3">
        <v>29460</v>
      </c>
      <c r="J57" s="3">
        <v>28527</v>
      </c>
      <c r="K57" s="3">
        <v>60</v>
      </c>
      <c r="L57" s="4" t="s">
        <v>62</v>
      </c>
      <c r="M57" s="5" t="s">
        <v>31</v>
      </c>
    </row>
    <row r="58" spans="1:13" ht="14.25" customHeight="1" x14ac:dyDescent="0.3">
      <c r="A58" s="3" t="s">
        <v>167</v>
      </c>
      <c r="B58" s="3" t="s">
        <v>14</v>
      </c>
      <c r="C58" s="3" t="s">
        <v>168</v>
      </c>
      <c r="D58" s="3" t="s">
        <v>74</v>
      </c>
      <c r="E58" s="3" t="s">
        <v>145</v>
      </c>
      <c r="F58" s="3">
        <v>2825</v>
      </c>
      <c r="G58" s="3">
        <v>535</v>
      </c>
      <c r="H58" s="3">
        <v>295</v>
      </c>
      <c r="I58" s="3">
        <v>45200</v>
      </c>
      <c r="J58" s="3">
        <v>44739</v>
      </c>
      <c r="K58" s="3">
        <v>169</v>
      </c>
      <c r="L58" s="4" t="s">
        <v>30</v>
      </c>
      <c r="M58" s="5" t="s">
        <v>19</v>
      </c>
    </row>
    <row r="59" spans="1:13" ht="14.25" customHeight="1" x14ac:dyDescent="0.3">
      <c r="A59" s="3" t="s">
        <v>169</v>
      </c>
      <c r="B59" s="3" t="s">
        <v>33</v>
      </c>
      <c r="C59" s="3" t="s">
        <v>170</v>
      </c>
      <c r="D59" s="3" t="s">
        <v>16</v>
      </c>
      <c r="E59" s="3" t="s">
        <v>82</v>
      </c>
      <c r="F59" s="3">
        <v>103</v>
      </c>
      <c r="G59" s="3">
        <v>770</v>
      </c>
      <c r="H59" s="3">
        <v>19</v>
      </c>
      <c r="I59" s="3">
        <v>1030</v>
      </c>
      <c r="J59" s="3">
        <v>410</v>
      </c>
      <c r="K59" s="3">
        <v>262</v>
      </c>
      <c r="L59" s="4" t="s">
        <v>30</v>
      </c>
      <c r="M59" s="5" t="s">
        <v>38</v>
      </c>
    </row>
    <row r="60" spans="1:13" ht="14.25" customHeight="1" x14ac:dyDescent="0.3">
      <c r="A60" s="3" t="s">
        <v>171</v>
      </c>
      <c r="B60" s="3" t="s">
        <v>33</v>
      </c>
      <c r="C60" s="3" t="s">
        <v>172</v>
      </c>
      <c r="D60" s="3" t="s">
        <v>22</v>
      </c>
      <c r="E60" s="3" t="s">
        <v>113</v>
      </c>
      <c r="F60" s="3">
        <v>2180</v>
      </c>
      <c r="G60" s="3">
        <v>263</v>
      </c>
      <c r="H60" s="3">
        <v>387</v>
      </c>
      <c r="I60" s="3">
        <v>30520</v>
      </c>
      <c r="J60" s="3">
        <v>30059</v>
      </c>
      <c r="K60" s="3">
        <v>174</v>
      </c>
      <c r="L60" s="4" t="s">
        <v>37</v>
      </c>
      <c r="M60" s="5"/>
    </row>
    <row r="61" spans="1:13" ht="14.25" customHeight="1" x14ac:dyDescent="0.3">
      <c r="A61" s="3" t="s">
        <v>173</v>
      </c>
      <c r="B61" s="3" t="s">
        <v>33</v>
      </c>
      <c r="C61" s="3" t="s">
        <v>174</v>
      </c>
      <c r="D61" s="3" t="s">
        <v>74</v>
      </c>
      <c r="E61" s="3" t="s">
        <v>85</v>
      </c>
      <c r="F61" s="3">
        <v>904</v>
      </c>
      <c r="G61" s="3">
        <v>973</v>
      </c>
      <c r="H61" s="3">
        <v>63</v>
      </c>
      <c r="I61" s="3">
        <v>11752</v>
      </c>
      <c r="J61" s="3">
        <v>11580</v>
      </c>
      <c r="K61" s="3">
        <v>84</v>
      </c>
      <c r="L61" s="4" t="s">
        <v>175</v>
      </c>
      <c r="M61" s="5" t="s">
        <v>31</v>
      </c>
    </row>
    <row r="62" spans="1:13" ht="14.25" customHeight="1" x14ac:dyDescent="0.3">
      <c r="A62" s="3" t="s">
        <v>176</v>
      </c>
      <c r="B62" s="3" t="s">
        <v>14</v>
      </c>
      <c r="C62" s="3" t="s">
        <v>177</v>
      </c>
      <c r="D62" s="3" t="s">
        <v>74</v>
      </c>
      <c r="E62" s="3" t="s">
        <v>145</v>
      </c>
      <c r="F62" s="3">
        <v>4886</v>
      </c>
      <c r="G62" s="3">
        <v>983</v>
      </c>
      <c r="H62" s="3">
        <v>409</v>
      </c>
      <c r="I62" s="3">
        <v>43974</v>
      </c>
      <c r="J62" s="3">
        <v>43239</v>
      </c>
      <c r="K62" s="3">
        <v>65</v>
      </c>
      <c r="L62" s="4" t="s">
        <v>30</v>
      </c>
      <c r="M62" s="5" t="s">
        <v>19</v>
      </c>
    </row>
    <row r="63" spans="1:13" ht="14.25" customHeight="1" x14ac:dyDescent="0.3">
      <c r="A63" s="3" t="s">
        <v>178</v>
      </c>
      <c r="B63" s="3" t="s">
        <v>14</v>
      </c>
      <c r="C63" s="3" t="s">
        <v>179</v>
      </c>
      <c r="D63" s="3" t="s">
        <v>45</v>
      </c>
      <c r="E63" s="3" t="s">
        <v>49</v>
      </c>
      <c r="F63" s="3">
        <v>53</v>
      </c>
      <c r="G63" s="3">
        <v>81</v>
      </c>
      <c r="H63" s="3">
        <v>379</v>
      </c>
      <c r="I63" s="3">
        <v>954</v>
      </c>
      <c r="J63" s="3">
        <v>7</v>
      </c>
      <c r="K63" s="3">
        <v>148</v>
      </c>
      <c r="L63" s="4" t="s">
        <v>30</v>
      </c>
      <c r="M63" s="5" t="s">
        <v>31</v>
      </c>
    </row>
    <row r="64" spans="1:13" ht="14.25" customHeight="1" x14ac:dyDescent="0.3">
      <c r="A64" s="3" t="s">
        <v>180</v>
      </c>
      <c r="B64" s="3" t="s">
        <v>14</v>
      </c>
      <c r="C64" s="3" t="s">
        <v>115</v>
      </c>
      <c r="D64" s="3" t="s">
        <v>45</v>
      </c>
      <c r="E64" s="3" t="s">
        <v>49</v>
      </c>
      <c r="F64" s="3">
        <v>4507</v>
      </c>
      <c r="G64" s="3">
        <v>217</v>
      </c>
      <c r="H64" s="3">
        <v>13</v>
      </c>
      <c r="I64" s="3">
        <v>90140</v>
      </c>
      <c r="J64" s="3">
        <v>89591</v>
      </c>
      <c r="K64" s="3">
        <v>125</v>
      </c>
      <c r="L64" s="4" t="s">
        <v>62</v>
      </c>
      <c r="M64" s="5" t="s">
        <v>31</v>
      </c>
    </row>
    <row r="65" spans="1:13" ht="14.25" customHeight="1" x14ac:dyDescent="0.3">
      <c r="A65" s="3" t="s">
        <v>181</v>
      </c>
      <c r="B65" s="3" t="s">
        <v>43</v>
      </c>
      <c r="C65" s="3" t="s">
        <v>182</v>
      </c>
      <c r="D65" s="3" t="s">
        <v>52</v>
      </c>
      <c r="E65" s="3" t="s">
        <v>59</v>
      </c>
      <c r="F65" s="3">
        <v>2878</v>
      </c>
      <c r="G65" s="3">
        <v>248</v>
      </c>
      <c r="H65" s="3">
        <v>416</v>
      </c>
      <c r="I65" s="3">
        <v>43170</v>
      </c>
      <c r="J65" s="3">
        <v>42667</v>
      </c>
      <c r="K65" s="3">
        <v>75</v>
      </c>
      <c r="L65" s="4" t="s">
        <v>62</v>
      </c>
      <c r="M65" s="5" t="s">
        <v>31</v>
      </c>
    </row>
    <row r="66" spans="1:13" ht="14.25" customHeight="1" x14ac:dyDescent="0.3">
      <c r="A66" s="3" t="s">
        <v>183</v>
      </c>
      <c r="B66" s="3" t="s">
        <v>33</v>
      </c>
      <c r="C66" s="3" t="s">
        <v>184</v>
      </c>
      <c r="D66" s="3" t="s">
        <v>35</v>
      </c>
      <c r="E66" s="3" t="s">
        <v>36</v>
      </c>
      <c r="F66" s="3">
        <v>1881</v>
      </c>
      <c r="G66" s="3">
        <v>501</v>
      </c>
      <c r="H66" s="3">
        <v>99</v>
      </c>
      <c r="I66" s="3">
        <v>20691</v>
      </c>
      <c r="J66" s="3">
        <v>19987</v>
      </c>
      <c r="K66" s="3">
        <v>289</v>
      </c>
      <c r="L66" s="4" t="s">
        <v>37</v>
      </c>
      <c r="M66" s="5"/>
    </row>
    <row r="67" spans="1:13" ht="14.25" customHeight="1" x14ac:dyDescent="0.3">
      <c r="A67" s="3" t="s">
        <v>185</v>
      </c>
      <c r="B67" s="3" t="s">
        <v>14</v>
      </c>
      <c r="C67" s="3" t="s">
        <v>186</v>
      </c>
      <c r="D67" s="3" t="s">
        <v>45</v>
      </c>
      <c r="E67" s="3" t="s">
        <v>49</v>
      </c>
      <c r="F67" s="3">
        <v>432</v>
      </c>
      <c r="G67" s="3">
        <v>171</v>
      </c>
      <c r="H67" s="3">
        <v>280</v>
      </c>
      <c r="I67" s="3">
        <v>3024</v>
      </c>
      <c r="J67" s="3">
        <v>2285</v>
      </c>
      <c r="K67" s="3">
        <v>184</v>
      </c>
      <c r="L67" s="4" t="s">
        <v>37</v>
      </c>
      <c r="M67" s="5" t="s">
        <v>19</v>
      </c>
    </row>
    <row r="68" spans="1:13" ht="14.25" customHeight="1" x14ac:dyDescent="0.3">
      <c r="A68" s="3" t="s">
        <v>187</v>
      </c>
      <c r="B68" s="3" t="s">
        <v>43</v>
      </c>
      <c r="C68" s="3" t="s">
        <v>188</v>
      </c>
      <c r="D68" s="3" t="s">
        <v>45</v>
      </c>
      <c r="E68" s="3" t="s">
        <v>46</v>
      </c>
      <c r="F68" s="3">
        <v>4712</v>
      </c>
      <c r="G68" s="3">
        <v>568</v>
      </c>
      <c r="H68" s="3">
        <v>127</v>
      </c>
      <c r="I68" s="3">
        <v>84816</v>
      </c>
      <c r="J68" s="3">
        <v>84691</v>
      </c>
      <c r="K68" s="3">
        <v>100</v>
      </c>
      <c r="L68" s="4" t="s">
        <v>37</v>
      </c>
      <c r="M68" s="5" t="s">
        <v>31</v>
      </c>
    </row>
    <row r="69" spans="1:13" ht="14.25" customHeight="1" x14ac:dyDescent="0.3">
      <c r="A69" s="3" t="s">
        <v>189</v>
      </c>
      <c r="B69" s="3" t="s">
        <v>33</v>
      </c>
      <c r="C69" s="3" t="s">
        <v>190</v>
      </c>
      <c r="D69" s="3" t="s">
        <v>35</v>
      </c>
      <c r="E69" s="3" t="s">
        <v>36</v>
      </c>
      <c r="F69" s="3">
        <v>2610</v>
      </c>
      <c r="G69" s="3">
        <v>126</v>
      </c>
      <c r="H69" s="3">
        <v>288</v>
      </c>
      <c r="I69" s="3">
        <v>15660</v>
      </c>
      <c r="J69" s="3">
        <v>15145</v>
      </c>
      <c r="K69" s="3">
        <v>73</v>
      </c>
      <c r="L69" s="4" t="s">
        <v>37</v>
      </c>
      <c r="M69" s="5"/>
    </row>
    <row r="70" spans="1:13" ht="14.25" customHeight="1" x14ac:dyDescent="0.3">
      <c r="A70" s="3" t="s">
        <v>191</v>
      </c>
      <c r="B70" s="3" t="s">
        <v>14</v>
      </c>
      <c r="C70" s="3" t="s">
        <v>134</v>
      </c>
      <c r="D70" s="3" t="s">
        <v>22</v>
      </c>
      <c r="E70" s="3" t="s">
        <v>23</v>
      </c>
      <c r="F70" s="3">
        <v>1292</v>
      </c>
      <c r="G70" s="3">
        <v>626</v>
      </c>
      <c r="H70" s="3">
        <v>496</v>
      </c>
      <c r="I70" s="3">
        <v>25840</v>
      </c>
      <c r="J70" s="3">
        <v>24916</v>
      </c>
      <c r="K70" s="3">
        <v>149</v>
      </c>
      <c r="L70" s="4" t="s">
        <v>62</v>
      </c>
      <c r="M70" s="5" t="s">
        <v>31</v>
      </c>
    </row>
    <row r="71" spans="1:13" ht="14.25" customHeight="1" x14ac:dyDescent="0.3">
      <c r="A71" s="3" t="s">
        <v>192</v>
      </c>
      <c r="B71" s="3" t="s">
        <v>43</v>
      </c>
      <c r="C71" s="3" t="s">
        <v>193</v>
      </c>
      <c r="D71" s="3" t="s">
        <v>74</v>
      </c>
      <c r="E71" s="3" t="s">
        <v>75</v>
      </c>
      <c r="F71" s="3">
        <v>199</v>
      </c>
      <c r="G71" s="3">
        <v>772</v>
      </c>
      <c r="H71" s="3">
        <v>400</v>
      </c>
      <c r="I71" s="3">
        <v>3582</v>
      </c>
      <c r="J71" s="3">
        <v>2988</v>
      </c>
      <c r="K71" s="3">
        <v>43</v>
      </c>
      <c r="L71" s="4" t="s">
        <v>30</v>
      </c>
      <c r="M71" s="5"/>
    </row>
    <row r="72" spans="1:13" ht="14.25" customHeight="1" x14ac:dyDescent="0.3">
      <c r="A72" s="3" t="s">
        <v>194</v>
      </c>
      <c r="B72" s="3" t="s">
        <v>27</v>
      </c>
      <c r="C72" s="3" t="s">
        <v>195</v>
      </c>
      <c r="D72" s="3" t="s">
        <v>45</v>
      </c>
      <c r="E72" s="3" t="s">
        <v>68</v>
      </c>
      <c r="F72" s="3">
        <v>2551</v>
      </c>
      <c r="G72" s="3">
        <v>915</v>
      </c>
      <c r="H72" s="3">
        <v>205</v>
      </c>
      <c r="I72" s="3">
        <v>30612</v>
      </c>
      <c r="J72" s="3">
        <v>30360</v>
      </c>
      <c r="K72" s="3">
        <v>227</v>
      </c>
      <c r="L72" s="4" t="s">
        <v>30</v>
      </c>
      <c r="M72" s="5" t="s">
        <v>25</v>
      </c>
    </row>
    <row r="73" spans="1:13" ht="14.25" customHeight="1" x14ac:dyDescent="0.3">
      <c r="A73" s="3" t="s">
        <v>196</v>
      </c>
      <c r="B73" s="3" t="s">
        <v>27</v>
      </c>
      <c r="C73" s="3" t="s">
        <v>197</v>
      </c>
      <c r="D73" s="3" t="s">
        <v>16</v>
      </c>
      <c r="E73" s="3" t="s">
        <v>29</v>
      </c>
      <c r="F73" s="3">
        <v>296</v>
      </c>
      <c r="G73" s="3">
        <v>60</v>
      </c>
      <c r="H73" s="3">
        <v>141</v>
      </c>
      <c r="I73" s="3">
        <v>5624</v>
      </c>
      <c r="J73" s="3">
        <v>5239</v>
      </c>
      <c r="K73" s="3">
        <v>88</v>
      </c>
      <c r="L73" s="4" t="s">
        <v>37</v>
      </c>
      <c r="M73" s="5" t="s">
        <v>25</v>
      </c>
    </row>
    <row r="74" spans="1:13" ht="14.25" customHeight="1" x14ac:dyDescent="0.3">
      <c r="A74" s="3" t="s">
        <v>198</v>
      </c>
      <c r="B74" s="3" t="s">
        <v>43</v>
      </c>
      <c r="C74" s="3" t="s">
        <v>199</v>
      </c>
      <c r="D74" s="3" t="s">
        <v>35</v>
      </c>
      <c r="E74" s="3" t="s">
        <v>71</v>
      </c>
      <c r="F74" s="3">
        <v>4126</v>
      </c>
      <c r="G74" s="3">
        <v>426</v>
      </c>
      <c r="H74" s="3">
        <v>486</v>
      </c>
      <c r="I74" s="3">
        <v>78394</v>
      </c>
      <c r="J74" s="3">
        <v>77798</v>
      </c>
      <c r="K74" s="3">
        <v>88</v>
      </c>
      <c r="L74" s="4" t="s">
        <v>62</v>
      </c>
      <c r="M74" s="5" t="s">
        <v>38</v>
      </c>
    </row>
    <row r="75" spans="1:13" ht="14.25" customHeight="1" x14ac:dyDescent="0.3">
      <c r="A75" s="3" t="s">
        <v>200</v>
      </c>
      <c r="B75" s="3" t="s">
        <v>27</v>
      </c>
      <c r="C75" s="3" t="s">
        <v>201</v>
      </c>
      <c r="D75" s="3" t="s">
        <v>16</v>
      </c>
      <c r="E75" s="3" t="s">
        <v>29</v>
      </c>
      <c r="F75" s="3">
        <v>1855</v>
      </c>
      <c r="G75" s="3">
        <v>200</v>
      </c>
      <c r="H75" s="3">
        <v>174</v>
      </c>
      <c r="I75" s="3">
        <v>16695</v>
      </c>
      <c r="J75" s="3">
        <v>16330</v>
      </c>
      <c r="K75" s="3">
        <v>123</v>
      </c>
      <c r="L75" s="4" t="s">
        <v>30</v>
      </c>
      <c r="M75" s="5" t="s">
        <v>31</v>
      </c>
    </row>
    <row r="76" spans="1:13" ht="14.25" customHeight="1" x14ac:dyDescent="0.3">
      <c r="A76" s="3" t="s">
        <v>202</v>
      </c>
      <c r="B76" s="3" t="s">
        <v>33</v>
      </c>
      <c r="C76" s="3" t="s">
        <v>203</v>
      </c>
      <c r="D76" s="3" t="s">
        <v>16</v>
      </c>
      <c r="E76" s="3" t="s">
        <v>82</v>
      </c>
      <c r="F76" s="3">
        <v>1674</v>
      </c>
      <c r="G76" s="3">
        <v>929</v>
      </c>
      <c r="H76" s="3">
        <v>37</v>
      </c>
      <c r="I76" s="3">
        <v>21762</v>
      </c>
      <c r="J76" s="3">
        <v>20998</v>
      </c>
      <c r="K76" s="3">
        <v>255</v>
      </c>
      <c r="L76" s="4" t="s">
        <v>30</v>
      </c>
      <c r="M76" s="5" t="s">
        <v>38</v>
      </c>
    </row>
    <row r="77" spans="1:13" ht="14.25" customHeight="1" x14ac:dyDescent="0.3">
      <c r="A77" s="3" t="s">
        <v>204</v>
      </c>
      <c r="B77" s="3" t="s">
        <v>14</v>
      </c>
      <c r="C77" s="3" t="s">
        <v>205</v>
      </c>
      <c r="D77" s="3" t="s">
        <v>35</v>
      </c>
      <c r="E77" s="3" t="s">
        <v>149</v>
      </c>
      <c r="F77" s="3">
        <v>1121</v>
      </c>
      <c r="G77" s="3">
        <v>135</v>
      </c>
      <c r="H77" s="3">
        <v>18</v>
      </c>
      <c r="I77" s="3">
        <v>15694</v>
      </c>
      <c r="J77" s="3">
        <v>14957</v>
      </c>
      <c r="K77" s="3">
        <v>99</v>
      </c>
      <c r="L77" s="4" t="s">
        <v>30</v>
      </c>
      <c r="M77" s="5" t="s">
        <v>38</v>
      </c>
    </row>
    <row r="78" spans="1:13" ht="14.25" customHeight="1" x14ac:dyDescent="0.3">
      <c r="A78" s="3" t="s">
        <v>206</v>
      </c>
      <c r="B78" s="3" t="s">
        <v>43</v>
      </c>
      <c r="C78" s="3" t="s">
        <v>106</v>
      </c>
      <c r="D78" s="3" t="s">
        <v>35</v>
      </c>
      <c r="E78" s="3" t="s">
        <v>71</v>
      </c>
      <c r="F78" s="3">
        <v>1249</v>
      </c>
      <c r="G78" s="3">
        <v>116</v>
      </c>
      <c r="H78" s="3">
        <v>420</v>
      </c>
      <c r="I78" s="3">
        <v>8743</v>
      </c>
      <c r="J78" s="3">
        <v>8538</v>
      </c>
      <c r="K78" s="3">
        <v>63</v>
      </c>
      <c r="L78" s="4" t="s">
        <v>30</v>
      </c>
      <c r="M78" s="5"/>
    </row>
    <row r="79" spans="1:13" ht="14.25" customHeight="1" x14ac:dyDescent="0.3">
      <c r="A79" s="3" t="s">
        <v>207</v>
      </c>
      <c r="B79" s="3" t="s">
        <v>14</v>
      </c>
      <c r="C79" s="3" t="s">
        <v>164</v>
      </c>
      <c r="D79" s="3" t="s">
        <v>52</v>
      </c>
      <c r="E79" s="3" t="s">
        <v>132</v>
      </c>
      <c r="F79" s="3">
        <v>954</v>
      </c>
      <c r="G79" s="3">
        <v>324</v>
      </c>
      <c r="H79" s="3">
        <v>288</v>
      </c>
      <c r="I79" s="3">
        <v>19080</v>
      </c>
      <c r="J79" s="3">
        <v>18859</v>
      </c>
      <c r="K79" s="3">
        <v>21</v>
      </c>
      <c r="L79" s="4" t="s">
        <v>62</v>
      </c>
      <c r="M79" s="5" t="s">
        <v>38</v>
      </c>
    </row>
    <row r="80" spans="1:13" ht="14.25" customHeight="1" x14ac:dyDescent="0.3">
      <c r="A80" s="3" t="s">
        <v>208</v>
      </c>
      <c r="B80" s="3" t="s">
        <v>33</v>
      </c>
      <c r="C80" s="3" t="s">
        <v>209</v>
      </c>
      <c r="D80" s="3" t="s">
        <v>45</v>
      </c>
      <c r="E80" s="3" t="s">
        <v>88</v>
      </c>
      <c r="F80" s="3">
        <v>3068</v>
      </c>
      <c r="G80" s="3">
        <v>137</v>
      </c>
      <c r="H80" s="3">
        <v>329</v>
      </c>
      <c r="I80" s="3">
        <v>39884</v>
      </c>
      <c r="J80" s="3">
        <v>39404</v>
      </c>
      <c r="K80" s="3">
        <v>266</v>
      </c>
      <c r="L80" s="4" t="s">
        <v>37</v>
      </c>
      <c r="M80" s="5" t="s">
        <v>25</v>
      </c>
    </row>
    <row r="81" spans="1:13" ht="14.25" customHeight="1" x14ac:dyDescent="0.3">
      <c r="A81" s="3" t="s">
        <v>210</v>
      </c>
      <c r="B81" s="3" t="s">
        <v>33</v>
      </c>
      <c r="C81" s="3" t="s">
        <v>156</v>
      </c>
      <c r="D81" s="3" t="s">
        <v>35</v>
      </c>
      <c r="E81" s="3" t="s">
        <v>36</v>
      </c>
      <c r="F81" s="3">
        <v>2103</v>
      </c>
      <c r="G81" s="3">
        <v>892</v>
      </c>
      <c r="H81" s="3">
        <v>103</v>
      </c>
      <c r="I81" s="3">
        <v>39957</v>
      </c>
      <c r="J81" s="3">
        <v>39466</v>
      </c>
      <c r="K81" s="3">
        <v>28</v>
      </c>
      <c r="L81" s="4" t="s">
        <v>62</v>
      </c>
      <c r="M81" s="5"/>
    </row>
    <row r="82" spans="1:13" ht="14.25" customHeight="1" x14ac:dyDescent="0.3">
      <c r="A82" s="3" t="s">
        <v>211</v>
      </c>
      <c r="B82" s="3" t="s">
        <v>33</v>
      </c>
      <c r="C82" s="3" t="s">
        <v>212</v>
      </c>
      <c r="D82" s="3" t="s">
        <v>35</v>
      </c>
      <c r="E82" s="3" t="s">
        <v>36</v>
      </c>
      <c r="F82" s="3">
        <v>1816</v>
      </c>
      <c r="G82" s="3">
        <v>29</v>
      </c>
      <c r="H82" s="3">
        <v>41</v>
      </c>
      <c r="I82" s="3">
        <v>19976</v>
      </c>
      <c r="J82" s="3">
        <v>19262</v>
      </c>
      <c r="K82" s="3">
        <v>283</v>
      </c>
      <c r="L82" s="4" t="s">
        <v>30</v>
      </c>
      <c r="M82" s="5" t="s">
        <v>31</v>
      </c>
    </row>
    <row r="83" spans="1:13" ht="14.25" customHeight="1" x14ac:dyDescent="0.3">
      <c r="A83" s="3" t="s">
        <v>213</v>
      </c>
      <c r="B83" s="3" t="s">
        <v>33</v>
      </c>
      <c r="C83" s="3" t="s">
        <v>214</v>
      </c>
      <c r="D83" s="3" t="s">
        <v>52</v>
      </c>
      <c r="E83" s="3" t="s">
        <v>215</v>
      </c>
      <c r="F83" s="3">
        <v>725</v>
      </c>
      <c r="G83" s="3">
        <v>88</v>
      </c>
      <c r="H83" s="3">
        <v>428</v>
      </c>
      <c r="I83" s="3">
        <v>14500</v>
      </c>
      <c r="J83" s="3">
        <v>13637</v>
      </c>
      <c r="K83" s="3">
        <v>200</v>
      </c>
      <c r="L83" s="4" t="s">
        <v>216</v>
      </c>
      <c r="M83" s="5" t="s">
        <v>31</v>
      </c>
    </row>
    <row r="84" spans="1:13" ht="14.25" customHeight="1" x14ac:dyDescent="0.3">
      <c r="A84" s="3" t="s">
        <v>217</v>
      </c>
      <c r="B84" s="3" t="s">
        <v>27</v>
      </c>
      <c r="C84" s="3" t="s">
        <v>218</v>
      </c>
      <c r="D84" s="3" t="s">
        <v>74</v>
      </c>
      <c r="E84" s="3" t="s">
        <v>219</v>
      </c>
      <c r="F84" s="3">
        <v>1094</v>
      </c>
      <c r="G84" s="3">
        <v>472</v>
      </c>
      <c r="H84" s="3">
        <v>21</v>
      </c>
      <c r="I84" s="3">
        <v>9846</v>
      </c>
      <c r="J84" s="3">
        <v>9609</v>
      </c>
      <c r="K84" s="3">
        <v>112</v>
      </c>
      <c r="L84" s="4" t="s">
        <v>37</v>
      </c>
      <c r="M84" s="5"/>
    </row>
    <row r="85" spans="1:13" ht="14.25" customHeight="1" x14ac:dyDescent="0.3">
      <c r="A85" s="3" t="s">
        <v>220</v>
      </c>
      <c r="B85" s="3" t="s">
        <v>43</v>
      </c>
      <c r="C85" s="3" t="s">
        <v>221</v>
      </c>
      <c r="D85" s="3" t="s">
        <v>52</v>
      </c>
      <c r="E85" s="3" t="s">
        <v>59</v>
      </c>
      <c r="F85" s="3">
        <v>1841</v>
      </c>
      <c r="G85" s="3">
        <v>851</v>
      </c>
      <c r="H85" s="3">
        <v>342</v>
      </c>
      <c r="I85" s="3">
        <v>34979</v>
      </c>
      <c r="J85" s="3">
        <v>34154</v>
      </c>
      <c r="K85" s="3">
        <v>255</v>
      </c>
      <c r="L85" s="4" t="s">
        <v>62</v>
      </c>
      <c r="M85" s="5" t="s">
        <v>38</v>
      </c>
    </row>
    <row r="86" spans="1:13" ht="14.25" customHeight="1" x14ac:dyDescent="0.3">
      <c r="A86" s="3" t="s">
        <v>222</v>
      </c>
      <c r="B86" s="3" t="s">
        <v>33</v>
      </c>
      <c r="C86" s="3" t="s">
        <v>123</v>
      </c>
      <c r="D86" s="3" t="s">
        <v>52</v>
      </c>
      <c r="E86" s="3" t="s">
        <v>215</v>
      </c>
      <c r="F86" s="3">
        <v>4177</v>
      </c>
      <c r="G86" s="3">
        <v>569</v>
      </c>
      <c r="H86" s="3">
        <v>55</v>
      </c>
      <c r="I86" s="3">
        <v>25062</v>
      </c>
      <c r="J86" s="3">
        <v>24847</v>
      </c>
      <c r="K86" s="3">
        <v>230</v>
      </c>
      <c r="L86" s="4" t="s">
        <v>62</v>
      </c>
      <c r="M86" s="5" t="s">
        <v>19</v>
      </c>
    </row>
    <row r="87" spans="1:13" ht="14.25" customHeight="1" x14ac:dyDescent="0.3">
      <c r="A87" s="3" t="s">
        <v>223</v>
      </c>
      <c r="B87" s="3" t="s">
        <v>27</v>
      </c>
      <c r="C87" s="3" t="s">
        <v>224</v>
      </c>
      <c r="D87" s="3" t="s">
        <v>22</v>
      </c>
      <c r="E87" s="3" t="s">
        <v>104</v>
      </c>
      <c r="F87" s="3">
        <v>3428</v>
      </c>
      <c r="G87" s="3">
        <v>305</v>
      </c>
      <c r="H87" s="3">
        <v>85</v>
      </c>
      <c r="I87" s="3">
        <v>58276</v>
      </c>
      <c r="J87" s="3">
        <v>58052</v>
      </c>
      <c r="K87" s="3">
        <v>242</v>
      </c>
      <c r="L87" s="4" t="s">
        <v>160</v>
      </c>
      <c r="M87" s="5" t="s">
        <v>38</v>
      </c>
    </row>
    <row r="88" spans="1:13" ht="14.25" customHeight="1" x14ac:dyDescent="0.3">
      <c r="A88" s="3" t="s">
        <v>225</v>
      </c>
      <c r="B88" s="3" t="s">
        <v>14</v>
      </c>
      <c r="C88" s="3" t="s">
        <v>226</v>
      </c>
      <c r="D88" s="3" t="s">
        <v>74</v>
      </c>
      <c r="E88" s="3" t="s">
        <v>145</v>
      </c>
      <c r="F88" s="3">
        <v>1436</v>
      </c>
      <c r="G88" s="3">
        <v>765</v>
      </c>
      <c r="H88" s="3">
        <v>496</v>
      </c>
      <c r="I88" s="3">
        <v>12924</v>
      </c>
      <c r="J88" s="3">
        <v>12701</v>
      </c>
      <c r="K88" s="3">
        <v>197</v>
      </c>
      <c r="L88" s="4" t="s">
        <v>62</v>
      </c>
      <c r="M88" s="5" t="s">
        <v>31</v>
      </c>
    </row>
    <row r="89" spans="1:13" ht="14.25" customHeight="1" x14ac:dyDescent="0.3">
      <c r="A89" s="3" t="s">
        <v>227</v>
      </c>
      <c r="B89" s="3" t="s">
        <v>43</v>
      </c>
      <c r="C89" s="3" t="s">
        <v>228</v>
      </c>
      <c r="D89" s="3" t="s">
        <v>35</v>
      </c>
      <c r="E89" s="3" t="s">
        <v>71</v>
      </c>
      <c r="F89" s="3">
        <v>302</v>
      </c>
      <c r="G89" s="3">
        <v>47</v>
      </c>
      <c r="H89" s="3">
        <v>430</v>
      </c>
      <c r="I89" s="3">
        <v>5738</v>
      </c>
      <c r="J89" s="3">
        <v>4890</v>
      </c>
      <c r="K89" s="3">
        <v>25</v>
      </c>
      <c r="L89" s="4" t="s">
        <v>30</v>
      </c>
      <c r="M89" s="5" t="s">
        <v>38</v>
      </c>
    </row>
    <row r="90" spans="1:13" ht="14.25" customHeight="1" x14ac:dyDescent="0.3">
      <c r="A90" s="3" t="s">
        <v>229</v>
      </c>
      <c r="B90" s="3" t="s">
        <v>14</v>
      </c>
      <c r="C90" s="3" t="s">
        <v>230</v>
      </c>
      <c r="D90" s="3" t="s">
        <v>52</v>
      </c>
      <c r="E90" s="3" t="s">
        <v>132</v>
      </c>
      <c r="F90" s="3">
        <v>2214</v>
      </c>
      <c r="G90" s="3">
        <v>249</v>
      </c>
      <c r="H90" s="3">
        <v>152</v>
      </c>
      <c r="I90" s="3">
        <v>15498</v>
      </c>
      <c r="J90" s="3">
        <v>14800</v>
      </c>
      <c r="K90" s="3">
        <v>180</v>
      </c>
      <c r="L90" s="4" t="s">
        <v>37</v>
      </c>
      <c r="M90" s="5"/>
    </row>
    <row r="91" spans="1:13" ht="14.25" customHeight="1" x14ac:dyDescent="0.3">
      <c r="A91" s="3" t="s">
        <v>231</v>
      </c>
      <c r="B91" s="3" t="s">
        <v>33</v>
      </c>
      <c r="C91" s="3" t="s">
        <v>232</v>
      </c>
      <c r="D91" s="3" t="s">
        <v>52</v>
      </c>
      <c r="E91" s="3" t="s">
        <v>215</v>
      </c>
      <c r="F91" s="3">
        <v>3861</v>
      </c>
      <c r="G91" s="3">
        <v>960</v>
      </c>
      <c r="H91" s="3">
        <v>101</v>
      </c>
      <c r="I91" s="3">
        <v>69498</v>
      </c>
      <c r="J91" s="3">
        <v>68817</v>
      </c>
      <c r="K91" s="3">
        <v>297</v>
      </c>
      <c r="L91" s="4" t="s">
        <v>30</v>
      </c>
      <c r="M91" s="5" t="s">
        <v>38</v>
      </c>
    </row>
    <row r="92" spans="1:13" ht="14.25" customHeight="1" x14ac:dyDescent="0.3">
      <c r="A92" s="3" t="s">
        <v>233</v>
      </c>
      <c r="B92" s="3" t="s">
        <v>43</v>
      </c>
      <c r="C92" s="3" t="s">
        <v>234</v>
      </c>
      <c r="D92" s="3" t="s">
        <v>52</v>
      </c>
      <c r="E92" s="3" t="s">
        <v>59</v>
      </c>
      <c r="F92" s="3">
        <v>1263</v>
      </c>
      <c r="G92" s="3">
        <v>397</v>
      </c>
      <c r="H92" s="3">
        <v>357</v>
      </c>
      <c r="I92" s="3">
        <v>25260</v>
      </c>
      <c r="J92" s="3">
        <v>24615</v>
      </c>
      <c r="K92" s="3">
        <v>137</v>
      </c>
      <c r="L92" s="4" t="s">
        <v>37</v>
      </c>
      <c r="M92" s="5" t="s">
        <v>38</v>
      </c>
    </row>
    <row r="93" spans="1:13" ht="14.25" customHeight="1" x14ac:dyDescent="0.3">
      <c r="A93" s="3" t="s">
        <v>235</v>
      </c>
      <c r="B93" s="3" t="s">
        <v>14</v>
      </c>
      <c r="C93" s="3" t="s">
        <v>168</v>
      </c>
      <c r="D93" s="3" t="s">
        <v>35</v>
      </c>
      <c r="E93" s="3" t="s">
        <v>149</v>
      </c>
      <c r="F93" s="3">
        <v>3801</v>
      </c>
      <c r="G93" s="3">
        <v>967</v>
      </c>
      <c r="H93" s="3">
        <v>401</v>
      </c>
      <c r="I93" s="3">
        <v>38010</v>
      </c>
      <c r="J93" s="3">
        <v>37625</v>
      </c>
      <c r="K93" s="3">
        <v>236</v>
      </c>
      <c r="L93" s="4" t="s">
        <v>62</v>
      </c>
      <c r="M93" s="5" t="s">
        <v>31</v>
      </c>
    </row>
    <row r="94" spans="1:13" ht="14.25" customHeight="1" x14ac:dyDescent="0.3">
      <c r="A94" s="3" t="s">
        <v>236</v>
      </c>
      <c r="B94" s="3" t="s">
        <v>33</v>
      </c>
      <c r="C94" s="3" t="s">
        <v>237</v>
      </c>
      <c r="D94" s="3" t="s">
        <v>74</v>
      </c>
      <c r="E94" s="3" t="s">
        <v>85</v>
      </c>
      <c r="F94" s="3">
        <v>1431</v>
      </c>
      <c r="G94" s="3">
        <v>951</v>
      </c>
      <c r="H94" s="3">
        <v>26</v>
      </c>
      <c r="I94" s="3">
        <v>8586</v>
      </c>
      <c r="J94" s="3">
        <v>8396</v>
      </c>
      <c r="K94" s="3">
        <v>150</v>
      </c>
      <c r="L94" s="4" t="s">
        <v>37</v>
      </c>
      <c r="M94" s="5" t="s">
        <v>31</v>
      </c>
    </row>
    <row r="95" spans="1:13" ht="14.25" customHeight="1" x14ac:dyDescent="0.3">
      <c r="A95" s="3" t="s">
        <v>238</v>
      </c>
      <c r="B95" s="3" t="s">
        <v>33</v>
      </c>
      <c r="C95" s="3" t="s">
        <v>205</v>
      </c>
      <c r="D95" s="3" t="s">
        <v>52</v>
      </c>
      <c r="E95" s="3" t="s">
        <v>215</v>
      </c>
      <c r="F95" s="3">
        <v>2647</v>
      </c>
      <c r="G95" s="3">
        <v>304</v>
      </c>
      <c r="H95" s="3">
        <v>170</v>
      </c>
      <c r="I95" s="3">
        <v>18529</v>
      </c>
      <c r="J95" s="3">
        <v>17841</v>
      </c>
      <c r="K95" s="3">
        <v>46</v>
      </c>
      <c r="L95" s="4" t="s">
        <v>62</v>
      </c>
      <c r="M95" s="5" t="s">
        <v>31</v>
      </c>
    </row>
    <row r="96" spans="1:13" ht="14.25" customHeight="1" x14ac:dyDescent="0.3">
      <c r="A96" s="3" t="s">
        <v>239</v>
      </c>
      <c r="B96" s="3" t="s">
        <v>33</v>
      </c>
      <c r="C96" s="3" t="s">
        <v>240</v>
      </c>
      <c r="D96" s="3" t="s">
        <v>22</v>
      </c>
      <c r="E96" s="3" t="s">
        <v>113</v>
      </c>
      <c r="F96" s="3">
        <v>3182</v>
      </c>
      <c r="G96" s="3">
        <v>559</v>
      </c>
      <c r="H96" s="3">
        <v>160</v>
      </c>
      <c r="I96" s="3">
        <v>57276</v>
      </c>
      <c r="J96" s="3">
        <v>56890</v>
      </c>
      <c r="K96" s="3">
        <v>163</v>
      </c>
      <c r="L96" s="4" t="s">
        <v>62</v>
      </c>
      <c r="M96" s="5" t="s">
        <v>38</v>
      </c>
    </row>
    <row r="97" spans="1:13" ht="14.25" customHeight="1" x14ac:dyDescent="0.3">
      <c r="A97" s="3" t="s">
        <v>241</v>
      </c>
      <c r="B97" s="3" t="s">
        <v>14</v>
      </c>
      <c r="C97" s="3" t="s">
        <v>242</v>
      </c>
      <c r="D97" s="3" t="s">
        <v>52</v>
      </c>
      <c r="E97" s="3" t="s">
        <v>132</v>
      </c>
      <c r="F97" s="3">
        <v>1238</v>
      </c>
      <c r="G97" s="3">
        <v>366</v>
      </c>
      <c r="H97" s="3">
        <v>444</v>
      </c>
      <c r="I97" s="3">
        <v>19808</v>
      </c>
      <c r="J97" s="3">
        <v>19334</v>
      </c>
      <c r="K97" s="3">
        <v>123</v>
      </c>
      <c r="L97" s="4" t="s">
        <v>62</v>
      </c>
      <c r="M97" s="5"/>
    </row>
    <row r="98" spans="1:13" ht="14.25" customHeight="1" x14ac:dyDescent="0.3">
      <c r="A98" s="3" t="s">
        <v>243</v>
      </c>
      <c r="B98" s="3" t="s">
        <v>33</v>
      </c>
      <c r="C98" s="3" t="s">
        <v>244</v>
      </c>
      <c r="D98" s="3" t="s">
        <v>52</v>
      </c>
      <c r="E98" s="3" t="s">
        <v>215</v>
      </c>
      <c r="F98" s="3">
        <v>4739</v>
      </c>
      <c r="G98" s="3">
        <v>527</v>
      </c>
      <c r="H98" s="3">
        <v>135</v>
      </c>
      <c r="I98" s="3">
        <v>61607</v>
      </c>
      <c r="J98" s="3">
        <v>61333</v>
      </c>
      <c r="K98" s="3">
        <v>36</v>
      </c>
      <c r="L98" s="4" t="s">
        <v>95</v>
      </c>
      <c r="M98" s="5" t="s">
        <v>25</v>
      </c>
    </row>
    <row r="99" spans="1:13" ht="14.25" customHeight="1" x14ac:dyDescent="0.3">
      <c r="A99" s="3" t="s">
        <v>245</v>
      </c>
      <c r="B99" s="3" t="s">
        <v>14</v>
      </c>
      <c r="C99" s="3" t="s">
        <v>151</v>
      </c>
      <c r="D99" s="3" t="s">
        <v>35</v>
      </c>
      <c r="E99" s="3" t="s">
        <v>149</v>
      </c>
      <c r="F99" s="3">
        <v>1575</v>
      </c>
      <c r="G99" s="3">
        <v>771</v>
      </c>
      <c r="H99" s="3">
        <v>486</v>
      </c>
      <c r="I99" s="3">
        <v>25200</v>
      </c>
      <c r="J99" s="3">
        <v>24826</v>
      </c>
      <c r="K99" s="3">
        <v>17</v>
      </c>
      <c r="L99" s="4" t="s">
        <v>62</v>
      </c>
      <c r="M99" s="5" t="s">
        <v>38</v>
      </c>
    </row>
    <row r="100" spans="1:13" ht="14.25" customHeight="1" x14ac:dyDescent="0.3">
      <c r="A100" s="3" t="s">
        <v>246</v>
      </c>
      <c r="B100" s="3" t="s">
        <v>27</v>
      </c>
      <c r="C100" s="3" t="s">
        <v>247</v>
      </c>
      <c r="D100" s="3" t="s">
        <v>45</v>
      </c>
      <c r="E100" s="3" t="s">
        <v>68</v>
      </c>
      <c r="F100" s="3">
        <v>4171</v>
      </c>
      <c r="G100" s="3">
        <v>548</v>
      </c>
      <c r="H100" s="3">
        <v>86</v>
      </c>
      <c r="I100" s="3">
        <v>66736</v>
      </c>
      <c r="J100" s="3">
        <v>66634</v>
      </c>
      <c r="K100" s="3">
        <v>173</v>
      </c>
      <c r="L100" s="4" t="s">
        <v>62</v>
      </c>
      <c r="M100" s="5" t="s">
        <v>31</v>
      </c>
    </row>
    <row r="101" spans="1:13" ht="14.25" customHeight="1" x14ac:dyDescent="0.3">
      <c r="A101" s="3" t="s">
        <v>248</v>
      </c>
      <c r="B101" s="3" t="s">
        <v>27</v>
      </c>
      <c r="C101" s="3" t="s">
        <v>249</v>
      </c>
      <c r="D101" s="3" t="s">
        <v>74</v>
      </c>
      <c r="E101" s="3" t="s">
        <v>219</v>
      </c>
      <c r="F101" s="3">
        <v>1766</v>
      </c>
      <c r="G101" s="3">
        <v>92</v>
      </c>
      <c r="H101" s="3">
        <v>424</v>
      </c>
      <c r="I101" s="3">
        <v>24724</v>
      </c>
      <c r="J101" s="3">
        <v>24333</v>
      </c>
      <c r="K101" s="3">
        <v>52</v>
      </c>
      <c r="L101" s="4" t="s">
        <v>37</v>
      </c>
      <c r="M101" s="5"/>
    </row>
    <row r="102" spans="1:13" ht="14.25" customHeight="1" x14ac:dyDescent="0.3">
      <c r="A102" s="3" t="s">
        <v>250</v>
      </c>
      <c r="B102" s="3" t="s">
        <v>27</v>
      </c>
      <c r="C102" s="3" t="s">
        <v>199</v>
      </c>
      <c r="D102" s="3" t="s">
        <v>74</v>
      </c>
      <c r="E102" s="3" t="s">
        <v>219</v>
      </c>
      <c r="F102" s="3">
        <v>4450</v>
      </c>
      <c r="G102" s="3">
        <v>983</v>
      </c>
      <c r="H102" s="3">
        <v>143</v>
      </c>
      <c r="I102" s="3">
        <v>75650</v>
      </c>
      <c r="J102" s="3">
        <v>75008</v>
      </c>
      <c r="K102" s="3">
        <v>12</v>
      </c>
      <c r="L102" s="4" t="s">
        <v>62</v>
      </c>
      <c r="M102" s="5" t="s">
        <v>31</v>
      </c>
    </row>
    <row r="103" spans="1:13" ht="14.25" customHeight="1" x14ac:dyDescent="0.3">
      <c r="A103" s="3" t="s">
        <v>251</v>
      </c>
      <c r="B103" s="3" t="s">
        <v>14</v>
      </c>
      <c r="C103" s="3" t="s">
        <v>252</v>
      </c>
      <c r="D103" s="3" t="s">
        <v>16</v>
      </c>
      <c r="E103" s="3" t="s">
        <v>17</v>
      </c>
      <c r="F103" s="3">
        <v>1000</v>
      </c>
      <c r="G103" s="3">
        <v>978</v>
      </c>
      <c r="H103" s="3">
        <v>162</v>
      </c>
      <c r="I103" s="3">
        <v>6000</v>
      </c>
      <c r="J103" s="3">
        <v>5221</v>
      </c>
      <c r="K103" s="3">
        <v>223</v>
      </c>
      <c r="L103" s="4" t="s">
        <v>37</v>
      </c>
      <c r="M103" s="5" t="s">
        <v>25</v>
      </c>
    </row>
    <row r="104" spans="1:13" ht="14.25" customHeight="1" x14ac:dyDescent="0.3">
      <c r="A104" s="3" t="s">
        <v>253</v>
      </c>
      <c r="B104" s="3" t="s">
        <v>43</v>
      </c>
      <c r="C104" s="3" t="s">
        <v>254</v>
      </c>
      <c r="D104" s="3" t="s">
        <v>52</v>
      </c>
      <c r="E104" s="3" t="s">
        <v>59</v>
      </c>
      <c r="F104" s="3">
        <v>3689</v>
      </c>
      <c r="G104" s="3">
        <v>48</v>
      </c>
      <c r="H104" s="3">
        <v>306</v>
      </c>
      <c r="I104" s="3">
        <v>40579</v>
      </c>
      <c r="J104" s="3">
        <v>39588</v>
      </c>
      <c r="K104" s="3">
        <v>212</v>
      </c>
      <c r="L104" s="4" t="s">
        <v>37</v>
      </c>
      <c r="M104" s="5" t="s">
        <v>25</v>
      </c>
    </row>
    <row r="105" spans="1:13" ht="14.25" customHeight="1" x14ac:dyDescent="0.3">
      <c r="A105" s="3" t="s">
        <v>255</v>
      </c>
      <c r="B105" s="3" t="s">
        <v>27</v>
      </c>
      <c r="C105" s="3" t="s">
        <v>256</v>
      </c>
      <c r="D105" s="3" t="s">
        <v>35</v>
      </c>
      <c r="E105" s="3" t="s">
        <v>154</v>
      </c>
      <c r="F105" s="3">
        <v>3655</v>
      </c>
      <c r="G105" s="3">
        <v>568</v>
      </c>
      <c r="H105" s="3">
        <v>286</v>
      </c>
      <c r="I105" s="3">
        <v>32895</v>
      </c>
      <c r="J105" s="3">
        <v>32015</v>
      </c>
      <c r="K105" s="3">
        <v>199</v>
      </c>
      <c r="L105" s="4" t="s">
        <v>30</v>
      </c>
      <c r="M105" s="5" t="s">
        <v>31</v>
      </c>
    </row>
    <row r="106" spans="1:13" ht="14.25" customHeight="1" x14ac:dyDescent="0.3">
      <c r="A106" s="3" t="s">
        <v>257</v>
      </c>
      <c r="B106" s="3" t="s">
        <v>33</v>
      </c>
      <c r="C106" s="3" t="s">
        <v>258</v>
      </c>
      <c r="D106" s="3" t="s">
        <v>45</v>
      </c>
      <c r="E106" s="3" t="s">
        <v>88</v>
      </c>
      <c r="F106" s="3">
        <v>498</v>
      </c>
      <c r="G106" s="3">
        <v>38</v>
      </c>
      <c r="H106" s="3">
        <v>42</v>
      </c>
      <c r="I106" s="3">
        <v>4482</v>
      </c>
      <c r="J106" s="3">
        <v>3647</v>
      </c>
      <c r="K106" s="3">
        <v>32</v>
      </c>
      <c r="L106" s="4" t="s">
        <v>62</v>
      </c>
      <c r="M106" s="5" t="s">
        <v>19</v>
      </c>
    </row>
    <row r="107" spans="1:13" ht="14.25" customHeight="1" x14ac:dyDescent="0.3">
      <c r="A107" s="3" t="s">
        <v>259</v>
      </c>
      <c r="B107" s="3" t="s">
        <v>33</v>
      </c>
      <c r="C107" s="3" t="s">
        <v>260</v>
      </c>
      <c r="D107" s="3" t="s">
        <v>52</v>
      </c>
      <c r="E107" s="3" t="s">
        <v>215</v>
      </c>
      <c r="F107" s="3">
        <v>4619</v>
      </c>
      <c r="G107" s="3">
        <v>821</v>
      </c>
      <c r="H107" s="3">
        <v>499</v>
      </c>
      <c r="I107" s="3">
        <v>69285</v>
      </c>
      <c r="J107" s="3">
        <v>69141</v>
      </c>
      <c r="K107" s="3">
        <v>298</v>
      </c>
      <c r="L107" s="4" t="s">
        <v>30</v>
      </c>
      <c r="M107" s="5" t="s">
        <v>38</v>
      </c>
    </row>
    <row r="108" spans="1:13" ht="14.25" customHeight="1" x14ac:dyDescent="0.3">
      <c r="A108" s="3" t="s">
        <v>261</v>
      </c>
      <c r="B108" s="3" t="s">
        <v>27</v>
      </c>
      <c r="C108" s="3" t="s">
        <v>262</v>
      </c>
      <c r="D108" s="3" t="s">
        <v>52</v>
      </c>
      <c r="E108" s="3" t="s">
        <v>53</v>
      </c>
      <c r="F108" s="3">
        <v>4832</v>
      </c>
      <c r="G108" s="3">
        <v>893</v>
      </c>
      <c r="H108" s="3">
        <v>10</v>
      </c>
      <c r="I108" s="3">
        <v>91808</v>
      </c>
      <c r="J108" s="3">
        <v>91296</v>
      </c>
      <c r="K108" s="3">
        <v>182</v>
      </c>
      <c r="L108" s="4" t="s">
        <v>30</v>
      </c>
      <c r="M108" s="5"/>
    </row>
    <row r="109" spans="1:13" ht="14.25" customHeight="1" x14ac:dyDescent="0.3">
      <c r="A109" s="3" t="s">
        <v>263</v>
      </c>
      <c r="B109" s="3" t="s">
        <v>14</v>
      </c>
      <c r="C109" s="3" t="s">
        <v>264</v>
      </c>
      <c r="D109" s="3" t="s">
        <v>74</v>
      </c>
      <c r="E109" s="3" t="s">
        <v>145</v>
      </c>
      <c r="F109" s="3">
        <v>4050</v>
      </c>
      <c r="G109" s="3">
        <v>871</v>
      </c>
      <c r="H109" s="3">
        <v>347</v>
      </c>
      <c r="I109" s="3">
        <v>52650</v>
      </c>
      <c r="J109" s="3">
        <v>51755</v>
      </c>
      <c r="K109" s="3">
        <v>209</v>
      </c>
      <c r="L109" s="4" t="s">
        <v>30</v>
      </c>
      <c r="M109" s="5" t="s">
        <v>25</v>
      </c>
    </row>
    <row r="110" spans="1:13" ht="14.25" customHeight="1" x14ac:dyDescent="0.3">
      <c r="A110" s="3" t="s">
        <v>265</v>
      </c>
      <c r="B110" s="3" t="s">
        <v>14</v>
      </c>
      <c r="C110" s="3" t="s">
        <v>266</v>
      </c>
      <c r="D110" s="3" t="s">
        <v>35</v>
      </c>
      <c r="E110" s="3" t="s">
        <v>149</v>
      </c>
      <c r="F110" s="3">
        <v>3649</v>
      </c>
      <c r="G110" s="3">
        <v>215</v>
      </c>
      <c r="H110" s="3">
        <v>413</v>
      </c>
      <c r="I110" s="3">
        <v>25543</v>
      </c>
      <c r="J110" s="3">
        <v>24963</v>
      </c>
      <c r="K110" s="3">
        <v>167</v>
      </c>
      <c r="L110" s="4" t="s">
        <v>62</v>
      </c>
      <c r="M110" s="5" t="s">
        <v>31</v>
      </c>
    </row>
    <row r="111" spans="1:13" ht="14.25" customHeight="1" x14ac:dyDescent="0.3">
      <c r="A111" s="3" t="s">
        <v>267</v>
      </c>
      <c r="B111" s="3" t="s">
        <v>33</v>
      </c>
      <c r="C111" s="3" t="s">
        <v>268</v>
      </c>
      <c r="D111" s="3" t="s">
        <v>16</v>
      </c>
      <c r="E111" s="3" t="s">
        <v>82</v>
      </c>
      <c r="F111" s="3">
        <v>3523</v>
      </c>
      <c r="G111" s="3">
        <v>753</v>
      </c>
      <c r="H111" s="3">
        <v>482</v>
      </c>
      <c r="I111" s="3">
        <v>38753</v>
      </c>
      <c r="J111" s="3">
        <v>38579</v>
      </c>
      <c r="K111" s="3">
        <v>270</v>
      </c>
      <c r="L111" s="4" t="s">
        <v>37</v>
      </c>
      <c r="M111" s="5" t="s">
        <v>25</v>
      </c>
    </row>
    <row r="112" spans="1:13" ht="14.25" customHeight="1" x14ac:dyDescent="0.3">
      <c r="A112" s="3" t="s">
        <v>269</v>
      </c>
      <c r="B112" s="3" t="s">
        <v>27</v>
      </c>
      <c r="C112" s="3" t="s">
        <v>270</v>
      </c>
      <c r="D112" s="3" t="s">
        <v>52</v>
      </c>
      <c r="E112" s="3" t="s">
        <v>53</v>
      </c>
      <c r="F112" s="3">
        <v>2719</v>
      </c>
      <c r="G112" s="3">
        <v>17</v>
      </c>
      <c r="H112" s="3">
        <v>285</v>
      </c>
      <c r="I112" s="3">
        <v>40785</v>
      </c>
      <c r="J112" s="3">
        <v>40281</v>
      </c>
      <c r="K112" s="3">
        <v>40</v>
      </c>
      <c r="L112" s="4" t="s">
        <v>30</v>
      </c>
      <c r="M112" s="5" t="s">
        <v>25</v>
      </c>
    </row>
    <row r="113" spans="1:13" ht="14.25" customHeight="1" x14ac:dyDescent="0.3">
      <c r="A113" s="3" t="s">
        <v>271</v>
      </c>
      <c r="B113" s="3" t="s">
        <v>14</v>
      </c>
      <c r="C113" s="3" t="s">
        <v>272</v>
      </c>
      <c r="D113" s="3" t="s">
        <v>35</v>
      </c>
      <c r="E113" s="3" t="s">
        <v>149</v>
      </c>
      <c r="F113" s="3">
        <v>1957</v>
      </c>
      <c r="G113" s="3">
        <v>877</v>
      </c>
      <c r="H113" s="3">
        <v>238</v>
      </c>
      <c r="I113" s="3">
        <v>17613</v>
      </c>
      <c r="J113" s="3">
        <v>16865</v>
      </c>
      <c r="K113" s="3">
        <v>297</v>
      </c>
      <c r="L113" s="4" t="s">
        <v>62</v>
      </c>
      <c r="M113" s="5" t="s">
        <v>31</v>
      </c>
    </row>
    <row r="114" spans="1:13" ht="14.25" customHeight="1" x14ac:dyDescent="0.3">
      <c r="A114" s="3" t="s">
        <v>273</v>
      </c>
      <c r="B114" s="3" t="s">
        <v>14</v>
      </c>
      <c r="C114" s="3" t="s">
        <v>274</v>
      </c>
      <c r="D114" s="3" t="s">
        <v>45</v>
      </c>
      <c r="E114" s="3" t="s">
        <v>49</v>
      </c>
      <c r="F114" s="3">
        <v>4419</v>
      </c>
      <c r="G114" s="3">
        <v>236</v>
      </c>
      <c r="H114" s="3">
        <v>369</v>
      </c>
      <c r="I114" s="3">
        <v>44190</v>
      </c>
      <c r="J114" s="3">
        <v>43582</v>
      </c>
      <c r="K114" s="3">
        <v>10</v>
      </c>
      <c r="L114" s="4" t="s">
        <v>37</v>
      </c>
      <c r="M114" s="5" t="s">
        <v>19</v>
      </c>
    </row>
    <row r="115" spans="1:13" ht="14.25" customHeight="1" x14ac:dyDescent="0.3">
      <c r="A115" s="3" t="s">
        <v>275</v>
      </c>
      <c r="B115" s="3" t="s">
        <v>14</v>
      </c>
      <c r="C115" s="3" t="s">
        <v>276</v>
      </c>
      <c r="D115" s="3" t="s">
        <v>35</v>
      </c>
      <c r="E115" s="3" t="s">
        <v>149</v>
      </c>
      <c r="F115" s="3">
        <v>4000</v>
      </c>
      <c r="G115" s="3">
        <v>689</v>
      </c>
      <c r="H115" s="3">
        <v>488</v>
      </c>
      <c r="I115" s="3">
        <v>40000</v>
      </c>
      <c r="J115" s="3">
        <v>39569</v>
      </c>
      <c r="K115" s="3">
        <v>44</v>
      </c>
      <c r="L115" s="4" t="s">
        <v>62</v>
      </c>
      <c r="M115" s="5" t="s">
        <v>19</v>
      </c>
    </row>
    <row r="116" spans="1:13" ht="14.25" customHeight="1" x14ac:dyDescent="0.3">
      <c r="A116" s="3" t="s">
        <v>277</v>
      </c>
      <c r="B116" s="3" t="s">
        <v>14</v>
      </c>
      <c r="C116" s="3" t="s">
        <v>278</v>
      </c>
      <c r="D116" s="3" t="s">
        <v>52</v>
      </c>
      <c r="E116" s="3" t="s">
        <v>132</v>
      </c>
      <c r="F116" s="3">
        <v>2493</v>
      </c>
      <c r="G116" s="3">
        <v>97</v>
      </c>
      <c r="H116" s="3">
        <v>44</v>
      </c>
      <c r="I116" s="3">
        <v>42381</v>
      </c>
      <c r="J116" s="3">
        <v>41991</v>
      </c>
      <c r="K116" s="3">
        <v>242</v>
      </c>
      <c r="L116" s="4" t="s">
        <v>95</v>
      </c>
      <c r="M116" s="5" t="s">
        <v>38</v>
      </c>
    </row>
    <row r="117" spans="1:13" ht="14.25" customHeight="1" x14ac:dyDescent="0.3">
      <c r="A117" s="3" t="s">
        <v>279</v>
      </c>
      <c r="B117" s="3" t="s">
        <v>27</v>
      </c>
      <c r="C117" s="3" t="s">
        <v>280</v>
      </c>
      <c r="D117" s="3" t="s">
        <v>16</v>
      </c>
      <c r="E117" s="3" t="s">
        <v>29</v>
      </c>
      <c r="F117" s="3">
        <v>3704</v>
      </c>
      <c r="G117" s="3">
        <v>186</v>
      </c>
      <c r="H117" s="3">
        <v>458</v>
      </c>
      <c r="I117" s="3">
        <v>25928</v>
      </c>
      <c r="J117" s="3">
        <v>25081</v>
      </c>
      <c r="K117" s="3">
        <v>131</v>
      </c>
      <c r="L117" s="4" t="s">
        <v>30</v>
      </c>
      <c r="M117" s="5"/>
    </row>
    <row r="118" spans="1:13" ht="14.25" customHeight="1" x14ac:dyDescent="0.3">
      <c r="A118" s="3" t="s">
        <v>281</v>
      </c>
      <c r="B118" s="3" t="s">
        <v>14</v>
      </c>
      <c r="C118" s="3" t="s">
        <v>282</v>
      </c>
      <c r="D118" s="3" t="s">
        <v>52</v>
      </c>
      <c r="E118" s="3" t="s">
        <v>132</v>
      </c>
      <c r="F118" s="3">
        <v>1606</v>
      </c>
      <c r="G118" s="3">
        <v>451</v>
      </c>
      <c r="H118" s="3">
        <v>405</v>
      </c>
      <c r="I118" s="3">
        <v>20878</v>
      </c>
      <c r="J118" s="3">
        <v>20190</v>
      </c>
      <c r="K118" s="3">
        <v>219</v>
      </c>
      <c r="L118" s="4" t="s">
        <v>37</v>
      </c>
      <c r="M118" s="5" t="s">
        <v>38</v>
      </c>
    </row>
    <row r="119" spans="1:13" ht="14.25" customHeight="1" x14ac:dyDescent="0.3">
      <c r="A119" s="3" t="s">
        <v>283</v>
      </c>
      <c r="B119" s="3" t="s">
        <v>43</v>
      </c>
      <c r="C119" s="3" t="s">
        <v>282</v>
      </c>
      <c r="D119" s="3" t="s">
        <v>52</v>
      </c>
      <c r="E119" s="3" t="s">
        <v>59</v>
      </c>
      <c r="F119" s="3">
        <v>4551</v>
      </c>
      <c r="G119" s="3">
        <v>714</v>
      </c>
      <c r="H119" s="3">
        <v>207</v>
      </c>
      <c r="I119" s="3">
        <v>68265</v>
      </c>
      <c r="J119" s="3">
        <v>67754</v>
      </c>
      <c r="K119" s="3">
        <v>57</v>
      </c>
      <c r="L119" s="4" t="s">
        <v>62</v>
      </c>
      <c r="M119" s="5" t="s">
        <v>31</v>
      </c>
    </row>
    <row r="120" spans="1:13" ht="14.25" customHeight="1" x14ac:dyDescent="0.3">
      <c r="A120" s="3" t="s">
        <v>284</v>
      </c>
      <c r="B120" s="3" t="s">
        <v>33</v>
      </c>
      <c r="C120" s="3" t="s">
        <v>285</v>
      </c>
      <c r="D120" s="3" t="s">
        <v>16</v>
      </c>
      <c r="E120" s="3" t="s">
        <v>82</v>
      </c>
      <c r="F120" s="3">
        <v>1970</v>
      </c>
      <c r="G120" s="3">
        <v>675</v>
      </c>
      <c r="H120" s="3">
        <v>478</v>
      </c>
      <c r="I120" s="3">
        <v>9850</v>
      </c>
      <c r="J120" s="3">
        <v>8924</v>
      </c>
      <c r="K120" s="3">
        <v>117</v>
      </c>
      <c r="L120" s="4" t="s">
        <v>62</v>
      </c>
      <c r="M120" s="5"/>
    </row>
    <row r="121" spans="1:13" ht="14.25" customHeight="1" x14ac:dyDescent="0.3">
      <c r="A121" s="3" t="s">
        <v>286</v>
      </c>
      <c r="B121" s="3" t="s">
        <v>43</v>
      </c>
      <c r="C121" s="3" t="s">
        <v>168</v>
      </c>
      <c r="D121" s="3" t="s">
        <v>35</v>
      </c>
      <c r="E121" s="3" t="s">
        <v>71</v>
      </c>
      <c r="F121" s="3">
        <v>780</v>
      </c>
      <c r="G121" s="3">
        <v>928</v>
      </c>
      <c r="H121" s="3">
        <v>301</v>
      </c>
      <c r="I121" s="3">
        <v>8580</v>
      </c>
      <c r="J121" s="3">
        <v>8081</v>
      </c>
      <c r="K121" s="3">
        <v>91</v>
      </c>
      <c r="L121" s="4" t="s">
        <v>37</v>
      </c>
      <c r="M121" s="5" t="s">
        <v>31</v>
      </c>
    </row>
    <row r="122" spans="1:13" ht="14.25" customHeight="1" x14ac:dyDescent="0.3">
      <c r="A122" s="3" t="s">
        <v>287</v>
      </c>
      <c r="B122" s="3" t="s">
        <v>33</v>
      </c>
      <c r="C122" s="3" t="s">
        <v>268</v>
      </c>
      <c r="D122" s="3" t="s">
        <v>35</v>
      </c>
      <c r="E122" s="3" t="s">
        <v>36</v>
      </c>
      <c r="F122" s="3">
        <v>498</v>
      </c>
      <c r="G122" s="3">
        <v>701</v>
      </c>
      <c r="H122" s="3">
        <v>412</v>
      </c>
      <c r="I122" s="3">
        <v>4980</v>
      </c>
      <c r="J122" s="3">
        <v>4185</v>
      </c>
      <c r="K122" s="3">
        <v>185</v>
      </c>
      <c r="L122" s="4" t="s">
        <v>62</v>
      </c>
      <c r="M122" s="5"/>
    </row>
    <row r="123" spans="1:13" ht="14.25" customHeight="1" x14ac:dyDescent="0.3">
      <c r="A123" s="3" t="s">
        <v>288</v>
      </c>
      <c r="B123" s="3" t="s">
        <v>33</v>
      </c>
      <c r="C123" s="3" t="s">
        <v>274</v>
      </c>
      <c r="D123" s="3" t="s">
        <v>22</v>
      </c>
      <c r="E123" s="3" t="s">
        <v>113</v>
      </c>
      <c r="F123" s="3">
        <v>3432</v>
      </c>
      <c r="G123" s="3">
        <v>869</v>
      </c>
      <c r="H123" s="3">
        <v>123</v>
      </c>
      <c r="I123" s="3">
        <v>54912</v>
      </c>
      <c r="J123" s="3">
        <v>53916</v>
      </c>
      <c r="K123" s="3">
        <v>264</v>
      </c>
      <c r="L123" s="4" t="s">
        <v>37</v>
      </c>
      <c r="M123" s="5" t="s">
        <v>25</v>
      </c>
    </row>
    <row r="124" spans="1:13" ht="14.25" customHeight="1" x14ac:dyDescent="0.3">
      <c r="A124" s="3" t="s">
        <v>289</v>
      </c>
      <c r="B124" s="3" t="s">
        <v>33</v>
      </c>
      <c r="C124" s="3" t="s">
        <v>258</v>
      </c>
      <c r="D124" s="3" t="s">
        <v>35</v>
      </c>
      <c r="E124" s="3" t="s">
        <v>36</v>
      </c>
      <c r="F124" s="3">
        <v>4363</v>
      </c>
      <c r="G124" s="3">
        <v>649</v>
      </c>
      <c r="H124" s="3">
        <v>140</v>
      </c>
      <c r="I124" s="3">
        <v>21815</v>
      </c>
      <c r="J124" s="3">
        <v>21481</v>
      </c>
      <c r="K124" s="3">
        <v>157</v>
      </c>
      <c r="L124" s="4" t="s">
        <v>37</v>
      </c>
      <c r="M124" s="5" t="s">
        <v>19</v>
      </c>
    </row>
    <row r="125" spans="1:13" ht="14.25" customHeight="1" x14ac:dyDescent="0.3">
      <c r="A125" s="3" t="s">
        <v>290</v>
      </c>
      <c r="B125" s="3" t="s">
        <v>27</v>
      </c>
      <c r="C125" s="3" t="s">
        <v>291</v>
      </c>
      <c r="D125" s="3" t="s">
        <v>45</v>
      </c>
      <c r="E125" s="3" t="s">
        <v>68</v>
      </c>
      <c r="F125" s="3">
        <v>736</v>
      </c>
      <c r="G125" s="3">
        <v>771</v>
      </c>
      <c r="H125" s="3">
        <v>225</v>
      </c>
      <c r="I125" s="3">
        <v>5152</v>
      </c>
      <c r="J125" s="3">
        <v>4706</v>
      </c>
      <c r="K125" s="3">
        <v>19</v>
      </c>
      <c r="L125" s="4" t="s">
        <v>37</v>
      </c>
      <c r="M125" s="5" t="s">
        <v>19</v>
      </c>
    </row>
    <row r="126" spans="1:13" ht="14.25" customHeight="1" x14ac:dyDescent="0.3">
      <c r="A126" s="3" t="s">
        <v>292</v>
      </c>
      <c r="B126" s="3" t="s">
        <v>14</v>
      </c>
      <c r="C126" s="3" t="s">
        <v>293</v>
      </c>
      <c r="D126" s="3" t="s">
        <v>45</v>
      </c>
      <c r="E126" s="3" t="s">
        <v>49</v>
      </c>
      <c r="F126" s="3">
        <v>3811</v>
      </c>
      <c r="G126" s="3">
        <v>866</v>
      </c>
      <c r="H126" s="3">
        <v>216</v>
      </c>
      <c r="I126" s="3">
        <v>34299</v>
      </c>
      <c r="J126" s="3">
        <v>34088</v>
      </c>
      <c r="K126" s="3">
        <v>233</v>
      </c>
      <c r="L126" s="4" t="s">
        <v>30</v>
      </c>
      <c r="M126" s="5" t="s">
        <v>38</v>
      </c>
    </row>
    <row r="127" spans="1:13" ht="14.25" customHeight="1" x14ac:dyDescent="0.3">
      <c r="A127" s="3" t="s">
        <v>294</v>
      </c>
      <c r="B127" s="3" t="s">
        <v>33</v>
      </c>
      <c r="C127" s="3" t="s">
        <v>184</v>
      </c>
      <c r="D127" s="3" t="s">
        <v>45</v>
      </c>
      <c r="E127" s="3" t="s">
        <v>88</v>
      </c>
      <c r="F127" s="3">
        <v>4158</v>
      </c>
      <c r="G127" s="3">
        <v>167</v>
      </c>
      <c r="H127" s="3">
        <v>241</v>
      </c>
      <c r="I127" s="3">
        <v>45738</v>
      </c>
      <c r="J127" s="3">
        <v>45183</v>
      </c>
      <c r="K127" s="3">
        <v>142</v>
      </c>
      <c r="L127" s="4" t="s">
        <v>62</v>
      </c>
      <c r="M127" s="5"/>
    </row>
    <row r="128" spans="1:13" ht="14.25" customHeight="1" x14ac:dyDescent="0.3">
      <c r="A128" s="3" t="s">
        <v>295</v>
      </c>
      <c r="B128" s="3" t="s">
        <v>43</v>
      </c>
      <c r="C128" s="3" t="s">
        <v>224</v>
      </c>
      <c r="D128" s="3" t="s">
        <v>16</v>
      </c>
      <c r="E128" s="3" t="s">
        <v>65</v>
      </c>
      <c r="F128" s="3">
        <v>3452</v>
      </c>
      <c r="G128" s="3">
        <v>652</v>
      </c>
      <c r="H128" s="3">
        <v>442</v>
      </c>
      <c r="I128" s="3">
        <v>65588</v>
      </c>
      <c r="J128" s="3">
        <v>65049</v>
      </c>
      <c r="K128" s="3">
        <v>158</v>
      </c>
      <c r="L128" s="4" t="s">
        <v>62</v>
      </c>
      <c r="M128" s="5" t="s">
        <v>31</v>
      </c>
    </row>
    <row r="129" spans="1:13" ht="14.25" customHeight="1" x14ac:dyDescent="0.3">
      <c r="A129" s="3" t="s">
        <v>296</v>
      </c>
      <c r="B129" s="3" t="s">
        <v>14</v>
      </c>
      <c r="C129" s="3" t="s">
        <v>230</v>
      </c>
      <c r="D129" s="3" t="s">
        <v>52</v>
      </c>
      <c r="E129" s="3" t="s">
        <v>132</v>
      </c>
      <c r="F129" s="3">
        <v>3092</v>
      </c>
      <c r="G129" s="3">
        <v>106</v>
      </c>
      <c r="H129" s="3">
        <v>291</v>
      </c>
      <c r="I129" s="3">
        <v>27828</v>
      </c>
      <c r="J129" s="3">
        <v>27217</v>
      </c>
      <c r="K129" s="3">
        <v>102</v>
      </c>
      <c r="L129" s="4" t="s">
        <v>62</v>
      </c>
      <c r="M129" s="5"/>
    </row>
    <row r="130" spans="1:13" ht="14.25" customHeight="1" x14ac:dyDescent="0.3">
      <c r="A130" s="3" t="s">
        <v>297</v>
      </c>
      <c r="B130" s="3" t="s">
        <v>14</v>
      </c>
      <c r="C130" s="3" t="s">
        <v>64</v>
      </c>
      <c r="D130" s="3" t="s">
        <v>22</v>
      </c>
      <c r="E130" s="3" t="s">
        <v>23</v>
      </c>
      <c r="F130" s="3">
        <v>2147</v>
      </c>
      <c r="G130" s="3">
        <v>430</v>
      </c>
      <c r="H130" s="3">
        <v>393</v>
      </c>
      <c r="I130" s="3">
        <v>17176</v>
      </c>
      <c r="J130" s="3">
        <v>16483</v>
      </c>
      <c r="K130" s="3">
        <v>170</v>
      </c>
      <c r="L130" s="4" t="s">
        <v>30</v>
      </c>
      <c r="M130" s="5"/>
    </row>
    <row r="131" spans="1:13" ht="14.25" customHeight="1" x14ac:dyDescent="0.3">
      <c r="A131" s="3" t="s">
        <v>298</v>
      </c>
      <c r="B131" s="3" t="s">
        <v>27</v>
      </c>
      <c r="C131" s="3" t="s">
        <v>299</v>
      </c>
      <c r="D131" s="3" t="s">
        <v>16</v>
      </c>
      <c r="E131" s="3" t="s">
        <v>29</v>
      </c>
      <c r="F131" s="3">
        <v>2936</v>
      </c>
      <c r="G131" s="3">
        <v>439</v>
      </c>
      <c r="H131" s="3">
        <v>44</v>
      </c>
      <c r="I131" s="3">
        <v>38168</v>
      </c>
      <c r="J131" s="3">
        <v>37571</v>
      </c>
      <c r="K131" s="3">
        <v>22</v>
      </c>
      <c r="L131" s="4" t="s">
        <v>37</v>
      </c>
      <c r="M131" s="5" t="s">
        <v>38</v>
      </c>
    </row>
    <row r="132" spans="1:13" ht="14.25" customHeight="1" x14ac:dyDescent="0.3">
      <c r="A132" s="3" t="s">
        <v>300</v>
      </c>
      <c r="B132" s="3" t="s">
        <v>33</v>
      </c>
      <c r="C132" s="3" t="s">
        <v>168</v>
      </c>
      <c r="D132" s="3" t="s">
        <v>16</v>
      </c>
      <c r="E132" s="3" t="s">
        <v>82</v>
      </c>
      <c r="F132" s="3">
        <v>4840</v>
      </c>
      <c r="G132" s="3">
        <v>658</v>
      </c>
      <c r="H132" s="3">
        <v>211</v>
      </c>
      <c r="I132" s="3">
        <v>43560</v>
      </c>
      <c r="J132" s="3">
        <v>43225</v>
      </c>
      <c r="K132" s="3">
        <v>57</v>
      </c>
      <c r="L132" s="4" t="s">
        <v>62</v>
      </c>
      <c r="M132" s="5" t="s">
        <v>31</v>
      </c>
    </row>
    <row r="133" spans="1:13" ht="14.25" customHeight="1" x14ac:dyDescent="0.3">
      <c r="A133" s="3" t="s">
        <v>301</v>
      </c>
      <c r="B133" s="3" t="s">
        <v>33</v>
      </c>
      <c r="C133" s="3" t="s">
        <v>106</v>
      </c>
      <c r="D133" s="3" t="s">
        <v>35</v>
      </c>
      <c r="E133" s="3" t="s">
        <v>36</v>
      </c>
      <c r="F133" s="3">
        <v>1947</v>
      </c>
      <c r="G133" s="3">
        <v>842</v>
      </c>
      <c r="H133" s="3">
        <v>101</v>
      </c>
      <c r="I133" s="3">
        <v>21417</v>
      </c>
      <c r="J133" s="3">
        <v>20967</v>
      </c>
      <c r="K133" s="3">
        <v>186</v>
      </c>
      <c r="L133" s="4" t="s">
        <v>62</v>
      </c>
      <c r="M133" s="5" t="s">
        <v>25</v>
      </c>
    </row>
    <row r="134" spans="1:13" ht="14.25" customHeight="1" x14ac:dyDescent="0.3">
      <c r="A134" s="3" t="s">
        <v>302</v>
      </c>
      <c r="B134" s="3" t="s">
        <v>43</v>
      </c>
      <c r="C134" s="3" t="s">
        <v>303</v>
      </c>
      <c r="D134" s="3" t="s">
        <v>52</v>
      </c>
      <c r="E134" s="3" t="s">
        <v>59</v>
      </c>
      <c r="F134" s="3">
        <v>2072</v>
      </c>
      <c r="G134" s="3">
        <v>532</v>
      </c>
      <c r="H134" s="3">
        <v>71</v>
      </c>
      <c r="I134" s="3">
        <v>37296</v>
      </c>
      <c r="J134" s="3">
        <v>36467</v>
      </c>
      <c r="K134" s="3">
        <v>25</v>
      </c>
      <c r="L134" s="4" t="s">
        <v>30</v>
      </c>
      <c r="M134" s="5" t="s">
        <v>38</v>
      </c>
    </row>
    <row r="135" spans="1:13" ht="14.25" customHeight="1" x14ac:dyDescent="0.3">
      <c r="A135" s="3" t="s">
        <v>304</v>
      </c>
      <c r="B135" s="3" t="s">
        <v>14</v>
      </c>
      <c r="C135" s="3" t="s">
        <v>305</v>
      </c>
      <c r="D135" s="3" t="s">
        <v>16</v>
      </c>
      <c r="E135" s="3" t="s">
        <v>17</v>
      </c>
      <c r="F135" s="3">
        <v>3731</v>
      </c>
      <c r="G135" s="3">
        <v>115</v>
      </c>
      <c r="H135" s="3">
        <v>135</v>
      </c>
      <c r="I135" s="3">
        <v>55965</v>
      </c>
      <c r="J135" s="3">
        <v>55436</v>
      </c>
      <c r="K135" s="3">
        <v>103</v>
      </c>
      <c r="L135" s="4" t="s">
        <v>30</v>
      </c>
      <c r="M135" s="5" t="s">
        <v>19</v>
      </c>
    </row>
    <row r="136" spans="1:13" ht="14.25" customHeight="1" x14ac:dyDescent="0.3">
      <c r="A136" s="3" t="s">
        <v>306</v>
      </c>
      <c r="B136" s="3" t="s">
        <v>43</v>
      </c>
      <c r="C136" s="3" t="s">
        <v>307</v>
      </c>
      <c r="D136" s="3" t="s">
        <v>22</v>
      </c>
      <c r="E136" s="3" t="s">
        <v>56</v>
      </c>
      <c r="F136" s="3">
        <v>4213</v>
      </c>
      <c r="G136" s="3">
        <v>253</v>
      </c>
      <c r="H136" s="3">
        <v>434</v>
      </c>
      <c r="I136" s="3">
        <v>75834</v>
      </c>
      <c r="J136" s="3">
        <v>75437</v>
      </c>
      <c r="K136" s="3">
        <v>272</v>
      </c>
      <c r="L136" s="4" t="s">
        <v>62</v>
      </c>
      <c r="M136" s="5" t="s">
        <v>38</v>
      </c>
    </row>
    <row r="137" spans="1:13" ht="14.25" customHeight="1" x14ac:dyDescent="0.3">
      <c r="A137" s="3" t="s">
        <v>308</v>
      </c>
      <c r="B137" s="3" t="s">
        <v>33</v>
      </c>
      <c r="C137" s="3" t="s">
        <v>309</v>
      </c>
      <c r="D137" s="3" t="s">
        <v>22</v>
      </c>
      <c r="E137" s="3" t="s">
        <v>113</v>
      </c>
      <c r="F137" s="3">
        <v>3134</v>
      </c>
      <c r="G137" s="3">
        <v>888</v>
      </c>
      <c r="H137" s="3">
        <v>444</v>
      </c>
      <c r="I137" s="3">
        <v>21938</v>
      </c>
      <c r="J137" s="3">
        <v>21337</v>
      </c>
      <c r="K137" s="3">
        <v>130</v>
      </c>
      <c r="L137" s="4" t="s">
        <v>37</v>
      </c>
      <c r="M137" s="5" t="s">
        <v>38</v>
      </c>
    </row>
    <row r="138" spans="1:13" ht="14.25" customHeight="1" x14ac:dyDescent="0.3">
      <c r="A138" s="3" t="s">
        <v>310</v>
      </c>
      <c r="B138" s="3" t="s">
        <v>43</v>
      </c>
      <c r="C138" s="3" t="s">
        <v>115</v>
      </c>
      <c r="D138" s="3" t="s">
        <v>74</v>
      </c>
      <c r="E138" s="3" t="s">
        <v>75</v>
      </c>
      <c r="F138" s="3">
        <v>3008</v>
      </c>
      <c r="G138" s="3">
        <v>94</v>
      </c>
      <c r="H138" s="3">
        <v>37</v>
      </c>
      <c r="I138" s="3">
        <v>15040</v>
      </c>
      <c r="J138" s="3">
        <v>14639</v>
      </c>
      <c r="K138" s="3">
        <v>277</v>
      </c>
      <c r="L138" s="4" t="s">
        <v>62</v>
      </c>
      <c r="M138" s="5"/>
    </row>
    <row r="139" spans="1:13" ht="14.25" customHeight="1" x14ac:dyDescent="0.3">
      <c r="A139" s="3" t="s">
        <v>311</v>
      </c>
      <c r="B139" s="3" t="s">
        <v>14</v>
      </c>
      <c r="C139" s="3" t="s">
        <v>188</v>
      </c>
      <c r="D139" s="3" t="s">
        <v>52</v>
      </c>
      <c r="E139" s="3" t="s">
        <v>132</v>
      </c>
      <c r="F139" s="3">
        <v>305</v>
      </c>
      <c r="G139" s="3">
        <v>187</v>
      </c>
      <c r="H139" s="3">
        <v>243</v>
      </c>
      <c r="I139" s="3">
        <v>4575</v>
      </c>
      <c r="J139" s="3">
        <v>3704</v>
      </c>
      <c r="K139" s="3">
        <v>234</v>
      </c>
      <c r="L139" s="4" t="s">
        <v>62</v>
      </c>
      <c r="M139" s="5" t="s">
        <v>31</v>
      </c>
    </row>
    <row r="140" spans="1:13" ht="14.25" customHeight="1" x14ac:dyDescent="0.3">
      <c r="A140" s="3" t="s">
        <v>312</v>
      </c>
      <c r="B140" s="3" t="s">
        <v>27</v>
      </c>
      <c r="C140" s="3" t="s">
        <v>313</v>
      </c>
      <c r="D140" s="3" t="s">
        <v>22</v>
      </c>
      <c r="E140" s="3" t="s">
        <v>104</v>
      </c>
      <c r="F140" s="3">
        <v>2746</v>
      </c>
      <c r="G140" s="3">
        <v>156</v>
      </c>
      <c r="H140" s="3">
        <v>203</v>
      </c>
      <c r="I140" s="3">
        <v>32952</v>
      </c>
      <c r="J140" s="3">
        <v>32147</v>
      </c>
      <c r="K140" s="3">
        <v>147</v>
      </c>
      <c r="L140" s="4" t="s">
        <v>37</v>
      </c>
      <c r="M140" s="5" t="s">
        <v>19</v>
      </c>
    </row>
    <row r="141" spans="1:13" ht="14.25" customHeight="1" x14ac:dyDescent="0.3">
      <c r="A141" s="3" t="s">
        <v>314</v>
      </c>
      <c r="B141" s="3" t="s">
        <v>43</v>
      </c>
      <c r="C141" s="3" t="s">
        <v>315</v>
      </c>
      <c r="D141" s="3" t="s">
        <v>52</v>
      </c>
      <c r="E141" s="3" t="s">
        <v>59</v>
      </c>
      <c r="F141" s="3">
        <v>2291</v>
      </c>
      <c r="G141" s="3">
        <v>78</v>
      </c>
      <c r="H141" s="3">
        <v>485</v>
      </c>
      <c r="I141" s="3">
        <v>18328</v>
      </c>
      <c r="J141" s="3">
        <v>18101</v>
      </c>
      <c r="K141" s="3">
        <v>10</v>
      </c>
      <c r="L141" s="4" t="s">
        <v>316</v>
      </c>
      <c r="M141" s="5" t="s">
        <v>25</v>
      </c>
    </row>
    <row r="142" spans="1:13" ht="14.25" customHeight="1" x14ac:dyDescent="0.3">
      <c r="A142" s="3" t="s">
        <v>317</v>
      </c>
      <c r="B142" s="3" t="s">
        <v>14</v>
      </c>
      <c r="C142" s="3" t="s">
        <v>318</v>
      </c>
      <c r="D142" s="3" t="s">
        <v>52</v>
      </c>
      <c r="E142" s="3" t="s">
        <v>132</v>
      </c>
      <c r="F142" s="3">
        <v>3170</v>
      </c>
      <c r="G142" s="3">
        <v>857</v>
      </c>
      <c r="H142" s="3">
        <v>379</v>
      </c>
      <c r="I142" s="3">
        <v>19020</v>
      </c>
      <c r="J142" s="3">
        <v>18559</v>
      </c>
      <c r="K142" s="3">
        <v>240</v>
      </c>
      <c r="L142" s="4" t="s">
        <v>62</v>
      </c>
      <c r="M142" s="5"/>
    </row>
    <row r="143" spans="1:13" ht="14.25" customHeight="1" x14ac:dyDescent="0.3">
      <c r="A143" s="3" t="s">
        <v>319</v>
      </c>
      <c r="B143" s="3" t="s">
        <v>27</v>
      </c>
      <c r="C143" s="3" t="s">
        <v>264</v>
      </c>
      <c r="D143" s="3" t="s">
        <v>35</v>
      </c>
      <c r="E143" s="3" t="s">
        <v>154</v>
      </c>
      <c r="F143" s="3">
        <v>2070</v>
      </c>
      <c r="G143" s="3">
        <v>275</v>
      </c>
      <c r="H143" s="3">
        <v>386</v>
      </c>
      <c r="I143" s="3">
        <v>39330</v>
      </c>
      <c r="J143" s="3">
        <v>38627</v>
      </c>
      <c r="K143" s="3">
        <v>114</v>
      </c>
      <c r="L143" s="4" t="s">
        <v>62</v>
      </c>
      <c r="M143" s="5" t="s">
        <v>38</v>
      </c>
    </row>
    <row r="144" spans="1:13" ht="14.25" customHeight="1" x14ac:dyDescent="0.3">
      <c r="A144" s="3" t="s">
        <v>320</v>
      </c>
      <c r="B144" s="3" t="s">
        <v>27</v>
      </c>
      <c r="C144" s="3" t="s">
        <v>274</v>
      </c>
      <c r="D144" s="3" t="s">
        <v>45</v>
      </c>
      <c r="E144" s="3" t="s">
        <v>68</v>
      </c>
      <c r="F144" s="3">
        <v>80</v>
      </c>
      <c r="G144" s="3">
        <v>362</v>
      </c>
      <c r="H144" s="3">
        <v>80</v>
      </c>
      <c r="I144" s="3">
        <v>1040</v>
      </c>
      <c r="J144" s="3">
        <v>349</v>
      </c>
      <c r="K144" s="3">
        <v>117</v>
      </c>
      <c r="L144" s="4" t="s">
        <v>30</v>
      </c>
      <c r="M144" s="5" t="s">
        <v>31</v>
      </c>
    </row>
    <row r="145" spans="1:13" ht="14.25" customHeight="1" x14ac:dyDescent="0.3">
      <c r="A145" s="3" t="s">
        <v>321</v>
      </c>
      <c r="B145" s="3" t="s">
        <v>27</v>
      </c>
      <c r="C145" s="3" t="s">
        <v>201</v>
      </c>
      <c r="D145" s="3" t="s">
        <v>35</v>
      </c>
      <c r="E145" s="3" t="s">
        <v>154</v>
      </c>
      <c r="F145" s="3">
        <v>4929</v>
      </c>
      <c r="G145" s="3">
        <v>749</v>
      </c>
      <c r="H145" s="3">
        <v>452</v>
      </c>
      <c r="I145" s="3">
        <v>93651</v>
      </c>
      <c r="J145" s="3">
        <v>92810</v>
      </c>
      <c r="K145" s="3">
        <v>66</v>
      </c>
      <c r="L145" s="4" t="s">
        <v>37</v>
      </c>
      <c r="M145" s="5" t="s">
        <v>38</v>
      </c>
    </row>
    <row r="146" spans="1:13" ht="14.25" customHeight="1" x14ac:dyDescent="0.3">
      <c r="A146" s="3" t="s">
        <v>322</v>
      </c>
      <c r="B146" s="3" t="s">
        <v>33</v>
      </c>
      <c r="C146" s="3" t="s">
        <v>34</v>
      </c>
      <c r="D146" s="3" t="s">
        <v>45</v>
      </c>
      <c r="E146" s="3" t="s">
        <v>88</v>
      </c>
      <c r="F146" s="3">
        <v>1878</v>
      </c>
      <c r="G146" s="3">
        <v>62</v>
      </c>
      <c r="H146" s="3">
        <v>179</v>
      </c>
      <c r="I146" s="3">
        <v>37560</v>
      </c>
      <c r="J146" s="3">
        <v>36874</v>
      </c>
      <c r="K146" s="3">
        <v>142</v>
      </c>
      <c r="L146" s="4" t="s">
        <v>30</v>
      </c>
      <c r="M146" s="5" t="s">
        <v>38</v>
      </c>
    </row>
    <row r="147" spans="1:13" ht="14.25" customHeight="1" x14ac:dyDescent="0.3">
      <c r="A147" s="3" t="s">
        <v>323</v>
      </c>
      <c r="B147" s="3" t="s">
        <v>27</v>
      </c>
      <c r="C147" s="3" t="s">
        <v>324</v>
      </c>
      <c r="D147" s="3" t="s">
        <v>16</v>
      </c>
      <c r="E147" s="3" t="s">
        <v>29</v>
      </c>
      <c r="F147" s="3">
        <v>3065</v>
      </c>
      <c r="G147" s="3">
        <v>772</v>
      </c>
      <c r="H147" s="3">
        <v>142</v>
      </c>
      <c r="I147" s="3">
        <v>18390</v>
      </c>
      <c r="J147" s="3">
        <v>17875</v>
      </c>
      <c r="K147" s="3">
        <v>200</v>
      </c>
      <c r="L147" s="4" t="s">
        <v>325</v>
      </c>
      <c r="M147" s="5"/>
    </row>
    <row r="148" spans="1:13" ht="14.25" customHeight="1" x14ac:dyDescent="0.3">
      <c r="A148" s="3" t="s">
        <v>326</v>
      </c>
      <c r="B148" s="3" t="s">
        <v>33</v>
      </c>
      <c r="C148" s="3" t="s">
        <v>168</v>
      </c>
      <c r="D148" s="3" t="s">
        <v>16</v>
      </c>
      <c r="E148" s="3" t="s">
        <v>82</v>
      </c>
      <c r="F148" s="3">
        <v>3256</v>
      </c>
      <c r="G148" s="3">
        <v>459</v>
      </c>
      <c r="H148" s="3">
        <v>266</v>
      </c>
      <c r="I148" s="3">
        <v>26048</v>
      </c>
      <c r="J148" s="3">
        <v>25529</v>
      </c>
      <c r="K148" s="3">
        <v>143</v>
      </c>
      <c r="L148" s="4" t="s">
        <v>30</v>
      </c>
      <c r="M148" s="5" t="s">
        <v>25</v>
      </c>
    </row>
    <row r="149" spans="1:13" ht="14.25" customHeight="1" x14ac:dyDescent="0.3">
      <c r="A149" s="3" t="s">
        <v>327</v>
      </c>
      <c r="B149" s="3" t="s">
        <v>33</v>
      </c>
      <c r="C149" s="3" t="s">
        <v>170</v>
      </c>
      <c r="D149" s="3" t="s">
        <v>74</v>
      </c>
      <c r="E149" s="3" t="s">
        <v>85</v>
      </c>
      <c r="F149" s="3">
        <v>4133</v>
      </c>
      <c r="G149" s="3">
        <v>466</v>
      </c>
      <c r="H149" s="3">
        <v>327</v>
      </c>
      <c r="I149" s="3">
        <v>24798</v>
      </c>
      <c r="J149" s="3">
        <v>24620</v>
      </c>
      <c r="K149" s="3">
        <v>176</v>
      </c>
      <c r="L149" s="4" t="s">
        <v>37</v>
      </c>
      <c r="M149" s="5" t="s">
        <v>38</v>
      </c>
    </row>
    <row r="150" spans="1:13" ht="14.25" customHeight="1" x14ac:dyDescent="0.3">
      <c r="A150" s="3" t="s">
        <v>328</v>
      </c>
      <c r="B150" s="3" t="s">
        <v>14</v>
      </c>
      <c r="C150" s="3" t="s">
        <v>329</v>
      </c>
      <c r="D150" s="3" t="s">
        <v>74</v>
      </c>
      <c r="E150" s="3" t="s">
        <v>145</v>
      </c>
      <c r="F150" s="3">
        <v>1702</v>
      </c>
      <c r="G150" s="3">
        <v>750</v>
      </c>
      <c r="H150" s="3">
        <v>179</v>
      </c>
      <c r="I150" s="3">
        <v>34040</v>
      </c>
      <c r="J150" s="3">
        <v>33174</v>
      </c>
      <c r="K150" s="3">
        <v>76</v>
      </c>
      <c r="L150" s="4" t="s">
        <v>37</v>
      </c>
      <c r="M150" s="5" t="s">
        <v>19</v>
      </c>
    </row>
    <row r="151" spans="1:13" ht="14.25" customHeight="1" x14ac:dyDescent="0.3">
      <c r="A151" s="3" t="s">
        <v>330</v>
      </c>
      <c r="B151" s="3" t="s">
        <v>27</v>
      </c>
      <c r="C151" s="3" t="s">
        <v>331</v>
      </c>
      <c r="D151" s="3" t="s">
        <v>45</v>
      </c>
      <c r="E151" s="3" t="s">
        <v>68</v>
      </c>
      <c r="F151" s="3">
        <v>4295</v>
      </c>
      <c r="G151" s="3">
        <v>853</v>
      </c>
      <c r="H151" s="3">
        <v>325</v>
      </c>
      <c r="I151" s="3">
        <v>85900</v>
      </c>
      <c r="J151" s="3">
        <v>85788</v>
      </c>
      <c r="K151" s="3">
        <v>290</v>
      </c>
      <c r="L151" s="4" t="s">
        <v>30</v>
      </c>
      <c r="M151" s="5" t="s">
        <v>38</v>
      </c>
    </row>
    <row r="152" spans="1:13" ht="14.25" customHeight="1" x14ac:dyDescent="0.3">
      <c r="A152" s="3" t="s">
        <v>332</v>
      </c>
      <c r="B152" s="3" t="s">
        <v>33</v>
      </c>
      <c r="C152" s="3" t="s">
        <v>186</v>
      </c>
      <c r="D152" s="3" t="s">
        <v>52</v>
      </c>
      <c r="E152" s="3" t="s">
        <v>215</v>
      </c>
      <c r="F152" s="3">
        <v>3559</v>
      </c>
      <c r="G152" s="3">
        <v>59</v>
      </c>
      <c r="H152" s="3">
        <v>289</v>
      </c>
      <c r="I152" s="3">
        <v>35590</v>
      </c>
      <c r="J152" s="3">
        <v>35105</v>
      </c>
      <c r="K152" s="3">
        <v>122</v>
      </c>
      <c r="L152" s="4" t="s">
        <v>37</v>
      </c>
      <c r="M152" s="5" t="s">
        <v>19</v>
      </c>
    </row>
    <row r="153" spans="1:13" ht="14.25" customHeight="1" x14ac:dyDescent="0.3">
      <c r="A153" s="3" t="s">
        <v>333</v>
      </c>
      <c r="B153" s="3" t="s">
        <v>43</v>
      </c>
      <c r="C153" s="3" t="s">
        <v>334</v>
      </c>
      <c r="D153" s="3" t="s">
        <v>52</v>
      </c>
      <c r="E153" s="3" t="s">
        <v>59</v>
      </c>
      <c r="F153" s="3">
        <v>4804</v>
      </c>
      <c r="G153" s="3">
        <v>550</v>
      </c>
      <c r="H153" s="3">
        <v>270</v>
      </c>
      <c r="I153" s="3">
        <v>28824</v>
      </c>
      <c r="J153" s="3">
        <v>28370</v>
      </c>
      <c r="K153" s="3">
        <v>47</v>
      </c>
      <c r="L153" s="4" t="s">
        <v>37</v>
      </c>
      <c r="M153" s="5" t="s">
        <v>38</v>
      </c>
    </row>
    <row r="154" spans="1:13" ht="14.25" customHeight="1" x14ac:dyDescent="0.3">
      <c r="A154" s="3" t="s">
        <v>335</v>
      </c>
      <c r="B154" s="3" t="s">
        <v>14</v>
      </c>
      <c r="C154" s="3" t="s">
        <v>336</v>
      </c>
      <c r="D154" s="3" t="s">
        <v>74</v>
      </c>
      <c r="E154" s="3" t="s">
        <v>145</v>
      </c>
      <c r="F154" s="3">
        <v>754</v>
      </c>
      <c r="G154" s="3">
        <v>197</v>
      </c>
      <c r="H154" s="3">
        <v>257</v>
      </c>
      <c r="I154" s="3">
        <v>6786</v>
      </c>
      <c r="J154" s="3">
        <v>6221</v>
      </c>
      <c r="K154" s="3">
        <v>212</v>
      </c>
      <c r="L154" s="4" t="s">
        <v>30</v>
      </c>
      <c r="M154" s="5" t="s">
        <v>31</v>
      </c>
    </row>
    <row r="155" spans="1:13" ht="14.25" customHeight="1" x14ac:dyDescent="0.3">
      <c r="A155" s="3" t="s">
        <v>337</v>
      </c>
      <c r="B155" s="3" t="s">
        <v>33</v>
      </c>
      <c r="C155" s="3" t="s">
        <v>209</v>
      </c>
      <c r="D155" s="3" t="s">
        <v>45</v>
      </c>
      <c r="E155" s="3" t="s">
        <v>88</v>
      </c>
      <c r="F155" s="3">
        <v>985</v>
      </c>
      <c r="G155" s="3">
        <v>932</v>
      </c>
      <c r="H155" s="3">
        <v>287</v>
      </c>
      <c r="I155" s="3">
        <v>6895</v>
      </c>
      <c r="J155" s="3">
        <v>6757</v>
      </c>
      <c r="K155" s="3">
        <v>64</v>
      </c>
      <c r="L155" s="4" t="s">
        <v>62</v>
      </c>
      <c r="M155" s="5" t="s">
        <v>38</v>
      </c>
    </row>
    <row r="156" spans="1:13" ht="14.25" customHeight="1" x14ac:dyDescent="0.3">
      <c r="A156" s="3" t="s">
        <v>338</v>
      </c>
      <c r="B156" s="3" t="s">
        <v>27</v>
      </c>
      <c r="C156" s="3" t="s">
        <v>339</v>
      </c>
      <c r="D156" s="3" t="s">
        <v>52</v>
      </c>
      <c r="E156" s="3" t="s">
        <v>53</v>
      </c>
      <c r="F156" s="3">
        <v>2283</v>
      </c>
      <c r="G156" s="3">
        <v>210</v>
      </c>
      <c r="H156" s="3">
        <v>130</v>
      </c>
      <c r="I156" s="3">
        <v>22830</v>
      </c>
      <c r="J156" s="3">
        <v>22617</v>
      </c>
      <c r="K156" s="3">
        <v>143</v>
      </c>
      <c r="L156" s="4" t="s">
        <v>62</v>
      </c>
      <c r="M156" s="5" t="s">
        <v>25</v>
      </c>
    </row>
    <row r="157" spans="1:13" ht="14.25" customHeight="1" x14ac:dyDescent="0.3">
      <c r="A157" s="3" t="s">
        <v>340</v>
      </c>
      <c r="B157" s="3" t="s">
        <v>43</v>
      </c>
      <c r="C157" s="3" t="s">
        <v>341</v>
      </c>
      <c r="D157" s="3" t="s">
        <v>45</v>
      </c>
      <c r="E157" s="3" t="s">
        <v>46</v>
      </c>
      <c r="F157" s="3">
        <v>3352</v>
      </c>
      <c r="G157" s="3">
        <v>941</v>
      </c>
      <c r="H157" s="3">
        <v>482</v>
      </c>
      <c r="I157" s="3">
        <v>43576</v>
      </c>
      <c r="J157" s="3">
        <v>43338</v>
      </c>
      <c r="K157" s="3">
        <v>240</v>
      </c>
      <c r="L157" s="4" t="s">
        <v>62</v>
      </c>
      <c r="M157" s="5" t="s">
        <v>25</v>
      </c>
    </row>
    <row r="158" spans="1:13" ht="14.25" customHeight="1" x14ac:dyDescent="0.3">
      <c r="A158" s="3" t="s">
        <v>342</v>
      </c>
      <c r="B158" s="3" t="s">
        <v>27</v>
      </c>
      <c r="C158" s="3" t="s">
        <v>343</v>
      </c>
      <c r="D158" s="3" t="s">
        <v>35</v>
      </c>
      <c r="E158" s="3" t="s">
        <v>154</v>
      </c>
      <c r="F158" s="3">
        <v>4775</v>
      </c>
      <c r="G158" s="3">
        <v>173</v>
      </c>
      <c r="H158" s="3">
        <v>206</v>
      </c>
      <c r="I158" s="3">
        <v>47750</v>
      </c>
      <c r="J158" s="3">
        <v>47544</v>
      </c>
      <c r="K158" s="3">
        <v>187</v>
      </c>
      <c r="L158" s="4" t="s">
        <v>62</v>
      </c>
      <c r="M158" s="5" t="s">
        <v>25</v>
      </c>
    </row>
    <row r="159" spans="1:13" ht="14.25" customHeight="1" x14ac:dyDescent="0.3">
      <c r="A159" s="3" t="s">
        <v>344</v>
      </c>
      <c r="B159" s="3" t="s">
        <v>33</v>
      </c>
      <c r="C159" s="3" t="s">
        <v>345</v>
      </c>
      <c r="D159" s="3" t="s">
        <v>35</v>
      </c>
      <c r="E159" s="3" t="s">
        <v>36</v>
      </c>
      <c r="F159" s="3">
        <v>1762</v>
      </c>
      <c r="G159" s="3">
        <v>405</v>
      </c>
      <c r="H159" s="3">
        <v>423</v>
      </c>
      <c r="I159" s="3">
        <v>22906</v>
      </c>
      <c r="J159" s="3">
        <v>21925</v>
      </c>
      <c r="K159" s="3">
        <v>25</v>
      </c>
      <c r="L159" s="4" t="s">
        <v>30</v>
      </c>
      <c r="M159" s="5" t="s">
        <v>19</v>
      </c>
    </row>
    <row r="160" spans="1:13" ht="14.25" customHeight="1" x14ac:dyDescent="0.3">
      <c r="A160" s="3" t="s">
        <v>346</v>
      </c>
      <c r="B160" s="3" t="s">
        <v>43</v>
      </c>
      <c r="C160" s="3" t="s">
        <v>129</v>
      </c>
      <c r="D160" s="3" t="s">
        <v>35</v>
      </c>
      <c r="E160" s="3" t="s">
        <v>71</v>
      </c>
      <c r="F160" s="3">
        <v>2120</v>
      </c>
      <c r="G160" s="3">
        <v>158</v>
      </c>
      <c r="H160" s="3">
        <v>488</v>
      </c>
      <c r="I160" s="3">
        <v>12720</v>
      </c>
      <c r="J160" s="3">
        <v>12085</v>
      </c>
      <c r="K160" s="3">
        <v>17</v>
      </c>
      <c r="L160" s="4" t="s">
        <v>62</v>
      </c>
      <c r="M160" s="5" t="s">
        <v>25</v>
      </c>
    </row>
    <row r="161" spans="1:13" ht="14.25" customHeight="1" x14ac:dyDescent="0.3">
      <c r="A161" s="3" t="s">
        <v>347</v>
      </c>
      <c r="B161" s="3" t="s">
        <v>14</v>
      </c>
      <c r="C161" s="3" t="s">
        <v>348</v>
      </c>
      <c r="D161" s="3" t="s">
        <v>74</v>
      </c>
      <c r="E161" s="3" t="s">
        <v>145</v>
      </c>
      <c r="F161" s="3">
        <v>1082</v>
      </c>
      <c r="G161" s="3">
        <v>209</v>
      </c>
      <c r="H161" s="3">
        <v>484</v>
      </c>
      <c r="I161" s="3">
        <v>19476</v>
      </c>
      <c r="J161" s="3">
        <v>18654</v>
      </c>
      <c r="K161" s="3">
        <v>20</v>
      </c>
      <c r="L161" s="4" t="s">
        <v>30</v>
      </c>
      <c r="M161" s="5"/>
    </row>
    <row r="162" spans="1:13" ht="14.25" customHeight="1" x14ac:dyDescent="0.3">
      <c r="A162" s="3" t="s">
        <v>349</v>
      </c>
      <c r="B162" s="3" t="s">
        <v>14</v>
      </c>
      <c r="C162" s="3" t="s">
        <v>350</v>
      </c>
      <c r="D162" s="3" t="s">
        <v>22</v>
      </c>
      <c r="E162" s="3" t="s">
        <v>23</v>
      </c>
      <c r="F162" s="3">
        <v>4671</v>
      </c>
      <c r="G162" s="3">
        <v>876</v>
      </c>
      <c r="H162" s="3">
        <v>366</v>
      </c>
      <c r="I162" s="3">
        <v>51381</v>
      </c>
      <c r="J162" s="3">
        <v>50565</v>
      </c>
      <c r="K162" s="3">
        <v>245</v>
      </c>
      <c r="L162" s="4" t="s">
        <v>30</v>
      </c>
      <c r="M162" s="5" t="s">
        <v>38</v>
      </c>
    </row>
    <row r="163" spans="1:13" ht="14.25" customHeight="1" x14ac:dyDescent="0.3">
      <c r="A163" s="3" t="s">
        <v>351</v>
      </c>
      <c r="B163" s="3" t="s">
        <v>43</v>
      </c>
      <c r="C163" s="3" t="s">
        <v>352</v>
      </c>
      <c r="D163" s="3" t="s">
        <v>35</v>
      </c>
      <c r="E163" s="3" t="s">
        <v>71</v>
      </c>
      <c r="F163" s="3">
        <v>3430</v>
      </c>
      <c r="G163" s="3">
        <v>566</v>
      </c>
      <c r="H163" s="3">
        <v>164</v>
      </c>
      <c r="I163" s="3">
        <v>48020</v>
      </c>
      <c r="J163" s="3">
        <v>47305</v>
      </c>
      <c r="K163" s="3">
        <v>120</v>
      </c>
      <c r="L163" s="4" t="s">
        <v>62</v>
      </c>
      <c r="M163" s="5"/>
    </row>
    <row r="164" spans="1:13" ht="14.25" customHeight="1" x14ac:dyDescent="0.3">
      <c r="A164" s="3" t="s">
        <v>353</v>
      </c>
      <c r="B164" s="3" t="s">
        <v>33</v>
      </c>
      <c r="C164" s="3" t="s">
        <v>354</v>
      </c>
      <c r="D164" s="3" t="s">
        <v>52</v>
      </c>
      <c r="E164" s="3" t="s">
        <v>215</v>
      </c>
      <c r="F164" s="3">
        <v>4501</v>
      </c>
      <c r="G164" s="3">
        <v>375</v>
      </c>
      <c r="H164" s="3">
        <v>323</v>
      </c>
      <c r="I164" s="3">
        <v>22505</v>
      </c>
      <c r="J164" s="3">
        <v>21836</v>
      </c>
      <c r="K164" s="3">
        <v>132</v>
      </c>
      <c r="L164" s="4" t="s">
        <v>30</v>
      </c>
      <c r="M164" s="5" t="s">
        <v>25</v>
      </c>
    </row>
    <row r="165" spans="1:13" ht="14.25" customHeight="1" x14ac:dyDescent="0.3">
      <c r="A165" s="3" t="s">
        <v>355</v>
      </c>
      <c r="B165" s="3" t="s">
        <v>27</v>
      </c>
      <c r="C165" s="3" t="s">
        <v>92</v>
      </c>
      <c r="D165" s="3" t="s">
        <v>22</v>
      </c>
      <c r="E165" s="3" t="s">
        <v>104</v>
      </c>
      <c r="F165" s="3">
        <v>4934</v>
      </c>
      <c r="G165" s="3">
        <v>971</v>
      </c>
      <c r="H165" s="3">
        <v>156</v>
      </c>
      <c r="I165" s="3">
        <v>39472</v>
      </c>
      <c r="J165" s="3">
        <v>39025</v>
      </c>
      <c r="K165" s="3">
        <v>169</v>
      </c>
      <c r="L165" s="4" t="s">
        <v>95</v>
      </c>
      <c r="M165" s="5" t="s">
        <v>38</v>
      </c>
    </row>
    <row r="166" spans="1:13" ht="14.25" customHeight="1" x14ac:dyDescent="0.3">
      <c r="A166" s="3" t="s">
        <v>356</v>
      </c>
      <c r="B166" s="3" t="s">
        <v>14</v>
      </c>
      <c r="C166" s="3" t="s">
        <v>237</v>
      </c>
      <c r="D166" s="3" t="s">
        <v>22</v>
      </c>
      <c r="E166" s="3" t="s">
        <v>23</v>
      </c>
      <c r="F166" s="3">
        <v>3239</v>
      </c>
      <c r="G166" s="3">
        <v>43</v>
      </c>
      <c r="H166" s="3">
        <v>211</v>
      </c>
      <c r="I166" s="3">
        <v>22673</v>
      </c>
      <c r="J166" s="3">
        <v>22171</v>
      </c>
      <c r="K166" s="3">
        <v>230</v>
      </c>
      <c r="L166" s="4" t="s">
        <v>30</v>
      </c>
      <c r="M166" s="5" t="s">
        <v>25</v>
      </c>
    </row>
    <row r="167" spans="1:13" ht="14.25" customHeight="1" x14ac:dyDescent="0.3">
      <c r="A167" s="3" t="s">
        <v>357</v>
      </c>
      <c r="B167" s="3" t="s">
        <v>14</v>
      </c>
      <c r="C167" s="3" t="s">
        <v>70</v>
      </c>
      <c r="D167" s="3" t="s">
        <v>16</v>
      </c>
      <c r="E167" s="3" t="s">
        <v>17</v>
      </c>
      <c r="F167" s="3">
        <v>1076</v>
      </c>
      <c r="G167" s="3">
        <v>313</v>
      </c>
      <c r="H167" s="3">
        <v>306</v>
      </c>
      <c r="I167" s="3">
        <v>11836</v>
      </c>
      <c r="J167" s="3">
        <v>11596</v>
      </c>
      <c r="K167" s="3">
        <v>104</v>
      </c>
      <c r="L167" s="4" t="s">
        <v>62</v>
      </c>
      <c r="M167" s="5" t="s">
        <v>19</v>
      </c>
    </row>
    <row r="168" spans="1:13" ht="14.25" customHeight="1" x14ac:dyDescent="0.3">
      <c r="A168" s="3" t="s">
        <v>358</v>
      </c>
      <c r="B168" s="3" t="s">
        <v>33</v>
      </c>
      <c r="C168" s="3" t="s">
        <v>307</v>
      </c>
      <c r="D168" s="3" t="s">
        <v>22</v>
      </c>
      <c r="E168" s="3" t="s">
        <v>113</v>
      </c>
      <c r="F168" s="3">
        <v>4771</v>
      </c>
      <c r="G168" s="3">
        <v>818</v>
      </c>
      <c r="H168" s="3">
        <v>56</v>
      </c>
      <c r="I168" s="3">
        <v>57252</v>
      </c>
      <c r="J168" s="3">
        <v>56378</v>
      </c>
      <c r="K168" s="3">
        <v>150</v>
      </c>
      <c r="L168" s="4" t="s">
        <v>62</v>
      </c>
      <c r="M168" s="5"/>
    </row>
    <row r="169" spans="1:13" ht="14.25" customHeight="1" x14ac:dyDescent="0.3">
      <c r="A169" s="3" t="s">
        <v>359</v>
      </c>
      <c r="B169" s="3" t="s">
        <v>43</v>
      </c>
      <c r="C169" s="3" t="s">
        <v>360</v>
      </c>
      <c r="D169" s="3" t="s">
        <v>22</v>
      </c>
      <c r="E169" s="3" t="s">
        <v>56</v>
      </c>
      <c r="F169" s="3">
        <v>2418</v>
      </c>
      <c r="G169" s="3">
        <v>754</v>
      </c>
      <c r="H169" s="3">
        <v>54</v>
      </c>
      <c r="I169" s="3">
        <v>43524</v>
      </c>
      <c r="J169" s="3">
        <v>42743</v>
      </c>
      <c r="K169" s="3">
        <v>182</v>
      </c>
      <c r="L169" s="4" t="s">
        <v>37</v>
      </c>
      <c r="M169" s="5" t="s">
        <v>19</v>
      </c>
    </row>
    <row r="170" spans="1:13" ht="14.25" customHeight="1" x14ac:dyDescent="0.3">
      <c r="A170" s="3" t="s">
        <v>361</v>
      </c>
      <c r="B170" s="3" t="s">
        <v>27</v>
      </c>
      <c r="C170" s="3" t="s">
        <v>362</v>
      </c>
      <c r="D170" s="3" t="s">
        <v>74</v>
      </c>
      <c r="E170" s="3" t="s">
        <v>219</v>
      </c>
      <c r="F170" s="3">
        <v>3809</v>
      </c>
      <c r="G170" s="3">
        <v>273</v>
      </c>
      <c r="H170" s="3">
        <v>200</v>
      </c>
      <c r="I170" s="3">
        <v>34281</v>
      </c>
      <c r="J170" s="3">
        <v>33534</v>
      </c>
      <c r="K170" s="3">
        <v>83</v>
      </c>
      <c r="L170" s="4" t="s">
        <v>37</v>
      </c>
      <c r="M170" s="5" t="s">
        <v>19</v>
      </c>
    </row>
    <row r="171" spans="1:13" ht="14.25" customHeight="1" x14ac:dyDescent="0.3">
      <c r="A171" s="3" t="s">
        <v>363</v>
      </c>
      <c r="B171" s="3" t="s">
        <v>14</v>
      </c>
      <c r="C171" s="3" t="s">
        <v>364</v>
      </c>
      <c r="D171" s="3" t="s">
        <v>22</v>
      </c>
      <c r="E171" s="3" t="s">
        <v>23</v>
      </c>
      <c r="F171" s="3">
        <v>3577</v>
      </c>
      <c r="G171" s="3">
        <v>596</v>
      </c>
      <c r="H171" s="3">
        <v>493</v>
      </c>
      <c r="I171" s="3">
        <v>67963</v>
      </c>
      <c r="J171" s="3">
        <v>67839</v>
      </c>
      <c r="K171" s="3">
        <v>53</v>
      </c>
      <c r="L171" s="4" t="s">
        <v>30</v>
      </c>
      <c r="M171" s="5" t="s">
        <v>31</v>
      </c>
    </row>
    <row r="172" spans="1:13" ht="14.25" customHeight="1" x14ac:dyDescent="0.3">
      <c r="A172" s="3" t="s">
        <v>365</v>
      </c>
      <c r="B172" s="3" t="s">
        <v>27</v>
      </c>
      <c r="C172" s="3" t="s">
        <v>366</v>
      </c>
      <c r="D172" s="3" t="s">
        <v>74</v>
      </c>
      <c r="E172" s="3" t="s">
        <v>219</v>
      </c>
      <c r="F172" s="3">
        <v>1018</v>
      </c>
      <c r="G172" s="3">
        <v>447</v>
      </c>
      <c r="H172" s="3">
        <v>332</v>
      </c>
      <c r="I172" s="3">
        <v>18324</v>
      </c>
      <c r="J172" s="3">
        <v>18164</v>
      </c>
      <c r="K172" s="3">
        <v>38</v>
      </c>
      <c r="L172" s="4" t="s">
        <v>62</v>
      </c>
      <c r="M172" s="5" t="s">
        <v>25</v>
      </c>
    </row>
    <row r="173" spans="1:13" ht="14.25" customHeight="1" x14ac:dyDescent="0.3">
      <c r="A173" s="3" t="s">
        <v>367</v>
      </c>
      <c r="B173" s="3" t="s">
        <v>43</v>
      </c>
      <c r="C173" s="3" t="s">
        <v>368</v>
      </c>
      <c r="D173" s="3" t="s">
        <v>45</v>
      </c>
      <c r="E173" s="3" t="s">
        <v>46</v>
      </c>
      <c r="F173" s="3">
        <v>3073</v>
      </c>
      <c r="G173" s="3">
        <v>553</v>
      </c>
      <c r="H173" s="3">
        <v>174</v>
      </c>
      <c r="I173" s="3">
        <v>52241</v>
      </c>
      <c r="J173" s="3">
        <v>51605</v>
      </c>
      <c r="K173" s="3">
        <v>246</v>
      </c>
      <c r="L173" s="4" t="s">
        <v>37</v>
      </c>
      <c r="M173" s="5" t="s">
        <v>31</v>
      </c>
    </row>
    <row r="174" spans="1:13" ht="14.25" customHeight="1" x14ac:dyDescent="0.3">
      <c r="A174" s="3" t="s">
        <v>369</v>
      </c>
      <c r="B174" s="3" t="s">
        <v>14</v>
      </c>
      <c r="C174" s="3" t="s">
        <v>370</v>
      </c>
      <c r="D174" s="3" t="s">
        <v>74</v>
      </c>
      <c r="E174" s="3" t="s">
        <v>145</v>
      </c>
      <c r="F174" s="3">
        <v>1330</v>
      </c>
      <c r="G174" s="3">
        <v>925</v>
      </c>
      <c r="H174" s="3">
        <v>35</v>
      </c>
      <c r="I174" s="3">
        <v>15960</v>
      </c>
      <c r="J174" s="3">
        <v>15379</v>
      </c>
      <c r="K174" s="3">
        <v>229</v>
      </c>
      <c r="L174" s="4" t="s">
        <v>62</v>
      </c>
      <c r="M174" s="5" t="s">
        <v>31</v>
      </c>
    </row>
    <row r="175" spans="1:13" ht="14.25" customHeight="1" x14ac:dyDescent="0.3">
      <c r="A175" s="3" t="s">
        <v>371</v>
      </c>
      <c r="B175" s="3" t="s">
        <v>43</v>
      </c>
      <c r="C175" s="3" t="s">
        <v>172</v>
      </c>
      <c r="D175" s="3" t="s">
        <v>22</v>
      </c>
      <c r="E175" s="3" t="s">
        <v>56</v>
      </c>
      <c r="F175" s="3">
        <v>3828</v>
      </c>
      <c r="G175" s="3">
        <v>148</v>
      </c>
      <c r="H175" s="3">
        <v>253</v>
      </c>
      <c r="I175" s="3">
        <v>30624</v>
      </c>
      <c r="J175" s="3">
        <v>30229</v>
      </c>
      <c r="K175" s="3">
        <v>235</v>
      </c>
      <c r="L175" s="4" t="s">
        <v>37</v>
      </c>
      <c r="M175" s="5"/>
    </row>
    <row r="176" spans="1:13" ht="14.25" customHeight="1" x14ac:dyDescent="0.3">
      <c r="A176" s="3" t="s">
        <v>372</v>
      </c>
      <c r="B176" s="3" t="s">
        <v>33</v>
      </c>
      <c r="C176" s="3" t="s">
        <v>373</v>
      </c>
      <c r="D176" s="3" t="s">
        <v>16</v>
      </c>
      <c r="E176" s="3" t="s">
        <v>82</v>
      </c>
      <c r="F176" s="3">
        <v>142</v>
      </c>
      <c r="G176" s="3">
        <v>784</v>
      </c>
      <c r="H176" s="3">
        <v>183</v>
      </c>
      <c r="I176" s="3">
        <v>1704</v>
      </c>
      <c r="J176" s="3">
        <v>995</v>
      </c>
      <c r="K176" s="3">
        <v>154</v>
      </c>
      <c r="L176" s="4" t="s">
        <v>62</v>
      </c>
      <c r="M176" s="5" t="s">
        <v>38</v>
      </c>
    </row>
    <row r="177" spans="1:13" ht="14.25" customHeight="1" x14ac:dyDescent="0.3">
      <c r="A177" s="3" t="s">
        <v>374</v>
      </c>
      <c r="B177" s="3" t="s">
        <v>43</v>
      </c>
      <c r="C177" s="3" t="s">
        <v>375</v>
      </c>
      <c r="D177" s="3" t="s">
        <v>74</v>
      </c>
      <c r="E177" s="3" t="s">
        <v>75</v>
      </c>
      <c r="F177" s="3">
        <v>3798</v>
      </c>
      <c r="G177" s="3">
        <v>31</v>
      </c>
      <c r="H177" s="3">
        <v>279</v>
      </c>
      <c r="I177" s="3">
        <v>75960</v>
      </c>
      <c r="J177" s="3">
        <v>75813</v>
      </c>
      <c r="K177" s="3">
        <v>266</v>
      </c>
      <c r="L177" s="4" t="s">
        <v>30</v>
      </c>
      <c r="M177" s="5" t="s">
        <v>19</v>
      </c>
    </row>
    <row r="178" spans="1:13" ht="14.25" customHeight="1" x14ac:dyDescent="0.3">
      <c r="A178" s="3" t="s">
        <v>376</v>
      </c>
      <c r="B178" s="3" t="s">
        <v>33</v>
      </c>
      <c r="C178" s="3" t="s">
        <v>377</v>
      </c>
      <c r="D178" s="3" t="s">
        <v>45</v>
      </c>
      <c r="E178" s="3" t="s">
        <v>88</v>
      </c>
      <c r="F178" s="3">
        <v>3099</v>
      </c>
      <c r="G178" s="3">
        <v>694</v>
      </c>
      <c r="H178" s="3">
        <v>171</v>
      </c>
      <c r="I178" s="3">
        <v>43386</v>
      </c>
      <c r="J178" s="3">
        <v>42921</v>
      </c>
      <c r="K178" s="3">
        <v>52</v>
      </c>
      <c r="L178" s="4" t="s">
        <v>30</v>
      </c>
      <c r="M178" s="5" t="s">
        <v>31</v>
      </c>
    </row>
    <row r="179" spans="1:13" ht="14.25" customHeight="1" x14ac:dyDescent="0.3">
      <c r="A179" s="3" t="s">
        <v>378</v>
      </c>
      <c r="B179" s="3" t="s">
        <v>33</v>
      </c>
      <c r="C179" s="3" t="s">
        <v>205</v>
      </c>
      <c r="D179" s="3" t="s">
        <v>74</v>
      </c>
      <c r="E179" s="3" t="s">
        <v>85</v>
      </c>
      <c r="F179" s="3">
        <v>129</v>
      </c>
      <c r="G179" s="3">
        <v>643</v>
      </c>
      <c r="H179" s="3">
        <v>136</v>
      </c>
      <c r="I179" s="3">
        <v>1290</v>
      </c>
      <c r="J179" s="3">
        <v>839</v>
      </c>
      <c r="K179" s="3">
        <v>238</v>
      </c>
      <c r="L179" s="4" t="s">
        <v>30</v>
      </c>
      <c r="M179" s="5" t="s">
        <v>38</v>
      </c>
    </row>
    <row r="180" spans="1:13" ht="14.25" customHeight="1" x14ac:dyDescent="0.3">
      <c r="A180" s="3" t="s">
        <v>379</v>
      </c>
      <c r="B180" s="3" t="s">
        <v>43</v>
      </c>
      <c r="C180" s="3" t="s">
        <v>315</v>
      </c>
      <c r="D180" s="3" t="s">
        <v>45</v>
      </c>
      <c r="E180" s="3" t="s">
        <v>46</v>
      </c>
      <c r="F180" s="3">
        <v>3796</v>
      </c>
      <c r="G180" s="3">
        <v>667</v>
      </c>
      <c r="H180" s="3">
        <v>395</v>
      </c>
      <c r="I180" s="3">
        <v>64532</v>
      </c>
      <c r="J180" s="3">
        <v>63550</v>
      </c>
      <c r="K180" s="3">
        <v>292</v>
      </c>
      <c r="L180" s="4" t="s">
        <v>30</v>
      </c>
      <c r="M180" s="5"/>
    </row>
    <row r="181" spans="1:13" ht="14.25" customHeight="1" x14ac:dyDescent="0.3">
      <c r="A181" s="3" t="s">
        <v>380</v>
      </c>
      <c r="B181" s="3" t="s">
        <v>27</v>
      </c>
      <c r="C181" s="3" t="s">
        <v>362</v>
      </c>
      <c r="D181" s="3" t="s">
        <v>22</v>
      </c>
      <c r="E181" s="3" t="s">
        <v>104</v>
      </c>
      <c r="F181" s="3">
        <v>3711</v>
      </c>
      <c r="G181" s="3">
        <v>352</v>
      </c>
      <c r="H181" s="3">
        <v>290</v>
      </c>
      <c r="I181" s="3">
        <v>48243</v>
      </c>
      <c r="J181" s="3">
        <v>47579</v>
      </c>
      <c r="K181" s="3">
        <v>11</v>
      </c>
      <c r="L181" s="4" t="s">
        <v>30</v>
      </c>
      <c r="M181" s="5" t="s">
        <v>19</v>
      </c>
    </row>
    <row r="182" spans="1:13" ht="14.25" customHeight="1" x14ac:dyDescent="0.3">
      <c r="A182" s="3" t="s">
        <v>381</v>
      </c>
      <c r="B182" s="3" t="s">
        <v>27</v>
      </c>
      <c r="C182" s="3" t="s">
        <v>382</v>
      </c>
      <c r="D182" s="3" t="s">
        <v>52</v>
      </c>
      <c r="E182" s="3" t="s">
        <v>53</v>
      </c>
      <c r="F182" s="3">
        <v>606</v>
      </c>
      <c r="G182" s="3">
        <v>789</v>
      </c>
      <c r="H182" s="3">
        <v>470</v>
      </c>
      <c r="I182" s="3">
        <v>7878</v>
      </c>
      <c r="J182" s="3">
        <v>7389</v>
      </c>
      <c r="K182" s="3">
        <v>239</v>
      </c>
      <c r="L182" s="4" t="s">
        <v>37</v>
      </c>
      <c r="M182" s="5" t="s">
        <v>31</v>
      </c>
    </row>
    <row r="183" spans="1:13" ht="14.25" customHeight="1" x14ac:dyDescent="0.3">
      <c r="A183" s="3" t="s">
        <v>383</v>
      </c>
      <c r="B183" s="3" t="s">
        <v>43</v>
      </c>
      <c r="C183" s="3" t="s">
        <v>115</v>
      </c>
      <c r="D183" s="3" t="s">
        <v>52</v>
      </c>
      <c r="E183" s="3" t="s">
        <v>59</v>
      </c>
      <c r="F183" s="3">
        <v>4689</v>
      </c>
      <c r="G183" s="3">
        <v>134</v>
      </c>
      <c r="H183" s="3">
        <v>403</v>
      </c>
      <c r="I183" s="3">
        <v>51579</v>
      </c>
      <c r="J183" s="3">
        <v>50924</v>
      </c>
      <c r="K183" s="3">
        <v>173</v>
      </c>
      <c r="L183" s="4" t="s">
        <v>30</v>
      </c>
      <c r="M183" s="5" t="s">
        <v>38</v>
      </c>
    </row>
    <row r="184" spans="1:13" ht="14.25" customHeight="1" x14ac:dyDescent="0.3">
      <c r="A184" s="3" t="s">
        <v>384</v>
      </c>
      <c r="B184" s="3" t="s">
        <v>33</v>
      </c>
      <c r="C184" s="3" t="s">
        <v>385</v>
      </c>
      <c r="D184" s="3" t="s">
        <v>35</v>
      </c>
      <c r="E184" s="3" t="s">
        <v>36</v>
      </c>
      <c r="F184" s="3">
        <v>360</v>
      </c>
      <c r="G184" s="3">
        <v>590</v>
      </c>
      <c r="H184" s="3">
        <v>393</v>
      </c>
      <c r="I184" s="3">
        <v>4680</v>
      </c>
      <c r="J184" s="3">
        <v>4322</v>
      </c>
      <c r="K184" s="3">
        <v>208</v>
      </c>
      <c r="L184" s="4" t="s">
        <v>62</v>
      </c>
      <c r="M184" s="5" t="s">
        <v>25</v>
      </c>
    </row>
    <row r="185" spans="1:13" ht="14.25" customHeight="1" x14ac:dyDescent="0.3">
      <c r="A185" s="3" t="s">
        <v>386</v>
      </c>
      <c r="B185" s="3" t="s">
        <v>14</v>
      </c>
      <c r="C185" s="3" t="s">
        <v>387</v>
      </c>
      <c r="D185" s="3" t="s">
        <v>52</v>
      </c>
      <c r="E185" s="3" t="s">
        <v>132</v>
      </c>
      <c r="F185" s="3">
        <v>3215</v>
      </c>
      <c r="G185" s="3">
        <v>960</v>
      </c>
      <c r="H185" s="3">
        <v>202</v>
      </c>
      <c r="I185" s="3">
        <v>32150</v>
      </c>
      <c r="J185" s="3">
        <v>31404</v>
      </c>
      <c r="K185" s="3">
        <v>251</v>
      </c>
      <c r="L185" s="4" t="s">
        <v>37</v>
      </c>
      <c r="M185" s="5" t="s">
        <v>19</v>
      </c>
    </row>
    <row r="186" spans="1:13" ht="14.25" customHeight="1" x14ac:dyDescent="0.3">
      <c r="A186" s="3" t="s">
        <v>388</v>
      </c>
      <c r="B186" s="3" t="s">
        <v>33</v>
      </c>
      <c r="C186" s="3" t="s">
        <v>389</v>
      </c>
      <c r="D186" s="3" t="s">
        <v>45</v>
      </c>
      <c r="E186" s="3" t="s">
        <v>88</v>
      </c>
      <c r="F186" s="3">
        <v>4523</v>
      </c>
      <c r="G186" s="3">
        <v>61</v>
      </c>
      <c r="H186" s="3">
        <v>157</v>
      </c>
      <c r="I186" s="3">
        <v>49753</v>
      </c>
      <c r="J186" s="3">
        <v>49329</v>
      </c>
      <c r="K186" s="3">
        <v>71</v>
      </c>
      <c r="L186" s="4" t="s">
        <v>37</v>
      </c>
      <c r="M186" s="5"/>
    </row>
    <row r="187" spans="1:13" ht="14.25" customHeight="1" x14ac:dyDescent="0.3">
      <c r="A187" s="3" t="s">
        <v>390</v>
      </c>
      <c r="B187" s="3" t="s">
        <v>43</v>
      </c>
      <c r="C187" s="3" t="s">
        <v>348</v>
      </c>
      <c r="D187" s="3" t="s">
        <v>45</v>
      </c>
      <c r="E187" s="3" t="s">
        <v>46</v>
      </c>
      <c r="F187" s="3">
        <v>4292</v>
      </c>
      <c r="G187" s="3">
        <v>51</v>
      </c>
      <c r="H187" s="3">
        <v>392</v>
      </c>
      <c r="I187" s="3">
        <v>55796</v>
      </c>
      <c r="J187" s="3">
        <v>54826</v>
      </c>
      <c r="K187" s="3">
        <v>264</v>
      </c>
      <c r="L187" s="4" t="s">
        <v>37</v>
      </c>
      <c r="M187" s="5" t="s">
        <v>31</v>
      </c>
    </row>
    <row r="188" spans="1:13" ht="14.25" customHeight="1" x14ac:dyDescent="0.3">
      <c r="A188" s="3" t="s">
        <v>391</v>
      </c>
      <c r="B188" s="3" t="s">
        <v>14</v>
      </c>
      <c r="C188" s="3" t="s">
        <v>392</v>
      </c>
      <c r="D188" s="3" t="s">
        <v>16</v>
      </c>
      <c r="E188" s="3" t="s">
        <v>17</v>
      </c>
      <c r="F188" s="3">
        <v>1644</v>
      </c>
      <c r="G188" s="3">
        <v>546</v>
      </c>
      <c r="H188" s="3">
        <v>150</v>
      </c>
      <c r="I188" s="3">
        <v>27948</v>
      </c>
      <c r="J188" s="3">
        <v>27184</v>
      </c>
      <c r="K188" s="3">
        <v>300</v>
      </c>
      <c r="L188" s="4" t="s">
        <v>37</v>
      </c>
      <c r="M188" s="5" t="s">
        <v>31</v>
      </c>
    </row>
    <row r="189" spans="1:13" ht="14.25" customHeight="1" x14ac:dyDescent="0.3">
      <c r="A189" s="3" t="s">
        <v>393</v>
      </c>
      <c r="B189" s="3" t="s">
        <v>27</v>
      </c>
      <c r="C189" s="3" t="s">
        <v>226</v>
      </c>
      <c r="D189" s="3" t="s">
        <v>16</v>
      </c>
      <c r="E189" s="3" t="s">
        <v>29</v>
      </c>
      <c r="F189" s="3">
        <v>2728</v>
      </c>
      <c r="G189" s="3">
        <v>533</v>
      </c>
      <c r="H189" s="3">
        <v>215</v>
      </c>
      <c r="I189" s="3">
        <v>40920</v>
      </c>
      <c r="J189" s="3">
        <v>40816</v>
      </c>
      <c r="K189" s="3">
        <v>137</v>
      </c>
      <c r="L189" s="4" t="s">
        <v>62</v>
      </c>
      <c r="M189" s="5" t="s">
        <v>25</v>
      </c>
    </row>
    <row r="190" spans="1:13" ht="14.25" customHeight="1" x14ac:dyDescent="0.3">
      <c r="A190" s="3" t="s">
        <v>394</v>
      </c>
      <c r="B190" s="3" t="s">
        <v>43</v>
      </c>
      <c r="C190" s="3" t="s">
        <v>234</v>
      </c>
      <c r="D190" s="3" t="s">
        <v>16</v>
      </c>
      <c r="E190" s="3" t="s">
        <v>65</v>
      </c>
      <c r="F190" s="3">
        <v>3360</v>
      </c>
      <c r="G190" s="3">
        <v>525</v>
      </c>
      <c r="H190" s="3">
        <v>500</v>
      </c>
      <c r="I190" s="3">
        <v>60480</v>
      </c>
      <c r="J190" s="3">
        <v>59610</v>
      </c>
      <c r="K190" s="3">
        <v>192</v>
      </c>
      <c r="L190" s="4" t="s">
        <v>30</v>
      </c>
      <c r="M190" s="5" t="s">
        <v>19</v>
      </c>
    </row>
    <row r="191" spans="1:13" ht="14.25" customHeight="1" x14ac:dyDescent="0.3">
      <c r="A191" s="3" t="s">
        <v>395</v>
      </c>
      <c r="B191" s="3" t="s">
        <v>27</v>
      </c>
      <c r="C191" s="3" t="s">
        <v>396</v>
      </c>
      <c r="D191" s="3" t="s">
        <v>22</v>
      </c>
      <c r="E191" s="3" t="s">
        <v>104</v>
      </c>
      <c r="F191" s="3">
        <v>1963</v>
      </c>
      <c r="G191" s="3">
        <v>213</v>
      </c>
      <c r="H191" s="3">
        <v>19</v>
      </c>
      <c r="I191" s="3">
        <v>39260</v>
      </c>
      <c r="J191" s="3">
        <v>38771</v>
      </c>
      <c r="K191" s="3">
        <v>145</v>
      </c>
      <c r="L191" s="4" t="s">
        <v>62</v>
      </c>
      <c r="M191" s="5"/>
    </row>
    <row r="192" spans="1:13" ht="14.25" customHeight="1" x14ac:dyDescent="0.3">
      <c r="A192" s="3" t="s">
        <v>397</v>
      </c>
      <c r="B192" s="3" t="s">
        <v>27</v>
      </c>
      <c r="C192" s="3" t="s">
        <v>362</v>
      </c>
      <c r="D192" s="3" t="s">
        <v>35</v>
      </c>
      <c r="E192" s="3" t="s">
        <v>154</v>
      </c>
      <c r="F192" s="3">
        <v>4285</v>
      </c>
      <c r="G192" s="3">
        <v>886</v>
      </c>
      <c r="H192" s="3">
        <v>376</v>
      </c>
      <c r="I192" s="3">
        <v>55705</v>
      </c>
      <c r="J192" s="3">
        <v>55556</v>
      </c>
      <c r="K192" s="3">
        <v>51</v>
      </c>
      <c r="L192" s="4" t="s">
        <v>62</v>
      </c>
      <c r="M192" s="5" t="s">
        <v>31</v>
      </c>
    </row>
    <row r="193" spans="1:13" ht="14.25" customHeight="1" x14ac:dyDescent="0.3">
      <c r="A193" s="3" t="s">
        <v>398</v>
      </c>
      <c r="B193" s="3" t="s">
        <v>33</v>
      </c>
      <c r="C193" s="3" t="s">
        <v>399</v>
      </c>
      <c r="D193" s="3" t="s">
        <v>74</v>
      </c>
      <c r="E193" s="3" t="s">
        <v>85</v>
      </c>
      <c r="F193" s="3">
        <v>1176</v>
      </c>
      <c r="G193" s="3">
        <v>464</v>
      </c>
      <c r="H193" s="3">
        <v>394</v>
      </c>
      <c r="I193" s="3">
        <v>14112</v>
      </c>
      <c r="J193" s="3">
        <v>13588</v>
      </c>
      <c r="K193" s="3">
        <v>272</v>
      </c>
      <c r="L193" s="4" t="s">
        <v>37</v>
      </c>
      <c r="M193" s="5"/>
    </row>
    <row r="194" spans="1:13" ht="14.25" customHeight="1" x14ac:dyDescent="0.3">
      <c r="A194" s="3" t="s">
        <v>400</v>
      </c>
      <c r="B194" s="3" t="s">
        <v>14</v>
      </c>
      <c r="C194" s="3" t="s">
        <v>401</v>
      </c>
      <c r="D194" s="3" t="s">
        <v>52</v>
      </c>
      <c r="E194" s="3" t="s">
        <v>132</v>
      </c>
      <c r="F194" s="3">
        <v>4858</v>
      </c>
      <c r="G194" s="3">
        <v>317</v>
      </c>
      <c r="H194" s="3">
        <v>129</v>
      </c>
      <c r="I194" s="3">
        <v>53438</v>
      </c>
      <c r="J194" s="3">
        <v>52687</v>
      </c>
      <c r="K194" s="3">
        <v>223</v>
      </c>
      <c r="L194" s="4" t="s">
        <v>37</v>
      </c>
      <c r="M194" s="5" t="s">
        <v>31</v>
      </c>
    </row>
    <row r="195" spans="1:13" ht="14.25" customHeight="1" x14ac:dyDescent="0.3">
      <c r="A195" s="3" t="s">
        <v>402</v>
      </c>
      <c r="B195" s="3" t="s">
        <v>27</v>
      </c>
      <c r="C195" s="3" t="s">
        <v>274</v>
      </c>
      <c r="D195" s="3" t="s">
        <v>35</v>
      </c>
      <c r="E195" s="3" t="s">
        <v>154</v>
      </c>
      <c r="F195" s="3">
        <v>4350</v>
      </c>
      <c r="G195" s="3">
        <v>771</v>
      </c>
      <c r="H195" s="3">
        <v>7</v>
      </c>
      <c r="I195" s="3">
        <v>60900</v>
      </c>
      <c r="J195" s="3">
        <v>60592</v>
      </c>
      <c r="K195" s="3">
        <v>195</v>
      </c>
      <c r="L195" s="4" t="s">
        <v>37</v>
      </c>
      <c r="M195" s="5" t="s">
        <v>19</v>
      </c>
    </row>
    <row r="196" spans="1:13" ht="14.25" customHeight="1" x14ac:dyDescent="0.3">
      <c r="A196" s="3" t="s">
        <v>403</v>
      </c>
      <c r="B196" s="3" t="s">
        <v>33</v>
      </c>
      <c r="C196" s="3" t="s">
        <v>404</v>
      </c>
      <c r="D196" s="3" t="s">
        <v>45</v>
      </c>
      <c r="E196" s="3" t="s">
        <v>88</v>
      </c>
      <c r="F196" s="3">
        <v>914</v>
      </c>
      <c r="G196" s="3">
        <v>464</v>
      </c>
      <c r="H196" s="3">
        <v>246</v>
      </c>
      <c r="I196" s="3">
        <v>11882</v>
      </c>
      <c r="J196" s="3">
        <v>11500</v>
      </c>
      <c r="K196" s="3">
        <v>282</v>
      </c>
      <c r="L196" s="4" t="s">
        <v>216</v>
      </c>
      <c r="M196" s="5" t="s">
        <v>38</v>
      </c>
    </row>
    <row r="197" spans="1:13" ht="14.25" customHeight="1" x14ac:dyDescent="0.3">
      <c r="A197" s="3" t="s">
        <v>405</v>
      </c>
      <c r="B197" s="3" t="s">
        <v>33</v>
      </c>
      <c r="C197" s="3" t="s">
        <v>406</v>
      </c>
      <c r="D197" s="3" t="s">
        <v>22</v>
      </c>
      <c r="E197" s="3" t="s">
        <v>113</v>
      </c>
      <c r="F197" s="3">
        <v>1813</v>
      </c>
      <c r="G197" s="3">
        <v>623</v>
      </c>
      <c r="H197" s="3">
        <v>72</v>
      </c>
      <c r="I197" s="3">
        <v>19943</v>
      </c>
      <c r="J197" s="3">
        <v>18959</v>
      </c>
      <c r="K197" s="3">
        <v>85</v>
      </c>
      <c r="L197" s="4" t="s">
        <v>37</v>
      </c>
      <c r="M197" s="5" t="s">
        <v>31</v>
      </c>
    </row>
    <row r="198" spans="1:13" ht="14.25" customHeight="1" x14ac:dyDescent="0.3">
      <c r="A198" s="3" t="s">
        <v>407</v>
      </c>
      <c r="B198" s="3" t="s">
        <v>14</v>
      </c>
      <c r="C198" s="3" t="s">
        <v>341</v>
      </c>
      <c r="D198" s="3" t="s">
        <v>16</v>
      </c>
      <c r="E198" s="3" t="s">
        <v>17</v>
      </c>
      <c r="F198" s="3">
        <v>4782</v>
      </c>
      <c r="G198" s="3">
        <v>721</v>
      </c>
      <c r="H198" s="3">
        <v>82</v>
      </c>
      <c r="I198" s="3">
        <v>86076</v>
      </c>
      <c r="J198" s="3">
        <v>85339</v>
      </c>
      <c r="K198" s="3">
        <v>19</v>
      </c>
      <c r="L198" s="4" t="s">
        <v>37</v>
      </c>
      <c r="M198" s="5" t="s">
        <v>19</v>
      </c>
    </row>
    <row r="199" spans="1:13" ht="14.25" customHeight="1" x14ac:dyDescent="0.3">
      <c r="A199" s="3" t="s">
        <v>408</v>
      </c>
      <c r="B199" s="3" t="s">
        <v>14</v>
      </c>
      <c r="C199" s="3" t="s">
        <v>409</v>
      </c>
      <c r="D199" s="3" t="s">
        <v>52</v>
      </c>
      <c r="E199" s="3" t="s">
        <v>132</v>
      </c>
      <c r="F199" s="3">
        <v>1048</v>
      </c>
      <c r="G199" s="3">
        <v>374</v>
      </c>
      <c r="H199" s="3">
        <v>450</v>
      </c>
      <c r="I199" s="3">
        <v>9432</v>
      </c>
      <c r="J199" s="3">
        <v>8882</v>
      </c>
      <c r="K199" s="3">
        <v>158</v>
      </c>
      <c r="L199" s="4" t="s">
        <v>30</v>
      </c>
      <c r="M199" s="5" t="s">
        <v>31</v>
      </c>
    </row>
    <row r="200" spans="1:13" ht="14.25" customHeight="1" x14ac:dyDescent="0.3">
      <c r="A200" s="3" t="s">
        <v>410</v>
      </c>
      <c r="B200" s="3" t="s">
        <v>27</v>
      </c>
      <c r="C200" s="3" t="s">
        <v>121</v>
      </c>
      <c r="D200" s="3" t="s">
        <v>45</v>
      </c>
      <c r="E200" s="3" t="s">
        <v>68</v>
      </c>
      <c r="F200" s="3">
        <v>2509</v>
      </c>
      <c r="G200" s="3">
        <v>324</v>
      </c>
      <c r="H200" s="3">
        <v>171</v>
      </c>
      <c r="I200" s="3">
        <v>35126</v>
      </c>
      <c r="J200" s="3">
        <v>34685</v>
      </c>
      <c r="K200" s="3">
        <v>277</v>
      </c>
      <c r="L200" s="4" t="s">
        <v>30</v>
      </c>
      <c r="M200" s="5" t="s">
        <v>25</v>
      </c>
    </row>
    <row r="201" spans="1:13" ht="14.25" customHeight="1" x14ac:dyDescent="0.3">
      <c r="A201" s="3" t="s">
        <v>411</v>
      </c>
      <c r="B201" s="3" t="s">
        <v>43</v>
      </c>
      <c r="C201" s="3" t="s">
        <v>412</v>
      </c>
      <c r="D201" s="3" t="s">
        <v>16</v>
      </c>
      <c r="E201" s="3" t="s">
        <v>65</v>
      </c>
      <c r="F201" s="3">
        <v>3718</v>
      </c>
      <c r="G201" s="3">
        <v>385</v>
      </c>
      <c r="H201" s="3">
        <v>310</v>
      </c>
      <c r="I201" s="3">
        <v>70642</v>
      </c>
      <c r="J201" s="3">
        <v>69749</v>
      </c>
      <c r="K201" s="3">
        <v>233</v>
      </c>
      <c r="L201" s="4" t="s">
        <v>30</v>
      </c>
      <c r="M201" s="5" t="s">
        <v>25</v>
      </c>
    </row>
    <row r="202" spans="1:13" ht="14.25" customHeight="1" x14ac:dyDescent="0.3">
      <c r="A202" s="3" t="s">
        <v>413</v>
      </c>
      <c r="B202" s="3" t="s">
        <v>14</v>
      </c>
      <c r="C202" s="3" t="s">
        <v>414</v>
      </c>
      <c r="D202" s="3" t="s">
        <v>16</v>
      </c>
      <c r="E202" s="3" t="s">
        <v>17</v>
      </c>
      <c r="F202" s="3">
        <v>802</v>
      </c>
      <c r="G202" s="3">
        <v>262</v>
      </c>
      <c r="H202" s="3">
        <v>244</v>
      </c>
      <c r="I202" s="3">
        <v>14436</v>
      </c>
      <c r="J202" s="3">
        <v>14280</v>
      </c>
      <c r="K202" s="3">
        <v>49</v>
      </c>
      <c r="L202" s="4" t="s">
        <v>37</v>
      </c>
      <c r="M202" s="5" t="s">
        <v>19</v>
      </c>
    </row>
    <row r="203" spans="1:13" ht="14.25" customHeight="1" x14ac:dyDescent="0.3">
      <c r="A203" s="3" t="s">
        <v>415</v>
      </c>
      <c r="B203" s="3" t="s">
        <v>43</v>
      </c>
      <c r="C203" s="3" t="s">
        <v>416</v>
      </c>
      <c r="D203" s="3" t="s">
        <v>52</v>
      </c>
      <c r="E203" s="3" t="s">
        <v>59</v>
      </c>
      <c r="F203" s="3">
        <v>1871</v>
      </c>
      <c r="G203" s="3">
        <v>252</v>
      </c>
      <c r="H203" s="3">
        <v>335</v>
      </c>
      <c r="I203" s="3">
        <v>29936</v>
      </c>
      <c r="J203" s="3">
        <v>29576</v>
      </c>
      <c r="K203" s="3">
        <v>288</v>
      </c>
      <c r="L203" s="4" t="s">
        <v>37</v>
      </c>
      <c r="M203" s="5" t="s">
        <v>31</v>
      </c>
    </row>
    <row r="204" spans="1:13" ht="14.25" customHeight="1" x14ac:dyDescent="0.3">
      <c r="A204" s="3" t="s">
        <v>417</v>
      </c>
      <c r="B204" s="3" t="s">
        <v>33</v>
      </c>
      <c r="C204" s="3" t="s">
        <v>418</v>
      </c>
      <c r="D204" s="3" t="s">
        <v>45</v>
      </c>
      <c r="E204" s="3" t="s">
        <v>88</v>
      </c>
      <c r="F204" s="3">
        <v>3773</v>
      </c>
      <c r="G204" s="3">
        <v>299</v>
      </c>
      <c r="H204" s="3">
        <v>38</v>
      </c>
      <c r="I204" s="3">
        <v>71687</v>
      </c>
      <c r="J204" s="3">
        <v>71447</v>
      </c>
      <c r="K204" s="3">
        <v>286</v>
      </c>
      <c r="L204" s="4" t="s">
        <v>62</v>
      </c>
      <c r="M204" s="5" t="s">
        <v>19</v>
      </c>
    </row>
    <row r="205" spans="1:13" ht="14.25" customHeight="1" x14ac:dyDescent="0.3">
      <c r="A205" s="3" t="s">
        <v>419</v>
      </c>
      <c r="B205" s="3" t="s">
        <v>33</v>
      </c>
      <c r="C205" s="3" t="s">
        <v>336</v>
      </c>
      <c r="D205" s="3" t="s">
        <v>45</v>
      </c>
      <c r="E205" s="3" t="s">
        <v>88</v>
      </c>
      <c r="F205" s="3">
        <v>2234</v>
      </c>
      <c r="G205" s="3">
        <v>653</v>
      </c>
      <c r="H205" s="3">
        <v>432</v>
      </c>
      <c r="I205" s="3">
        <v>11170</v>
      </c>
      <c r="J205" s="3">
        <v>10569</v>
      </c>
      <c r="K205" s="3">
        <v>198</v>
      </c>
      <c r="L205" s="4" t="s">
        <v>62</v>
      </c>
      <c r="M205" s="5" t="s">
        <v>31</v>
      </c>
    </row>
    <row r="206" spans="1:13" ht="14.25" customHeight="1" x14ac:dyDescent="0.3">
      <c r="A206" s="3" t="s">
        <v>420</v>
      </c>
      <c r="B206" s="3" t="s">
        <v>14</v>
      </c>
      <c r="C206" s="3" t="s">
        <v>305</v>
      </c>
      <c r="D206" s="3" t="s">
        <v>74</v>
      </c>
      <c r="E206" s="3" t="s">
        <v>145</v>
      </c>
      <c r="F206" s="3">
        <v>3820</v>
      </c>
      <c r="G206" s="3">
        <v>697</v>
      </c>
      <c r="H206" s="3">
        <v>268</v>
      </c>
      <c r="I206" s="3">
        <v>45840</v>
      </c>
      <c r="J206" s="3">
        <v>45631</v>
      </c>
      <c r="K206" s="3">
        <v>171</v>
      </c>
      <c r="L206" s="4" t="s">
        <v>421</v>
      </c>
      <c r="M206" s="5" t="s">
        <v>38</v>
      </c>
    </row>
    <row r="207" spans="1:13" ht="14.25" customHeight="1" x14ac:dyDescent="0.3">
      <c r="A207" s="3" t="s">
        <v>422</v>
      </c>
      <c r="B207" s="3" t="s">
        <v>14</v>
      </c>
      <c r="C207" s="3" t="s">
        <v>48</v>
      </c>
      <c r="D207" s="3" t="s">
        <v>22</v>
      </c>
      <c r="E207" s="3" t="s">
        <v>23</v>
      </c>
      <c r="F207" s="3">
        <v>941</v>
      </c>
      <c r="G207" s="3">
        <v>121</v>
      </c>
      <c r="H207" s="3">
        <v>458</v>
      </c>
      <c r="I207" s="3">
        <v>14115</v>
      </c>
      <c r="J207" s="3">
        <v>13838</v>
      </c>
      <c r="K207" s="3">
        <v>87</v>
      </c>
      <c r="L207" s="4" t="s">
        <v>37</v>
      </c>
      <c r="M207" s="5" t="s">
        <v>19</v>
      </c>
    </row>
    <row r="208" spans="1:13" ht="14.25" customHeight="1" x14ac:dyDescent="0.3">
      <c r="A208" s="3" t="s">
        <v>423</v>
      </c>
      <c r="B208" s="3" t="s">
        <v>14</v>
      </c>
      <c r="C208" s="3" t="s">
        <v>424</v>
      </c>
      <c r="D208" s="3" t="s">
        <v>45</v>
      </c>
      <c r="E208" s="3" t="s">
        <v>49</v>
      </c>
      <c r="F208" s="3">
        <v>4274</v>
      </c>
      <c r="G208" s="3">
        <v>340</v>
      </c>
      <c r="H208" s="3">
        <v>281</v>
      </c>
      <c r="I208" s="3">
        <v>34192</v>
      </c>
      <c r="J208" s="3">
        <v>33446</v>
      </c>
      <c r="K208" s="3">
        <v>129</v>
      </c>
      <c r="L208" s="4" t="s">
        <v>421</v>
      </c>
      <c r="M208" s="5" t="s">
        <v>31</v>
      </c>
    </row>
    <row r="209" spans="1:13" ht="14.25" customHeight="1" x14ac:dyDescent="0.3">
      <c r="A209" s="3" t="s">
        <v>425</v>
      </c>
      <c r="B209" s="3" t="s">
        <v>27</v>
      </c>
      <c r="C209" s="3" t="s">
        <v>48</v>
      </c>
      <c r="D209" s="3" t="s">
        <v>74</v>
      </c>
      <c r="E209" s="3" t="s">
        <v>219</v>
      </c>
      <c r="F209" s="3">
        <v>2949</v>
      </c>
      <c r="G209" s="3">
        <v>476</v>
      </c>
      <c r="H209" s="3">
        <v>403</v>
      </c>
      <c r="I209" s="3">
        <v>44235</v>
      </c>
      <c r="J209" s="3">
        <v>43705</v>
      </c>
      <c r="K209" s="3">
        <v>135</v>
      </c>
      <c r="L209" s="4" t="s">
        <v>30</v>
      </c>
      <c r="M209" s="5" t="s">
        <v>25</v>
      </c>
    </row>
    <row r="210" spans="1:13" ht="14.25" customHeight="1" x14ac:dyDescent="0.3">
      <c r="A210" s="3" t="s">
        <v>426</v>
      </c>
      <c r="B210" s="3" t="s">
        <v>14</v>
      </c>
      <c r="C210" s="3" t="s">
        <v>427</v>
      </c>
      <c r="D210" s="3" t="s">
        <v>74</v>
      </c>
      <c r="E210" s="3" t="s">
        <v>145</v>
      </c>
      <c r="F210" s="3">
        <v>3160</v>
      </c>
      <c r="G210" s="3">
        <v>204</v>
      </c>
      <c r="H210" s="3">
        <v>297</v>
      </c>
      <c r="I210" s="3">
        <v>44240</v>
      </c>
      <c r="J210" s="3">
        <v>43666</v>
      </c>
      <c r="K210" s="3">
        <v>49</v>
      </c>
      <c r="L210" s="4" t="s">
        <v>18</v>
      </c>
      <c r="M210" s="5" t="s">
        <v>38</v>
      </c>
    </row>
    <row r="211" spans="1:13" ht="14.25" customHeight="1" x14ac:dyDescent="0.3">
      <c r="A211" s="3" t="s">
        <v>428</v>
      </c>
      <c r="B211" s="3" t="s">
        <v>27</v>
      </c>
      <c r="C211" s="3" t="s">
        <v>350</v>
      </c>
      <c r="D211" s="3" t="s">
        <v>52</v>
      </c>
      <c r="E211" s="3" t="s">
        <v>53</v>
      </c>
      <c r="F211" s="3">
        <v>257</v>
      </c>
      <c r="G211" s="3">
        <v>966</v>
      </c>
      <c r="H211" s="3">
        <v>398</v>
      </c>
      <c r="I211" s="3">
        <v>3341</v>
      </c>
      <c r="J211" s="3">
        <v>2753</v>
      </c>
      <c r="K211" s="3">
        <v>287</v>
      </c>
      <c r="L211" s="4" t="s">
        <v>62</v>
      </c>
      <c r="M211" s="5" t="s">
        <v>19</v>
      </c>
    </row>
    <row r="212" spans="1:13" ht="14.25" customHeight="1" x14ac:dyDescent="0.3">
      <c r="A212" s="3" t="s">
        <v>429</v>
      </c>
      <c r="B212" s="3" t="s">
        <v>14</v>
      </c>
      <c r="C212" s="3" t="s">
        <v>430</v>
      </c>
      <c r="D212" s="3" t="s">
        <v>45</v>
      </c>
      <c r="E212" s="3" t="s">
        <v>49</v>
      </c>
      <c r="F212" s="3">
        <v>2120</v>
      </c>
      <c r="G212" s="3">
        <v>38</v>
      </c>
      <c r="H212" s="3">
        <v>212</v>
      </c>
      <c r="I212" s="3">
        <v>12720</v>
      </c>
      <c r="J212" s="3">
        <v>12564</v>
      </c>
      <c r="K212" s="3">
        <v>21</v>
      </c>
      <c r="L212" s="4" t="s">
        <v>62</v>
      </c>
      <c r="M212" s="5" t="s">
        <v>38</v>
      </c>
    </row>
    <row r="213" spans="1:13" ht="14.25" customHeight="1" x14ac:dyDescent="0.3">
      <c r="A213" s="3" t="s">
        <v>431</v>
      </c>
      <c r="B213" s="3" t="s">
        <v>27</v>
      </c>
      <c r="C213" s="3" t="s">
        <v>197</v>
      </c>
      <c r="D213" s="3" t="s">
        <v>74</v>
      </c>
      <c r="E213" s="3" t="s">
        <v>219</v>
      </c>
      <c r="F213" s="3">
        <v>3874</v>
      </c>
      <c r="G213" s="3">
        <v>884</v>
      </c>
      <c r="H213" s="3">
        <v>19</v>
      </c>
      <c r="I213" s="3">
        <v>38740</v>
      </c>
      <c r="J213" s="3">
        <v>38552</v>
      </c>
      <c r="K213" s="3">
        <v>219</v>
      </c>
      <c r="L213" s="4" t="s">
        <v>30</v>
      </c>
      <c r="M213" s="5" t="s">
        <v>25</v>
      </c>
    </row>
    <row r="214" spans="1:13" ht="14.25" customHeight="1" x14ac:dyDescent="0.3">
      <c r="A214" s="3" t="s">
        <v>432</v>
      </c>
      <c r="B214" s="3" t="s">
        <v>43</v>
      </c>
      <c r="C214" s="3" t="s">
        <v>433</v>
      </c>
      <c r="D214" s="3" t="s">
        <v>45</v>
      </c>
      <c r="E214" s="3" t="s">
        <v>46</v>
      </c>
      <c r="F214" s="3">
        <v>2696</v>
      </c>
      <c r="G214" s="3">
        <v>628</v>
      </c>
      <c r="H214" s="3">
        <v>443</v>
      </c>
      <c r="I214" s="3">
        <v>45832</v>
      </c>
      <c r="J214" s="3">
        <v>45632</v>
      </c>
      <c r="K214" s="3">
        <v>248</v>
      </c>
      <c r="L214" s="4" t="s">
        <v>37</v>
      </c>
      <c r="M214" s="5" t="s">
        <v>38</v>
      </c>
    </row>
    <row r="215" spans="1:13" ht="14.25" customHeight="1" x14ac:dyDescent="0.3">
      <c r="A215" s="3" t="s">
        <v>434</v>
      </c>
      <c r="B215" s="3" t="s">
        <v>33</v>
      </c>
      <c r="C215" s="3" t="s">
        <v>15</v>
      </c>
      <c r="D215" s="3" t="s">
        <v>52</v>
      </c>
      <c r="E215" s="3" t="s">
        <v>215</v>
      </c>
      <c r="F215" s="3">
        <v>521</v>
      </c>
      <c r="G215" s="3">
        <v>746</v>
      </c>
      <c r="H215" s="3">
        <v>315</v>
      </c>
      <c r="I215" s="3">
        <v>4168</v>
      </c>
      <c r="J215" s="3">
        <v>3399</v>
      </c>
      <c r="K215" s="3">
        <v>282</v>
      </c>
      <c r="L215" s="4" t="s">
        <v>62</v>
      </c>
      <c r="M215" s="5" t="s">
        <v>25</v>
      </c>
    </row>
    <row r="216" spans="1:13" ht="14.25" customHeight="1" x14ac:dyDescent="0.3">
      <c r="A216" s="3" t="s">
        <v>435</v>
      </c>
      <c r="B216" s="3" t="s">
        <v>43</v>
      </c>
      <c r="C216" s="3" t="s">
        <v>436</v>
      </c>
      <c r="D216" s="3" t="s">
        <v>52</v>
      </c>
      <c r="E216" s="3" t="s">
        <v>59</v>
      </c>
      <c r="F216" s="3">
        <v>4872</v>
      </c>
      <c r="G216" s="3">
        <v>925</v>
      </c>
      <c r="H216" s="3">
        <v>176</v>
      </c>
      <c r="I216" s="3">
        <v>82824</v>
      </c>
      <c r="J216" s="3">
        <v>82543</v>
      </c>
      <c r="K216" s="3">
        <v>89</v>
      </c>
      <c r="L216" s="4" t="s">
        <v>37</v>
      </c>
      <c r="M216" s="5" t="s">
        <v>25</v>
      </c>
    </row>
    <row r="217" spans="1:13" ht="14.25" customHeight="1" x14ac:dyDescent="0.3">
      <c r="A217" s="3" t="s">
        <v>437</v>
      </c>
      <c r="B217" s="3" t="s">
        <v>27</v>
      </c>
      <c r="C217" s="3" t="s">
        <v>268</v>
      </c>
      <c r="D217" s="3" t="s">
        <v>35</v>
      </c>
      <c r="E217" s="3" t="s">
        <v>154</v>
      </c>
      <c r="F217" s="3">
        <v>1509</v>
      </c>
      <c r="G217" s="3">
        <v>88</v>
      </c>
      <c r="H217" s="3">
        <v>163</v>
      </c>
      <c r="I217" s="3">
        <v>30180</v>
      </c>
      <c r="J217" s="3">
        <v>29689</v>
      </c>
      <c r="K217" s="3">
        <v>119</v>
      </c>
      <c r="L217" s="4" t="s">
        <v>37</v>
      </c>
      <c r="M217" s="5" t="s">
        <v>25</v>
      </c>
    </row>
    <row r="218" spans="1:13" ht="14.25" customHeight="1" x14ac:dyDescent="0.3">
      <c r="A218" s="3" t="s">
        <v>438</v>
      </c>
      <c r="B218" s="3" t="s">
        <v>43</v>
      </c>
      <c r="C218" s="3" t="s">
        <v>362</v>
      </c>
      <c r="D218" s="3" t="s">
        <v>52</v>
      </c>
      <c r="E218" s="3" t="s">
        <v>59</v>
      </c>
      <c r="F218" s="3">
        <v>4606</v>
      </c>
      <c r="G218" s="3">
        <v>931</v>
      </c>
      <c r="H218" s="3">
        <v>230</v>
      </c>
      <c r="I218" s="3">
        <v>92120</v>
      </c>
      <c r="J218" s="3">
        <v>91440</v>
      </c>
      <c r="K218" s="3">
        <v>56</v>
      </c>
      <c r="L218" s="4" t="s">
        <v>30</v>
      </c>
      <c r="M218" s="5"/>
    </row>
    <row r="219" spans="1:13" ht="14.25" customHeight="1" x14ac:dyDescent="0.3">
      <c r="A219" s="3" t="s">
        <v>439</v>
      </c>
      <c r="B219" s="3" t="s">
        <v>43</v>
      </c>
      <c r="C219" s="3" t="s">
        <v>254</v>
      </c>
      <c r="D219" s="3" t="s">
        <v>45</v>
      </c>
      <c r="E219" s="3" t="s">
        <v>46</v>
      </c>
      <c r="F219" s="3">
        <v>1869</v>
      </c>
      <c r="G219" s="3">
        <v>453</v>
      </c>
      <c r="H219" s="3">
        <v>490</v>
      </c>
      <c r="I219" s="3">
        <v>14952</v>
      </c>
      <c r="J219" s="3">
        <v>14309</v>
      </c>
      <c r="K219" s="3">
        <v>275</v>
      </c>
      <c r="L219" s="4" t="s">
        <v>30</v>
      </c>
      <c r="M219" s="5" t="s">
        <v>38</v>
      </c>
    </row>
    <row r="220" spans="1:13" ht="14.25" customHeight="1" x14ac:dyDescent="0.3">
      <c r="A220" s="3" t="s">
        <v>440</v>
      </c>
      <c r="B220" s="3" t="s">
        <v>14</v>
      </c>
      <c r="C220" s="3" t="s">
        <v>174</v>
      </c>
      <c r="D220" s="3" t="s">
        <v>16</v>
      </c>
      <c r="E220" s="3" t="s">
        <v>17</v>
      </c>
      <c r="F220" s="3">
        <v>1188</v>
      </c>
      <c r="G220" s="3">
        <v>470</v>
      </c>
      <c r="H220" s="3">
        <v>174</v>
      </c>
      <c r="I220" s="3">
        <v>7128</v>
      </c>
      <c r="J220" s="3">
        <v>6145</v>
      </c>
      <c r="K220" s="3">
        <v>270</v>
      </c>
      <c r="L220" s="4" t="s">
        <v>30</v>
      </c>
      <c r="M220" s="5" t="s">
        <v>38</v>
      </c>
    </row>
    <row r="221" spans="1:13" ht="14.25" customHeight="1" x14ac:dyDescent="0.3">
      <c r="A221" s="3" t="s">
        <v>441</v>
      </c>
      <c r="B221" s="3" t="s">
        <v>33</v>
      </c>
      <c r="C221" s="3" t="s">
        <v>416</v>
      </c>
      <c r="D221" s="3" t="s">
        <v>35</v>
      </c>
      <c r="E221" s="3" t="s">
        <v>36</v>
      </c>
      <c r="F221" s="3">
        <v>84</v>
      </c>
      <c r="G221" s="3">
        <v>897</v>
      </c>
      <c r="H221" s="3">
        <v>85</v>
      </c>
      <c r="I221" s="3">
        <v>588</v>
      </c>
      <c r="J221" s="3">
        <v>8</v>
      </c>
      <c r="K221" s="3">
        <v>12</v>
      </c>
      <c r="L221" s="4" t="s">
        <v>37</v>
      </c>
      <c r="M221" s="5"/>
    </row>
    <row r="222" spans="1:13" ht="14.25" customHeight="1" x14ac:dyDescent="0.3">
      <c r="A222" s="3" t="s">
        <v>442</v>
      </c>
      <c r="B222" s="3" t="s">
        <v>43</v>
      </c>
      <c r="C222" s="3" t="s">
        <v>256</v>
      </c>
      <c r="D222" s="3" t="s">
        <v>74</v>
      </c>
      <c r="E222" s="3" t="s">
        <v>75</v>
      </c>
      <c r="F222" s="3">
        <v>4453</v>
      </c>
      <c r="G222" s="3">
        <v>111</v>
      </c>
      <c r="H222" s="3">
        <v>420</v>
      </c>
      <c r="I222" s="3">
        <v>31171</v>
      </c>
      <c r="J222" s="3">
        <v>30565</v>
      </c>
      <c r="K222" s="3">
        <v>23</v>
      </c>
      <c r="L222" s="4" t="s">
        <v>30</v>
      </c>
      <c r="M222" s="5"/>
    </row>
    <row r="223" spans="1:13" ht="14.25" customHeight="1" x14ac:dyDescent="0.3">
      <c r="A223" s="3" t="s">
        <v>443</v>
      </c>
      <c r="B223" s="3" t="s">
        <v>43</v>
      </c>
      <c r="C223" s="3" t="s">
        <v>444</v>
      </c>
      <c r="D223" s="3" t="s">
        <v>16</v>
      </c>
      <c r="E223" s="3" t="s">
        <v>65</v>
      </c>
      <c r="F223" s="3">
        <v>1814</v>
      </c>
      <c r="G223" s="3">
        <v>653</v>
      </c>
      <c r="H223" s="3">
        <v>363</v>
      </c>
      <c r="I223" s="3">
        <v>25396</v>
      </c>
      <c r="J223" s="3">
        <v>25286</v>
      </c>
      <c r="K223" s="3">
        <v>39</v>
      </c>
      <c r="L223" s="4" t="s">
        <v>445</v>
      </c>
      <c r="M223" s="5" t="s">
        <v>19</v>
      </c>
    </row>
    <row r="224" spans="1:13" ht="14.25" customHeight="1" x14ac:dyDescent="0.3">
      <c r="A224" s="3" t="s">
        <v>446</v>
      </c>
      <c r="B224" s="3" t="s">
        <v>14</v>
      </c>
      <c r="C224" s="3" t="s">
        <v>360</v>
      </c>
      <c r="D224" s="3" t="s">
        <v>52</v>
      </c>
      <c r="E224" s="3" t="s">
        <v>132</v>
      </c>
      <c r="F224" s="3">
        <v>3338</v>
      </c>
      <c r="G224" s="3">
        <v>277</v>
      </c>
      <c r="H224" s="3">
        <v>118</v>
      </c>
      <c r="I224" s="3">
        <v>60084</v>
      </c>
      <c r="J224" s="3">
        <v>59842</v>
      </c>
      <c r="K224" s="3">
        <v>252</v>
      </c>
      <c r="L224" s="4" t="s">
        <v>30</v>
      </c>
      <c r="M224" s="5"/>
    </row>
    <row r="225" spans="1:13" ht="14.25" customHeight="1" x14ac:dyDescent="0.3">
      <c r="A225" s="3" t="s">
        <v>447</v>
      </c>
      <c r="B225" s="3" t="s">
        <v>43</v>
      </c>
      <c r="C225" s="3" t="s">
        <v>448</v>
      </c>
      <c r="D225" s="3" t="s">
        <v>52</v>
      </c>
      <c r="E225" s="3" t="s">
        <v>59</v>
      </c>
      <c r="F225" s="3">
        <v>602</v>
      </c>
      <c r="G225" s="3">
        <v>594</v>
      </c>
      <c r="H225" s="3">
        <v>156</v>
      </c>
      <c r="I225" s="3">
        <v>4214</v>
      </c>
      <c r="J225" s="3">
        <v>3363</v>
      </c>
      <c r="K225" s="3">
        <v>164</v>
      </c>
      <c r="L225" s="4" t="s">
        <v>30</v>
      </c>
      <c r="M225" s="5" t="s">
        <v>31</v>
      </c>
    </row>
    <row r="226" spans="1:13" ht="14.25" customHeight="1" x14ac:dyDescent="0.3">
      <c r="A226" s="3" t="s">
        <v>449</v>
      </c>
      <c r="B226" s="3" t="s">
        <v>14</v>
      </c>
      <c r="C226" s="3" t="s">
        <v>375</v>
      </c>
      <c r="D226" s="3" t="s">
        <v>45</v>
      </c>
      <c r="E226" s="3" t="s">
        <v>49</v>
      </c>
      <c r="F226" s="3">
        <v>4672</v>
      </c>
      <c r="G226" s="3">
        <v>325</v>
      </c>
      <c r="H226" s="3">
        <v>32</v>
      </c>
      <c r="I226" s="3">
        <v>88768</v>
      </c>
      <c r="J226" s="3">
        <v>87833</v>
      </c>
      <c r="K226" s="3">
        <v>118</v>
      </c>
      <c r="L226" s="4" t="s">
        <v>37</v>
      </c>
      <c r="M226" s="5"/>
    </row>
    <row r="227" spans="1:13" ht="14.25" customHeight="1" x14ac:dyDescent="0.3">
      <c r="A227" s="3" t="s">
        <v>450</v>
      </c>
      <c r="B227" s="3" t="s">
        <v>33</v>
      </c>
      <c r="C227" s="3" t="s">
        <v>451</v>
      </c>
      <c r="D227" s="3" t="s">
        <v>45</v>
      </c>
      <c r="E227" s="3" t="s">
        <v>88</v>
      </c>
      <c r="F227" s="3">
        <v>1741</v>
      </c>
      <c r="G227" s="3">
        <v>164</v>
      </c>
      <c r="H227" s="3">
        <v>318</v>
      </c>
      <c r="I227" s="3">
        <v>8705</v>
      </c>
      <c r="J227" s="3">
        <v>8272</v>
      </c>
      <c r="K227" s="3">
        <v>121</v>
      </c>
      <c r="L227" s="4" t="s">
        <v>30</v>
      </c>
      <c r="M227" s="5"/>
    </row>
    <row r="228" spans="1:13" ht="14.25" customHeight="1" x14ac:dyDescent="0.3">
      <c r="A228" s="3" t="s">
        <v>452</v>
      </c>
      <c r="B228" s="3" t="s">
        <v>33</v>
      </c>
      <c r="C228" s="3" t="s">
        <v>453</v>
      </c>
      <c r="D228" s="3" t="s">
        <v>22</v>
      </c>
      <c r="E228" s="3" t="s">
        <v>113</v>
      </c>
      <c r="F228" s="3">
        <v>246</v>
      </c>
      <c r="G228" s="3">
        <v>149</v>
      </c>
      <c r="H228" s="3">
        <v>130</v>
      </c>
      <c r="I228" s="3">
        <v>4674</v>
      </c>
      <c r="J228" s="3">
        <v>4390</v>
      </c>
      <c r="K228" s="3">
        <v>217</v>
      </c>
      <c r="L228" s="4" t="s">
        <v>62</v>
      </c>
      <c r="M228" s="5" t="s">
        <v>31</v>
      </c>
    </row>
    <row r="229" spans="1:13" ht="14.25" customHeight="1" x14ac:dyDescent="0.3">
      <c r="A229" s="3" t="s">
        <v>454</v>
      </c>
      <c r="B229" s="3" t="s">
        <v>33</v>
      </c>
      <c r="C229" s="3" t="s">
        <v>455</v>
      </c>
      <c r="D229" s="3" t="s">
        <v>35</v>
      </c>
      <c r="E229" s="3" t="s">
        <v>36</v>
      </c>
      <c r="F229" s="3">
        <v>4808</v>
      </c>
      <c r="G229" s="3">
        <v>772</v>
      </c>
      <c r="H229" s="3">
        <v>320</v>
      </c>
      <c r="I229" s="3">
        <v>72120</v>
      </c>
      <c r="J229" s="3">
        <v>71696</v>
      </c>
      <c r="K229" s="3">
        <v>195</v>
      </c>
      <c r="L229" s="4" t="s">
        <v>37</v>
      </c>
      <c r="M229" s="5" t="s">
        <v>19</v>
      </c>
    </row>
    <row r="230" spans="1:13" ht="14.25" customHeight="1" x14ac:dyDescent="0.3">
      <c r="A230" s="3" t="s">
        <v>456</v>
      </c>
      <c r="B230" s="3" t="s">
        <v>33</v>
      </c>
      <c r="C230" s="3" t="s">
        <v>153</v>
      </c>
      <c r="D230" s="3" t="s">
        <v>45</v>
      </c>
      <c r="E230" s="3" t="s">
        <v>88</v>
      </c>
      <c r="F230" s="3">
        <v>4799</v>
      </c>
      <c r="G230" s="3">
        <v>694</v>
      </c>
      <c r="H230" s="3">
        <v>289</v>
      </c>
      <c r="I230" s="3">
        <v>43191</v>
      </c>
      <c r="J230" s="3">
        <v>42228</v>
      </c>
      <c r="K230" s="3">
        <v>118</v>
      </c>
      <c r="L230" s="4" t="s">
        <v>30</v>
      </c>
      <c r="M230" s="5"/>
    </row>
    <row r="231" spans="1:13" ht="14.25" customHeight="1" x14ac:dyDescent="0.3">
      <c r="A231" s="3" t="s">
        <v>457</v>
      </c>
      <c r="B231" s="3" t="s">
        <v>43</v>
      </c>
      <c r="C231" s="3" t="s">
        <v>315</v>
      </c>
      <c r="D231" s="3" t="s">
        <v>16</v>
      </c>
      <c r="E231" s="3" t="s">
        <v>65</v>
      </c>
      <c r="F231" s="3">
        <v>3663</v>
      </c>
      <c r="G231" s="3">
        <v>17</v>
      </c>
      <c r="H231" s="3">
        <v>295</v>
      </c>
      <c r="I231" s="3">
        <v>51282</v>
      </c>
      <c r="J231" s="3">
        <v>50567</v>
      </c>
      <c r="K231" s="3">
        <v>84</v>
      </c>
      <c r="L231" s="4" t="s">
        <v>37</v>
      </c>
      <c r="M231" s="5" t="s">
        <v>31</v>
      </c>
    </row>
    <row r="232" spans="1:13" ht="14.25" customHeight="1" x14ac:dyDescent="0.3">
      <c r="A232" s="3" t="s">
        <v>458</v>
      </c>
      <c r="B232" s="3" t="s">
        <v>33</v>
      </c>
      <c r="C232" s="3" t="s">
        <v>433</v>
      </c>
      <c r="D232" s="3" t="s">
        <v>22</v>
      </c>
      <c r="E232" s="3" t="s">
        <v>113</v>
      </c>
      <c r="F232" s="3">
        <v>1430</v>
      </c>
      <c r="G232" s="3">
        <v>376</v>
      </c>
      <c r="H232" s="3">
        <v>33</v>
      </c>
      <c r="I232" s="3">
        <v>21450</v>
      </c>
      <c r="J232" s="3">
        <v>20509</v>
      </c>
      <c r="K232" s="3">
        <v>251</v>
      </c>
      <c r="L232" s="4" t="s">
        <v>62</v>
      </c>
      <c r="M232" s="5" t="s">
        <v>19</v>
      </c>
    </row>
    <row r="233" spans="1:13" ht="14.25" customHeight="1" x14ac:dyDescent="0.3">
      <c r="A233" s="3" t="s">
        <v>459</v>
      </c>
      <c r="B233" s="3" t="s">
        <v>14</v>
      </c>
      <c r="C233" s="3" t="s">
        <v>460</v>
      </c>
      <c r="D233" s="3" t="s">
        <v>35</v>
      </c>
      <c r="E233" s="3" t="s">
        <v>149</v>
      </c>
      <c r="F233" s="3">
        <v>249</v>
      </c>
      <c r="G233" s="3">
        <v>592</v>
      </c>
      <c r="H233" s="3">
        <v>230</v>
      </c>
      <c r="I233" s="3">
        <v>1494</v>
      </c>
      <c r="J233" s="3">
        <v>1044</v>
      </c>
      <c r="K233" s="3">
        <v>201</v>
      </c>
      <c r="L233" s="4" t="s">
        <v>37</v>
      </c>
      <c r="M233" s="5" t="s">
        <v>38</v>
      </c>
    </row>
    <row r="234" spans="1:13" ht="14.25" customHeight="1" x14ac:dyDescent="0.3">
      <c r="A234" s="3" t="s">
        <v>461</v>
      </c>
      <c r="B234" s="3" t="s">
        <v>43</v>
      </c>
      <c r="C234" s="3" t="s">
        <v>134</v>
      </c>
      <c r="D234" s="3" t="s">
        <v>52</v>
      </c>
      <c r="E234" s="3" t="s">
        <v>59</v>
      </c>
      <c r="F234" s="3">
        <v>2382</v>
      </c>
      <c r="G234" s="3">
        <v>265</v>
      </c>
      <c r="H234" s="3">
        <v>134</v>
      </c>
      <c r="I234" s="3">
        <v>38112</v>
      </c>
      <c r="J234" s="3">
        <v>37437</v>
      </c>
      <c r="K234" s="3">
        <v>249</v>
      </c>
      <c r="L234" s="4" t="s">
        <v>62</v>
      </c>
      <c r="M234" s="5" t="s">
        <v>38</v>
      </c>
    </row>
    <row r="235" spans="1:13" ht="14.25" customHeight="1" x14ac:dyDescent="0.3">
      <c r="A235" s="3" t="s">
        <v>462</v>
      </c>
      <c r="B235" s="3" t="s">
        <v>43</v>
      </c>
      <c r="C235" s="3" t="s">
        <v>463</v>
      </c>
      <c r="D235" s="3" t="s">
        <v>22</v>
      </c>
      <c r="E235" s="3" t="s">
        <v>56</v>
      </c>
      <c r="F235" s="3">
        <v>1272</v>
      </c>
      <c r="G235" s="3">
        <v>465</v>
      </c>
      <c r="H235" s="3">
        <v>99</v>
      </c>
      <c r="I235" s="3">
        <v>24168</v>
      </c>
      <c r="J235" s="3">
        <v>23719</v>
      </c>
      <c r="K235" s="3">
        <v>42</v>
      </c>
      <c r="L235" s="4" t="s">
        <v>30</v>
      </c>
      <c r="M235" s="5"/>
    </row>
    <row r="236" spans="1:13" ht="14.25" customHeight="1" x14ac:dyDescent="0.3">
      <c r="A236" s="3" t="s">
        <v>464</v>
      </c>
      <c r="B236" s="3" t="s">
        <v>43</v>
      </c>
      <c r="C236" s="3" t="s">
        <v>392</v>
      </c>
      <c r="D236" s="3" t="s">
        <v>52</v>
      </c>
      <c r="E236" s="3" t="s">
        <v>59</v>
      </c>
      <c r="F236" s="3">
        <v>3196</v>
      </c>
      <c r="G236" s="3">
        <v>941</v>
      </c>
      <c r="H236" s="3">
        <v>376</v>
      </c>
      <c r="I236" s="3">
        <v>35156</v>
      </c>
      <c r="J236" s="3">
        <v>34444</v>
      </c>
      <c r="K236" s="3">
        <v>241</v>
      </c>
      <c r="L236" s="4" t="s">
        <v>30</v>
      </c>
      <c r="M236" s="5" t="s">
        <v>31</v>
      </c>
    </row>
    <row r="237" spans="1:13" ht="14.25" customHeight="1" x14ac:dyDescent="0.3">
      <c r="A237" s="3" t="s">
        <v>465</v>
      </c>
      <c r="B237" s="3" t="s">
        <v>43</v>
      </c>
      <c r="C237" s="3" t="s">
        <v>81</v>
      </c>
      <c r="D237" s="3" t="s">
        <v>22</v>
      </c>
      <c r="E237" s="3" t="s">
        <v>56</v>
      </c>
      <c r="F237" s="3">
        <v>1257</v>
      </c>
      <c r="G237" s="3">
        <v>19</v>
      </c>
      <c r="H237" s="3">
        <v>351</v>
      </c>
      <c r="I237" s="3">
        <v>12570</v>
      </c>
      <c r="J237" s="3">
        <v>11660</v>
      </c>
      <c r="K237" s="3">
        <v>194</v>
      </c>
      <c r="L237" s="4" t="s">
        <v>466</v>
      </c>
      <c r="M237" s="5" t="s">
        <v>25</v>
      </c>
    </row>
    <row r="238" spans="1:13" ht="14.25" customHeight="1" x14ac:dyDescent="0.3">
      <c r="A238" s="3" t="s">
        <v>467</v>
      </c>
      <c r="B238" s="3" t="s">
        <v>33</v>
      </c>
      <c r="C238" s="3" t="s">
        <v>341</v>
      </c>
      <c r="D238" s="3" t="s">
        <v>35</v>
      </c>
      <c r="E238" s="3" t="s">
        <v>36</v>
      </c>
      <c r="F238" s="3">
        <v>3770</v>
      </c>
      <c r="G238" s="3">
        <v>917</v>
      </c>
      <c r="H238" s="3">
        <v>129</v>
      </c>
      <c r="I238" s="3">
        <v>71630</v>
      </c>
      <c r="J238" s="3">
        <v>71322</v>
      </c>
      <c r="K238" s="3">
        <v>76</v>
      </c>
      <c r="L238" s="4" t="s">
        <v>62</v>
      </c>
      <c r="M238" s="5" t="s">
        <v>19</v>
      </c>
    </row>
    <row r="239" spans="1:13" ht="14.25" customHeight="1" x14ac:dyDescent="0.3">
      <c r="A239" s="3" t="s">
        <v>468</v>
      </c>
      <c r="B239" s="3" t="s">
        <v>14</v>
      </c>
      <c r="C239" s="3" t="s">
        <v>469</v>
      </c>
      <c r="D239" s="3" t="s">
        <v>22</v>
      </c>
      <c r="E239" s="3" t="s">
        <v>23</v>
      </c>
      <c r="F239" s="3">
        <v>4725</v>
      </c>
      <c r="G239" s="3">
        <v>400</v>
      </c>
      <c r="H239" s="3">
        <v>362</v>
      </c>
      <c r="I239" s="3">
        <v>75600</v>
      </c>
      <c r="J239" s="3">
        <v>74927</v>
      </c>
      <c r="K239" s="3">
        <v>43</v>
      </c>
      <c r="L239" s="4" t="s">
        <v>62</v>
      </c>
      <c r="M239" s="5" t="s">
        <v>38</v>
      </c>
    </row>
    <row r="240" spans="1:13" ht="14.25" customHeight="1" x14ac:dyDescent="0.3">
      <c r="A240" s="3" t="s">
        <v>470</v>
      </c>
      <c r="B240" s="3" t="s">
        <v>27</v>
      </c>
      <c r="C240" s="3" t="s">
        <v>147</v>
      </c>
      <c r="D240" s="3" t="s">
        <v>22</v>
      </c>
      <c r="E240" s="3" t="s">
        <v>104</v>
      </c>
      <c r="F240" s="3">
        <v>4188</v>
      </c>
      <c r="G240" s="3">
        <v>942</v>
      </c>
      <c r="H240" s="3">
        <v>118</v>
      </c>
      <c r="I240" s="3">
        <v>20940</v>
      </c>
      <c r="J240" s="3">
        <v>20471</v>
      </c>
      <c r="K240" s="3">
        <v>102</v>
      </c>
      <c r="L240" s="4" t="s">
        <v>62</v>
      </c>
      <c r="M240" s="5"/>
    </row>
    <row r="241" spans="1:13" ht="14.25" customHeight="1" x14ac:dyDescent="0.3">
      <c r="A241" s="3" t="s">
        <v>471</v>
      </c>
      <c r="B241" s="3" t="s">
        <v>14</v>
      </c>
      <c r="C241" s="3" t="s">
        <v>77</v>
      </c>
      <c r="D241" s="3" t="s">
        <v>45</v>
      </c>
      <c r="E241" s="3" t="s">
        <v>49</v>
      </c>
      <c r="F241" s="3">
        <v>929</v>
      </c>
      <c r="G241" s="3">
        <v>192</v>
      </c>
      <c r="H241" s="3">
        <v>322</v>
      </c>
      <c r="I241" s="3">
        <v>16722</v>
      </c>
      <c r="J241" s="3">
        <v>15996</v>
      </c>
      <c r="K241" s="3">
        <v>145</v>
      </c>
      <c r="L241" s="4" t="s">
        <v>175</v>
      </c>
      <c r="M241" s="5" t="s">
        <v>31</v>
      </c>
    </row>
    <row r="242" spans="1:13" ht="14.25" customHeight="1" x14ac:dyDescent="0.3">
      <c r="A242" s="3" t="s">
        <v>472</v>
      </c>
      <c r="B242" s="3" t="s">
        <v>43</v>
      </c>
      <c r="C242" s="3" t="s">
        <v>473</v>
      </c>
      <c r="D242" s="3" t="s">
        <v>35</v>
      </c>
      <c r="E242" s="3" t="s">
        <v>71</v>
      </c>
      <c r="F242" s="3">
        <v>4321</v>
      </c>
      <c r="G242" s="3">
        <v>874</v>
      </c>
      <c r="H242" s="3">
        <v>172</v>
      </c>
      <c r="I242" s="3">
        <v>30247</v>
      </c>
      <c r="J242" s="3">
        <v>29254</v>
      </c>
      <c r="K242" s="3">
        <v>122</v>
      </c>
      <c r="L242" s="4" t="s">
        <v>30</v>
      </c>
      <c r="M242" s="5" t="s">
        <v>38</v>
      </c>
    </row>
    <row r="243" spans="1:13" ht="14.25" customHeight="1" x14ac:dyDescent="0.3">
      <c r="A243" s="3" t="s">
        <v>474</v>
      </c>
      <c r="B243" s="3" t="s">
        <v>43</v>
      </c>
      <c r="C243" s="3" t="s">
        <v>228</v>
      </c>
      <c r="D243" s="3" t="s">
        <v>16</v>
      </c>
      <c r="E243" s="3" t="s">
        <v>65</v>
      </c>
      <c r="F243" s="3">
        <v>4767</v>
      </c>
      <c r="G243" s="3">
        <v>190</v>
      </c>
      <c r="H243" s="3">
        <v>340</v>
      </c>
      <c r="I243" s="3">
        <v>28602</v>
      </c>
      <c r="J243" s="3">
        <v>28044</v>
      </c>
      <c r="K243" s="3">
        <v>210</v>
      </c>
      <c r="L243" s="4" t="s">
        <v>37</v>
      </c>
      <c r="M243" s="5" t="s">
        <v>31</v>
      </c>
    </row>
    <row r="244" spans="1:13" ht="14.25" customHeight="1" x14ac:dyDescent="0.3">
      <c r="A244" s="3" t="s">
        <v>475</v>
      </c>
      <c r="B244" s="3" t="s">
        <v>14</v>
      </c>
      <c r="C244" s="3" t="s">
        <v>476</v>
      </c>
      <c r="D244" s="3" t="s">
        <v>52</v>
      </c>
      <c r="E244" s="3" t="s">
        <v>132</v>
      </c>
      <c r="F244" s="3">
        <v>3592</v>
      </c>
      <c r="G244" s="3">
        <v>911</v>
      </c>
      <c r="H244" s="3">
        <v>375</v>
      </c>
      <c r="I244" s="3">
        <v>50288</v>
      </c>
      <c r="J244" s="3">
        <v>49490</v>
      </c>
      <c r="K244" s="3">
        <v>32</v>
      </c>
      <c r="L244" s="4" t="s">
        <v>62</v>
      </c>
      <c r="M244" s="5" t="s">
        <v>38</v>
      </c>
    </row>
    <row r="245" spans="1:13" ht="14.25" customHeight="1" x14ac:dyDescent="0.3">
      <c r="A245" s="3" t="s">
        <v>477</v>
      </c>
      <c r="B245" s="3" t="s">
        <v>27</v>
      </c>
      <c r="C245" s="3" t="s">
        <v>478</v>
      </c>
      <c r="D245" s="3" t="s">
        <v>74</v>
      </c>
      <c r="E245" s="3" t="s">
        <v>219</v>
      </c>
      <c r="F245" s="3">
        <v>4661</v>
      </c>
      <c r="G245" s="3">
        <v>935</v>
      </c>
      <c r="H245" s="3">
        <v>433</v>
      </c>
      <c r="I245" s="3">
        <v>23305</v>
      </c>
      <c r="J245" s="3">
        <v>22583</v>
      </c>
      <c r="K245" s="3">
        <v>63</v>
      </c>
      <c r="L245" s="4" t="s">
        <v>62</v>
      </c>
      <c r="M245" s="5" t="s">
        <v>31</v>
      </c>
    </row>
    <row r="246" spans="1:13" ht="14.25" customHeight="1" x14ac:dyDescent="0.3">
      <c r="A246" s="3" t="s">
        <v>479</v>
      </c>
      <c r="B246" s="3" t="s">
        <v>43</v>
      </c>
      <c r="C246" s="3" t="s">
        <v>480</v>
      </c>
      <c r="D246" s="3" t="s">
        <v>16</v>
      </c>
      <c r="E246" s="3" t="s">
        <v>65</v>
      </c>
      <c r="F246" s="3">
        <v>4134</v>
      </c>
      <c r="G246" s="3">
        <v>824</v>
      </c>
      <c r="H246" s="3">
        <v>99</v>
      </c>
      <c r="I246" s="3">
        <v>41340</v>
      </c>
      <c r="J246" s="3">
        <v>41050</v>
      </c>
      <c r="K246" s="3">
        <v>177</v>
      </c>
      <c r="L246" s="4" t="s">
        <v>37</v>
      </c>
      <c r="M246" s="5" t="s">
        <v>19</v>
      </c>
    </row>
    <row r="247" spans="1:13" ht="14.25" customHeight="1" x14ac:dyDescent="0.3">
      <c r="A247" s="3" t="s">
        <v>481</v>
      </c>
      <c r="B247" s="3" t="s">
        <v>43</v>
      </c>
      <c r="C247" s="3" t="s">
        <v>482</v>
      </c>
      <c r="D247" s="3" t="s">
        <v>52</v>
      </c>
      <c r="E247" s="3" t="s">
        <v>59</v>
      </c>
      <c r="F247" s="3">
        <v>400</v>
      </c>
      <c r="G247" s="3">
        <v>680</v>
      </c>
      <c r="H247" s="3">
        <v>434</v>
      </c>
      <c r="I247" s="3">
        <v>6400</v>
      </c>
      <c r="J247" s="3">
        <v>5472</v>
      </c>
      <c r="K247" s="3">
        <v>160</v>
      </c>
      <c r="L247" s="4" t="s">
        <v>62</v>
      </c>
      <c r="M247" s="5" t="s">
        <v>25</v>
      </c>
    </row>
    <row r="248" spans="1:13" ht="14.25" customHeight="1" x14ac:dyDescent="0.3">
      <c r="A248" s="3" t="s">
        <v>483</v>
      </c>
      <c r="B248" s="3" t="s">
        <v>43</v>
      </c>
      <c r="C248" s="3" t="s">
        <v>484</v>
      </c>
      <c r="D248" s="3" t="s">
        <v>16</v>
      </c>
      <c r="E248" s="3" t="s">
        <v>65</v>
      </c>
      <c r="F248" s="3">
        <v>3960</v>
      </c>
      <c r="G248" s="3">
        <v>266</v>
      </c>
      <c r="H248" s="3">
        <v>8</v>
      </c>
      <c r="I248" s="3">
        <v>35640</v>
      </c>
      <c r="J248" s="3">
        <v>34850</v>
      </c>
      <c r="K248" s="3">
        <v>208</v>
      </c>
      <c r="L248" s="4" t="s">
        <v>485</v>
      </c>
      <c r="M248" s="5"/>
    </row>
    <row r="249" spans="1:13" ht="14.25" customHeight="1" x14ac:dyDescent="0.3">
      <c r="A249" s="3" t="s">
        <v>486</v>
      </c>
      <c r="B249" s="3" t="s">
        <v>43</v>
      </c>
      <c r="C249" s="3" t="s">
        <v>61</v>
      </c>
      <c r="D249" s="3" t="s">
        <v>35</v>
      </c>
      <c r="E249" s="3" t="s">
        <v>71</v>
      </c>
      <c r="F249" s="3">
        <v>886</v>
      </c>
      <c r="G249" s="3">
        <v>126</v>
      </c>
      <c r="H249" s="3">
        <v>153</v>
      </c>
      <c r="I249" s="3">
        <v>4430</v>
      </c>
      <c r="J249" s="3">
        <v>4037</v>
      </c>
      <c r="K249" s="3">
        <v>212</v>
      </c>
      <c r="L249" s="4" t="s">
        <v>37</v>
      </c>
      <c r="M249" s="5"/>
    </row>
    <row r="250" spans="1:13" ht="14.25" customHeight="1" x14ac:dyDescent="0.3">
      <c r="A250" s="3" t="s">
        <v>487</v>
      </c>
      <c r="B250" s="3" t="s">
        <v>14</v>
      </c>
      <c r="C250" s="3" t="s">
        <v>430</v>
      </c>
      <c r="D250" s="3" t="s">
        <v>52</v>
      </c>
      <c r="E250" s="3" t="s">
        <v>132</v>
      </c>
      <c r="F250" s="3">
        <v>827</v>
      </c>
      <c r="G250" s="3">
        <v>77</v>
      </c>
      <c r="H250" s="3">
        <v>402</v>
      </c>
      <c r="I250" s="3">
        <v>14886</v>
      </c>
      <c r="J250" s="3">
        <v>14129</v>
      </c>
      <c r="K250" s="3">
        <v>254</v>
      </c>
      <c r="L250" s="4" t="s">
        <v>37</v>
      </c>
      <c r="M250" s="5" t="s">
        <v>25</v>
      </c>
    </row>
    <row r="251" spans="1:13" ht="14.25" customHeight="1" x14ac:dyDescent="0.3">
      <c r="A251" s="3" t="s">
        <v>488</v>
      </c>
      <c r="B251" s="3" t="s">
        <v>43</v>
      </c>
      <c r="C251" s="3" t="s">
        <v>172</v>
      </c>
      <c r="D251" s="3" t="s">
        <v>16</v>
      </c>
      <c r="E251" s="3" t="s">
        <v>65</v>
      </c>
      <c r="F251" s="3">
        <v>3813</v>
      </c>
      <c r="G251" s="3">
        <v>935</v>
      </c>
      <c r="H251" s="3">
        <v>274</v>
      </c>
      <c r="I251" s="3">
        <v>68634</v>
      </c>
      <c r="J251" s="3">
        <v>68488</v>
      </c>
      <c r="K251" s="3">
        <v>251</v>
      </c>
      <c r="L251" s="4" t="s">
        <v>62</v>
      </c>
      <c r="M251" s="5"/>
    </row>
    <row r="252" spans="1:13" ht="14.25" customHeight="1" x14ac:dyDescent="0.3">
      <c r="A252" s="3" t="s">
        <v>489</v>
      </c>
      <c r="B252" s="3" t="s">
        <v>33</v>
      </c>
      <c r="C252" s="3" t="s">
        <v>490</v>
      </c>
      <c r="D252" s="3" t="s">
        <v>45</v>
      </c>
      <c r="E252" s="3" t="s">
        <v>88</v>
      </c>
      <c r="F252" s="3">
        <v>1377</v>
      </c>
      <c r="G252" s="3">
        <v>796</v>
      </c>
      <c r="H252" s="3">
        <v>387</v>
      </c>
      <c r="I252" s="3">
        <v>22032</v>
      </c>
      <c r="J252" s="3">
        <v>21869</v>
      </c>
      <c r="K252" s="3">
        <v>189</v>
      </c>
      <c r="L252" s="4" t="s">
        <v>62</v>
      </c>
      <c r="M252" s="5"/>
    </row>
    <row r="253" spans="1:13" ht="14.25" customHeight="1" x14ac:dyDescent="0.3">
      <c r="A253" s="3" t="s">
        <v>491</v>
      </c>
      <c r="B253" s="3" t="s">
        <v>43</v>
      </c>
      <c r="C253" s="3" t="s">
        <v>364</v>
      </c>
      <c r="D253" s="3" t="s">
        <v>45</v>
      </c>
      <c r="E253" s="3" t="s">
        <v>46</v>
      </c>
      <c r="F253" s="3">
        <v>2089</v>
      </c>
      <c r="G253" s="3">
        <v>476</v>
      </c>
      <c r="H253" s="3">
        <v>69</v>
      </c>
      <c r="I253" s="3">
        <v>16712</v>
      </c>
      <c r="J253" s="3">
        <v>16309</v>
      </c>
      <c r="K253" s="3">
        <v>64</v>
      </c>
      <c r="L253" s="4" t="s">
        <v>62</v>
      </c>
      <c r="M253" s="5" t="s">
        <v>31</v>
      </c>
    </row>
    <row r="254" spans="1:13" ht="14.25" customHeight="1" x14ac:dyDescent="0.3">
      <c r="A254" s="3" t="s">
        <v>492</v>
      </c>
      <c r="B254" s="3" t="s">
        <v>14</v>
      </c>
      <c r="C254" s="3" t="s">
        <v>493</v>
      </c>
      <c r="D254" s="3" t="s">
        <v>16</v>
      </c>
      <c r="E254" s="3" t="s">
        <v>17</v>
      </c>
      <c r="F254" s="3">
        <v>3791</v>
      </c>
      <c r="G254" s="3">
        <v>593</v>
      </c>
      <c r="H254" s="3">
        <v>228</v>
      </c>
      <c r="I254" s="3">
        <v>53074</v>
      </c>
      <c r="J254" s="3">
        <v>52613</v>
      </c>
      <c r="K254" s="3">
        <v>205</v>
      </c>
      <c r="L254" s="4" t="s">
        <v>37</v>
      </c>
      <c r="M254" s="5"/>
    </row>
    <row r="255" spans="1:13" ht="14.25" customHeight="1" x14ac:dyDescent="0.3">
      <c r="A255" s="3" t="s">
        <v>494</v>
      </c>
      <c r="B255" s="3" t="s">
        <v>14</v>
      </c>
      <c r="C255" s="3" t="s">
        <v>495</v>
      </c>
      <c r="D255" s="3" t="s">
        <v>52</v>
      </c>
      <c r="E255" s="3" t="s">
        <v>132</v>
      </c>
      <c r="F255" s="3">
        <v>2692</v>
      </c>
      <c r="G255" s="3">
        <v>115</v>
      </c>
      <c r="H255" s="3">
        <v>64</v>
      </c>
      <c r="I255" s="3">
        <v>21536</v>
      </c>
      <c r="J255" s="3">
        <v>21120</v>
      </c>
      <c r="K255" s="3">
        <v>224</v>
      </c>
      <c r="L255" s="4" t="s">
        <v>62</v>
      </c>
      <c r="M255" s="5" t="s">
        <v>25</v>
      </c>
    </row>
    <row r="256" spans="1:13" ht="14.25" customHeight="1" x14ac:dyDescent="0.3">
      <c r="A256" s="3" t="s">
        <v>496</v>
      </c>
      <c r="B256" s="3" t="s">
        <v>43</v>
      </c>
      <c r="C256" s="3" t="s">
        <v>21</v>
      </c>
      <c r="D256" s="3" t="s">
        <v>35</v>
      </c>
      <c r="E256" s="3" t="s">
        <v>71</v>
      </c>
      <c r="F256" s="3">
        <v>3767</v>
      </c>
      <c r="G256" s="3">
        <v>514</v>
      </c>
      <c r="H256" s="3">
        <v>238</v>
      </c>
      <c r="I256" s="3">
        <v>37670</v>
      </c>
      <c r="J256" s="3">
        <v>36807</v>
      </c>
      <c r="K256" s="3">
        <v>226</v>
      </c>
      <c r="L256" s="4" t="s">
        <v>62</v>
      </c>
      <c r="M256" s="5" t="s">
        <v>38</v>
      </c>
    </row>
    <row r="257" spans="1:13" ht="14.25" customHeight="1" x14ac:dyDescent="0.3">
      <c r="A257" s="3" t="s">
        <v>497</v>
      </c>
      <c r="B257" s="3" t="s">
        <v>27</v>
      </c>
      <c r="C257" s="3" t="s">
        <v>252</v>
      </c>
      <c r="D257" s="3" t="s">
        <v>45</v>
      </c>
      <c r="E257" s="3" t="s">
        <v>68</v>
      </c>
      <c r="F257" s="3">
        <v>2143</v>
      </c>
      <c r="G257" s="3">
        <v>12</v>
      </c>
      <c r="H257" s="3">
        <v>204</v>
      </c>
      <c r="I257" s="3">
        <v>40717</v>
      </c>
      <c r="J257" s="3">
        <v>40125</v>
      </c>
      <c r="K257" s="3">
        <v>248</v>
      </c>
      <c r="L257" s="4" t="s">
        <v>37</v>
      </c>
      <c r="M257" s="5" t="s">
        <v>25</v>
      </c>
    </row>
    <row r="258" spans="1:13" ht="14.25" customHeight="1" x14ac:dyDescent="0.3">
      <c r="A258" s="3" t="s">
        <v>498</v>
      </c>
      <c r="B258" s="3" t="s">
        <v>43</v>
      </c>
      <c r="C258" s="3" t="s">
        <v>291</v>
      </c>
      <c r="D258" s="3" t="s">
        <v>52</v>
      </c>
      <c r="E258" s="3" t="s">
        <v>59</v>
      </c>
      <c r="F258" s="3">
        <v>3090</v>
      </c>
      <c r="G258" s="3">
        <v>697</v>
      </c>
      <c r="H258" s="3">
        <v>164</v>
      </c>
      <c r="I258" s="3">
        <v>49440</v>
      </c>
      <c r="J258" s="3">
        <v>48524</v>
      </c>
      <c r="K258" s="3">
        <v>25</v>
      </c>
      <c r="L258" s="4" t="s">
        <v>499</v>
      </c>
      <c r="M258" s="5" t="s">
        <v>25</v>
      </c>
    </row>
    <row r="259" spans="1:13" ht="14.25" customHeight="1" x14ac:dyDescent="0.3">
      <c r="A259" s="3" t="s">
        <v>500</v>
      </c>
      <c r="B259" s="3" t="s">
        <v>33</v>
      </c>
      <c r="C259" s="3" t="s">
        <v>501</v>
      </c>
      <c r="D259" s="3" t="s">
        <v>35</v>
      </c>
      <c r="E259" s="3" t="s">
        <v>36</v>
      </c>
      <c r="F259" s="3">
        <v>3601</v>
      </c>
      <c r="G259" s="3">
        <v>695</v>
      </c>
      <c r="H259" s="3">
        <v>75</v>
      </c>
      <c r="I259" s="3">
        <v>21606</v>
      </c>
      <c r="J259" s="3">
        <v>21454</v>
      </c>
      <c r="K259" s="3">
        <v>172</v>
      </c>
      <c r="L259" s="4" t="s">
        <v>37</v>
      </c>
      <c r="M259" s="5" t="s">
        <v>25</v>
      </c>
    </row>
    <row r="260" spans="1:13" ht="14.25" customHeight="1" x14ac:dyDescent="0.3">
      <c r="A260" s="3" t="s">
        <v>502</v>
      </c>
      <c r="B260" s="3" t="s">
        <v>43</v>
      </c>
      <c r="C260" s="3" t="s">
        <v>249</v>
      </c>
      <c r="D260" s="3" t="s">
        <v>22</v>
      </c>
      <c r="E260" s="3" t="s">
        <v>56</v>
      </c>
      <c r="F260" s="3">
        <v>562</v>
      </c>
      <c r="G260" s="3">
        <v>158</v>
      </c>
      <c r="H260" s="3">
        <v>149</v>
      </c>
      <c r="I260" s="3">
        <v>3372</v>
      </c>
      <c r="J260" s="3">
        <v>2940</v>
      </c>
      <c r="K260" s="3">
        <v>93</v>
      </c>
      <c r="L260" s="4" t="s">
        <v>30</v>
      </c>
      <c r="M260" s="5" t="s">
        <v>19</v>
      </c>
    </row>
    <row r="261" spans="1:13" ht="14.25" customHeight="1" x14ac:dyDescent="0.3">
      <c r="A261" s="3" t="s">
        <v>503</v>
      </c>
      <c r="B261" s="3" t="s">
        <v>33</v>
      </c>
      <c r="C261" s="3" t="s">
        <v>504</v>
      </c>
      <c r="D261" s="3" t="s">
        <v>35</v>
      </c>
      <c r="E261" s="3" t="s">
        <v>36</v>
      </c>
      <c r="F261" s="3">
        <v>4332</v>
      </c>
      <c r="G261" s="3">
        <v>771</v>
      </c>
      <c r="H261" s="3">
        <v>219</v>
      </c>
      <c r="I261" s="3">
        <v>60648</v>
      </c>
      <c r="J261" s="3">
        <v>60397</v>
      </c>
      <c r="K261" s="3">
        <v>10</v>
      </c>
      <c r="L261" s="4" t="s">
        <v>505</v>
      </c>
      <c r="M261" s="5" t="s">
        <v>31</v>
      </c>
    </row>
    <row r="262" spans="1:13" ht="14.25" customHeight="1" x14ac:dyDescent="0.3">
      <c r="A262" s="3" t="s">
        <v>506</v>
      </c>
      <c r="B262" s="3" t="s">
        <v>33</v>
      </c>
      <c r="C262" s="3" t="s">
        <v>507</v>
      </c>
      <c r="D262" s="3" t="s">
        <v>52</v>
      </c>
      <c r="E262" s="3" t="s">
        <v>215</v>
      </c>
      <c r="F262" s="3">
        <v>4853</v>
      </c>
      <c r="G262" s="3">
        <v>837</v>
      </c>
      <c r="H262" s="3">
        <v>340</v>
      </c>
      <c r="I262" s="3">
        <v>72795</v>
      </c>
      <c r="J262" s="3">
        <v>72237</v>
      </c>
      <c r="K262" s="3">
        <v>170</v>
      </c>
      <c r="L262" s="4" t="s">
        <v>37</v>
      </c>
      <c r="M262" s="5" t="s">
        <v>19</v>
      </c>
    </row>
    <row r="263" spans="1:13" ht="14.25" customHeight="1" x14ac:dyDescent="0.3">
      <c r="A263" s="3" t="s">
        <v>508</v>
      </c>
      <c r="B263" s="3" t="s">
        <v>27</v>
      </c>
      <c r="C263" s="3" t="s">
        <v>473</v>
      </c>
      <c r="D263" s="3" t="s">
        <v>52</v>
      </c>
      <c r="E263" s="3" t="s">
        <v>53</v>
      </c>
      <c r="F263" s="3">
        <v>1206</v>
      </c>
      <c r="G263" s="3">
        <v>238</v>
      </c>
      <c r="H263" s="3">
        <v>36</v>
      </c>
      <c r="I263" s="3">
        <v>9648</v>
      </c>
      <c r="J263" s="3">
        <v>9417</v>
      </c>
      <c r="K263" s="3">
        <v>237</v>
      </c>
      <c r="L263" s="4" t="s">
        <v>30</v>
      </c>
      <c r="M263" s="5"/>
    </row>
    <row r="264" spans="1:13" ht="14.25" customHeight="1" x14ac:dyDescent="0.3">
      <c r="A264" s="3" t="s">
        <v>509</v>
      </c>
      <c r="B264" s="3" t="s">
        <v>33</v>
      </c>
      <c r="C264" s="3" t="s">
        <v>510</v>
      </c>
      <c r="D264" s="3" t="s">
        <v>16</v>
      </c>
      <c r="E264" s="3" t="s">
        <v>82</v>
      </c>
      <c r="F264" s="3">
        <v>2603</v>
      </c>
      <c r="G264" s="3">
        <v>690</v>
      </c>
      <c r="H264" s="3">
        <v>205</v>
      </c>
      <c r="I264" s="3">
        <v>13015</v>
      </c>
      <c r="J264" s="3">
        <v>12130</v>
      </c>
      <c r="K264" s="3">
        <v>20</v>
      </c>
      <c r="L264" s="4" t="s">
        <v>62</v>
      </c>
      <c r="M264" s="5" t="s">
        <v>25</v>
      </c>
    </row>
    <row r="265" spans="1:13" ht="14.25" customHeight="1" x14ac:dyDescent="0.3">
      <c r="A265" s="3" t="s">
        <v>511</v>
      </c>
      <c r="B265" s="3" t="s">
        <v>14</v>
      </c>
      <c r="C265" s="3" t="s">
        <v>512</v>
      </c>
      <c r="D265" s="3" t="s">
        <v>52</v>
      </c>
      <c r="E265" s="3" t="s">
        <v>132</v>
      </c>
      <c r="F265" s="3">
        <v>59</v>
      </c>
      <c r="G265" s="3">
        <v>163</v>
      </c>
      <c r="H265" s="3">
        <v>93</v>
      </c>
      <c r="I265" s="3">
        <v>590</v>
      </c>
      <c r="J265" s="3">
        <v>475</v>
      </c>
      <c r="K265" s="3">
        <v>293</v>
      </c>
      <c r="L265" s="4" t="s">
        <v>30</v>
      </c>
      <c r="M265" s="5" t="s">
        <v>25</v>
      </c>
    </row>
    <row r="266" spans="1:13" ht="14.25" customHeight="1" x14ac:dyDescent="0.3">
      <c r="A266" s="3" t="s">
        <v>513</v>
      </c>
      <c r="B266" s="3" t="s">
        <v>14</v>
      </c>
      <c r="C266" s="3" t="s">
        <v>514</v>
      </c>
      <c r="D266" s="3" t="s">
        <v>45</v>
      </c>
      <c r="E266" s="3" t="s">
        <v>49</v>
      </c>
      <c r="F266" s="3">
        <v>1877</v>
      </c>
      <c r="G266" s="3">
        <v>745</v>
      </c>
      <c r="H266" s="3">
        <v>225</v>
      </c>
      <c r="I266" s="3">
        <v>11262</v>
      </c>
      <c r="J266" s="3">
        <v>10967</v>
      </c>
      <c r="K266" s="3">
        <v>41</v>
      </c>
      <c r="L266" s="4" t="s">
        <v>37</v>
      </c>
      <c r="M266" s="5" t="s">
        <v>38</v>
      </c>
    </row>
    <row r="267" spans="1:13" ht="14.25" customHeight="1" x14ac:dyDescent="0.3">
      <c r="A267" s="3" t="s">
        <v>515</v>
      </c>
      <c r="B267" s="3" t="s">
        <v>43</v>
      </c>
      <c r="C267" s="3" t="s">
        <v>129</v>
      </c>
      <c r="D267" s="3" t="s">
        <v>35</v>
      </c>
      <c r="E267" s="3" t="s">
        <v>71</v>
      </c>
      <c r="F267" s="3">
        <v>4182</v>
      </c>
      <c r="G267" s="3">
        <v>640</v>
      </c>
      <c r="H267" s="3">
        <v>240</v>
      </c>
      <c r="I267" s="3">
        <v>50184</v>
      </c>
      <c r="J267" s="3">
        <v>49351</v>
      </c>
      <c r="K267" s="3">
        <v>10</v>
      </c>
      <c r="L267" s="4" t="s">
        <v>30</v>
      </c>
      <c r="M267" s="5" t="s">
        <v>31</v>
      </c>
    </row>
    <row r="268" spans="1:13" ht="14.25" customHeight="1" x14ac:dyDescent="0.3">
      <c r="A268" s="3" t="s">
        <v>516</v>
      </c>
      <c r="B268" s="3" t="s">
        <v>14</v>
      </c>
      <c r="C268" s="3" t="s">
        <v>396</v>
      </c>
      <c r="D268" s="3" t="s">
        <v>16</v>
      </c>
      <c r="E268" s="3" t="s">
        <v>17</v>
      </c>
      <c r="F268" s="3">
        <v>4187</v>
      </c>
      <c r="G268" s="3">
        <v>66</v>
      </c>
      <c r="H268" s="3">
        <v>31</v>
      </c>
      <c r="I268" s="3">
        <v>66992</v>
      </c>
      <c r="J268" s="3">
        <v>66614</v>
      </c>
      <c r="K268" s="3">
        <v>62</v>
      </c>
      <c r="L268" s="4" t="s">
        <v>62</v>
      </c>
      <c r="M268" s="5"/>
    </row>
    <row r="269" spans="1:13" ht="14.25" customHeight="1" x14ac:dyDescent="0.3">
      <c r="A269" s="3" t="s">
        <v>517</v>
      </c>
      <c r="B269" s="3" t="s">
        <v>33</v>
      </c>
      <c r="C269" s="3" t="s">
        <v>518</v>
      </c>
      <c r="D269" s="3" t="s">
        <v>16</v>
      </c>
      <c r="E269" s="3" t="s">
        <v>82</v>
      </c>
      <c r="F269" s="3">
        <v>4579</v>
      </c>
      <c r="G269" s="3">
        <v>125</v>
      </c>
      <c r="H269" s="3">
        <v>300</v>
      </c>
      <c r="I269" s="3">
        <v>59527</v>
      </c>
      <c r="J269" s="3">
        <v>59400</v>
      </c>
      <c r="K269" s="3">
        <v>269</v>
      </c>
      <c r="L269" s="4" t="s">
        <v>37</v>
      </c>
      <c r="M269" s="5" t="s">
        <v>19</v>
      </c>
    </row>
    <row r="270" spans="1:13" ht="14.25" customHeight="1" x14ac:dyDescent="0.3">
      <c r="A270" s="3" t="s">
        <v>519</v>
      </c>
      <c r="B270" s="3" t="s">
        <v>33</v>
      </c>
      <c r="C270" s="3" t="s">
        <v>520</v>
      </c>
      <c r="D270" s="3" t="s">
        <v>74</v>
      </c>
      <c r="E270" s="3" t="s">
        <v>85</v>
      </c>
      <c r="F270" s="3">
        <v>4561</v>
      </c>
      <c r="G270" s="3">
        <v>51</v>
      </c>
      <c r="H270" s="3">
        <v>441</v>
      </c>
      <c r="I270" s="3">
        <v>22805</v>
      </c>
      <c r="J270" s="3">
        <v>21890</v>
      </c>
      <c r="K270" s="3">
        <v>45</v>
      </c>
      <c r="L270" s="4" t="s">
        <v>30</v>
      </c>
      <c r="M270" s="5" t="s">
        <v>25</v>
      </c>
    </row>
    <row r="271" spans="1:13" ht="14.25" customHeight="1" x14ac:dyDescent="0.3">
      <c r="A271" s="3" t="s">
        <v>521</v>
      </c>
      <c r="B271" s="3" t="s">
        <v>27</v>
      </c>
      <c r="C271" s="3" t="s">
        <v>414</v>
      </c>
      <c r="D271" s="3" t="s">
        <v>16</v>
      </c>
      <c r="E271" s="3" t="s">
        <v>29</v>
      </c>
      <c r="F271" s="3">
        <v>3774</v>
      </c>
      <c r="G271" s="3">
        <v>239</v>
      </c>
      <c r="H271" s="3">
        <v>39</v>
      </c>
      <c r="I271" s="3">
        <v>60384</v>
      </c>
      <c r="J271" s="3">
        <v>59490</v>
      </c>
      <c r="K271" s="3">
        <v>241</v>
      </c>
      <c r="L271" s="4" t="s">
        <v>30</v>
      </c>
      <c r="M271" s="5" t="s">
        <v>31</v>
      </c>
    </row>
    <row r="272" spans="1:13" ht="14.25" customHeight="1" x14ac:dyDescent="0.3">
      <c r="A272" s="3" t="s">
        <v>522</v>
      </c>
      <c r="B272" s="3" t="s">
        <v>33</v>
      </c>
      <c r="C272" s="3" t="s">
        <v>523</v>
      </c>
      <c r="D272" s="3" t="s">
        <v>74</v>
      </c>
      <c r="E272" s="3" t="s">
        <v>85</v>
      </c>
      <c r="F272" s="3">
        <v>3575</v>
      </c>
      <c r="G272" s="3">
        <v>749</v>
      </c>
      <c r="H272" s="3">
        <v>111</v>
      </c>
      <c r="I272" s="3">
        <v>21450</v>
      </c>
      <c r="J272" s="3">
        <v>20785</v>
      </c>
      <c r="K272" s="3">
        <v>195</v>
      </c>
      <c r="L272" s="4" t="s">
        <v>37</v>
      </c>
      <c r="M272" s="5" t="s">
        <v>25</v>
      </c>
    </row>
    <row r="273" spans="1:13" ht="14.25" customHeight="1" x14ac:dyDescent="0.3">
      <c r="A273" s="3" t="s">
        <v>524</v>
      </c>
      <c r="B273" s="3" t="s">
        <v>33</v>
      </c>
      <c r="C273" s="3" t="s">
        <v>490</v>
      </c>
      <c r="D273" s="3" t="s">
        <v>22</v>
      </c>
      <c r="E273" s="3" t="s">
        <v>113</v>
      </c>
      <c r="F273" s="3">
        <v>4941</v>
      </c>
      <c r="G273" s="3">
        <v>414</v>
      </c>
      <c r="H273" s="3">
        <v>266</v>
      </c>
      <c r="I273" s="3">
        <v>39528</v>
      </c>
      <c r="J273" s="3">
        <v>39154</v>
      </c>
      <c r="K273" s="3">
        <v>217</v>
      </c>
      <c r="L273" s="4" t="s">
        <v>30</v>
      </c>
      <c r="M273" s="5" t="s">
        <v>31</v>
      </c>
    </row>
    <row r="274" spans="1:13" ht="14.25" customHeight="1" x14ac:dyDescent="0.3">
      <c r="A274" s="3" t="s">
        <v>525</v>
      </c>
      <c r="B274" s="3" t="s">
        <v>27</v>
      </c>
      <c r="C274" s="3" t="s">
        <v>526</v>
      </c>
      <c r="D274" s="3" t="s">
        <v>35</v>
      </c>
      <c r="E274" s="3" t="s">
        <v>154</v>
      </c>
      <c r="F274" s="3">
        <v>3641</v>
      </c>
      <c r="G274" s="3">
        <v>226</v>
      </c>
      <c r="H274" s="3">
        <v>46</v>
      </c>
      <c r="I274" s="3">
        <v>40051</v>
      </c>
      <c r="J274" s="3">
        <v>39319</v>
      </c>
      <c r="K274" s="3">
        <v>296</v>
      </c>
      <c r="L274" s="4" t="s">
        <v>37</v>
      </c>
      <c r="M274" s="5" t="s">
        <v>38</v>
      </c>
    </row>
    <row r="275" spans="1:13" ht="14.25" customHeight="1" x14ac:dyDescent="0.3">
      <c r="A275" s="3" t="s">
        <v>527</v>
      </c>
      <c r="B275" s="3" t="s">
        <v>14</v>
      </c>
      <c r="C275" s="3" t="s">
        <v>336</v>
      </c>
      <c r="D275" s="3" t="s">
        <v>45</v>
      </c>
      <c r="E275" s="3" t="s">
        <v>49</v>
      </c>
      <c r="F275" s="3">
        <v>3535</v>
      </c>
      <c r="G275" s="3">
        <v>494</v>
      </c>
      <c r="H275" s="3">
        <v>152</v>
      </c>
      <c r="I275" s="3">
        <v>53025</v>
      </c>
      <c r="J275" s="3">
        <v>52791</v>
      </c>
      <c r="K275" s="3">
        <v>44</v>
      </c>
      <c r="L275" s="4" t="s">
        <v>30</v>
      </c>
      <c r="M275" s="5" t="s">
        <v>38</v>
      </c>
    </row>
    <row r="276" spans="1:13" ht="14.25" customHeight="1" x14ac:dyDescent="0.3">
      <c r="A276" s="3" t="s">
        <v>528</v>
      </c>
      <c r="B276" s="3" t="s">
        <v>43</v>
      </c>
      <c r="C276" s="3" t="s">
        <v>501</v>
      </c>
      <c r="D276" s="3" t="s">
        <v>16</v>
      </c>
      <c r="E276" s="3" t="s">
        <v>65</v>
      </c>
      <c r="F276" s="3">
        <v>1741</v>
      </c>
      <c r="G276" s="3">
        <v>831</v>
      </c>
      <c r="H276" s="3">
        <v>345</v>
      </c>
      <c r="I276" s="3">
        <v>17410</v>
      </c>
      <c r="J276" s="3">
        <v>16844</v>
      </c>
      <c r="K276" s="3">
        <v>58</v>
      </c>
      <c r="L276" s="4" t="s">
        <v>37</v>
      </c>
      <c r="M276" s="5" t="s">
        <v>31</v>
      </c>
    </row>
    <row r="277" spans="1:13" ht="14.25" customHeight="1" x14ac:dyDescent="0.3">
      <c r="A277" s="3" t="s">
        <v>529</v>
      </c>
      <c r="B277" s="3" t="s">
        <v>14</v>
      </c>
      <c r="C277" s="3" t="s">
        <v>530</v>
      </c>
      <c r="D277" s="3" t="s">
        <v>45</v>
      </c>
      <c r="E277" s="3" t="s">
        <v>49</v>
      </c>
      <c r="F277" s="3">
        <v>1556</v>
      </c>
      <c r="G277" s="3">
        <v>195</v>
      </c>
      <c r="H277" s="3">
        <v>131</v>
      </c>
      <c r="I277" s="3">
        <v>9336</v>
      </c>
      <c r="J277" s="3">
        <v>8875</v>
      </c>
      <c r="K277" s="3">
        <v>137</v>
      </c>
      <c r="L277" s="4" t="s">
        <v>30</v>
      </c>
      <c r="M277" s="5" t="s">
        <v>25</v>
      </c>
    </row>
    <row r="278" spans="1:13" ht="14.25" customHeight="1" x14ac:dyDescent="0.3">
      <c r="A278" s="3" t="s">
        <v>531</v>
      </c>
      <c r="B278" s="3" t="s">
        <v>43</v>
      </c>
      <c r="C278" s="3" t="s">
        <v>291</v>
      </c>
      <c r="D278" s="3" t="s">
        <v>52</v>
      </c>
      <c r="E278" s="3" t="s">
        <v>59</v>
      </c>
      <c r="F278" s="3">
        <v>4236</v>
      </c>
      <c r="G278" s="3">
        <v>711</v>
      </c>
      <c r="H278" s="3">
        <v>298</v>
      </c>
      <c r="I278" s="3">
        <v>21180</v>
      </c>
      <c r="J278" s="3">
        <v>20516</v>
      </c>
      <c r="K278" s="3">
        <v>238</v>
      </c>
      <c r="L278" s="4" t="s">
        <v>62</v>
      </c>
      <c r="M278" s="5" t="s">
        <v>19</v>
      </c>
    </row>
    <row r="279" spans="1:13" ht="14.25" customHeight="1" x14ac:dyDescent="0.3">
      <c r="A279" s="3" t="s">
        <v>532</v>
      </c>
      <c r="B279" s="3" t="s">
        <v>14</v>
      </c>
      <c r="C279" s="3" t="s">
        <v>533</v>
      </c>
      <c r="D279" s="3" t="s">
        <v>22</v>
      </c>
      <c r="E279" s="3" t="s">
        <v>23</v>
      </c>
      <c r="F279" s="3">
        <v>4516</v>
      </c>
      <c r="G279" s="3">
        <v>836</v>
      </c>
      <c r="H279" s="3">
        <v>169</v>
      </c>
      <c r="I279" s="3">
        <v>49676</v>
      </c>
      <c r="J279" s="3">
        <v>49257</v>
      </c>
      <c r="K279" s="3">
        <v>282</v>
      </c>
      <c r="L279" s="4" t="s">
        <v>37</v>
      </c>
      <c r="M279" s="5" t="s">
        <v>38</v>
      </c>
    </row>
    <row r="280" spans="1:13" ht="14.25" customHeight="1" x14ac:dyDescent="0.3">
      <c r="A280" s="3" t="s">
        <v>534</v>
      </c>
      <c r="B280" s="3" t="s">
        <v>27</v>
      </c>
      <c r="C280" s="3" t="s">
        <v>195</v>
      </c>
      <c r="D280" s="3" t="s">
        <v>52</v>
      </c>
      <c r="E280" s="3" t="s">
        <v>53</v>
      </c>
      <c r="F280" s="3">
        <v>4905</v>
      </c>
      <c r="G280" s="3">
        <v>845</v>
      </c>
      <c r="H280" s="3">
        <v>129</v>
      </c>
      <c r="I280" s="3">
        <v>98100</v>
      </c>
      <c r="J280" s="3">
        <v>97772</v>
      </c>
      <c r="K280" s="3">
        <v>279</v>
      </c>
      <c r="L280" s="4" t="s">
        <v>30</v>
      </c>
      <c r="M280" s="5" t="s">
        <v>25</v>
      </c>
    </row>
    <row r="281" spans="1:13" ht="14.25" customHeight="1" x14ac:dyDescent="0.3">
      <c r="A281" s="3" t="s">
        <v>535</v>
      </c>
      <c r="B281" s="3" t="s">
        <v>27</v>
      </c>
      <c r="C281" s="3" t="s">
        <v>168</v>
      </c>
      <c r="D281" s="3" t="s">
        <v>74</v>
      </c>
      <c r="E281" s="3" t="s">
        <v>219</v>
      </c>
      <c r="F281" s="3">
        <v>4275</v>
      </c>
      <c r="G281" s="3">
        <v>680</v>
      </c>
      <c r="H281" s="3">
        <v>385</v>
      </c>
      <c r="I281" s="3">
        <v>64125</v>
      </c>
      <c r="J281" s="3">
        <v>63650</v>
      </c>
      <c r="K281" s="3">
        <v>104</v>
      </c>
      <c r="L281" s="4" t="s">
        <v>175</v>
      </c>
      <c r="M281" s="5" t="s">
        <v>38</v>
      </c>
    </row>
    <row r="282" spans="1:13" ht="14.25" customHeight="1" x14ac:dyDescent="0.3">
      <c r="A282" s="3" t="s">
        <v>536</v>
      </c>
      <c r="B282" s="3" t="s">
        <v>27</v>
      </c>
      <c r="C282" s="3" t="s">
        <v>537</v>
      </c>
      <c r="D282" s="3" t="s">
        <v>52</v>
      </c>
      <c r="E282" s="3" t="s">
        <v>53</v>
      </c>
      <c r="F282" s="3">
        <v>3166</v>
      </c>
      <c r="G282" s="3">
        <v>90</v>
      </c>
      <c r="H282" s="3">
        <v>341</v>
      </c>
      <c r="I282" s="3">
        <v>56988</v>
      </c>
      <c r="J282" s="3">
        <v>56125</v>
      </c>
      <c r="K282" s="3">
        <v>135</v>
      </c>
      <c r="L282" s="4" t="s">
        <v>37</v>
      </c>
      <c r="M282" s="5" t="s">
        <v>25</v>
      </c>
    </row>
    <row r="283" spans="1:13" ht="14.25" customHeight="1" x14ac:dyDescent="0.3">
      <c r="A283" s="3" t="s">
        <v>538</v>
      </c>
      <c r="B283" s="3" t="s">
        <v>33</v>
      </c>
      <c r="C283" s="3" t="s">
        <v>539</v>
      </c>
      <c r="D283" s="3" t="s">
        <v>74</v>
      </c>
      <c r="E283" s="3" t="s">
        <v>85</v>
      </c>
      <c r="F283" s="3">
        <v>1488</v>
      </c>
      <c r="G283" s="3">
        <v>417</v>
      </c>
      <c r="H283" s="3">
        <v>168</v>
      </c>
      <c r="I283" s="3">
        <v>19344</v>
      </c>
      <c r="J283" s="3">
        <v>18395</v>
      </c>
      <c r="K283" s="3">
        <v>30</v>
      </c>
      <c r="L283" s="4" t="s">
        <v>62</v>
      </c>
      <c r="M283" s="5" t="s">
        <v>31</v>
      </c>
    </row>
    <row r="284" spans="1:13" ht="14.25" customHeight="1" x14ac:dyDescent="0.3">
      <c r="A284" s="3" t="s">
        <v>540</v>
      </c>
      <c r="B284" s="3" t="s">
        <v>14</v>
      </c>
      <c r="C284" s="3" t="s">
        <v>541</v>
      </c>
      <c r="D284" s="3" t="s">
        <v>16</v>
      </c>
      <c r="E284" s="3" t="s">
        <v>17</v>
      </c>
      <c r="F284" s="3">
        <v>3367</v>
      </c>
      <c r="G284" s="3">
        <v>302</v>
      </c>
      <c r="H284" s="3">
        <v>57</v>
      </c>
      <c r="I284" s="3">
        <v>63973</v>
      </c>
      <c r="J284" s="3">
        <v>63789</v>
      </c>
      <c r="K284" s="3">
        <v>157</v>
      </c>
      <c r="L284" s="4" t="s">
        <v>62</v>
      </c>
      <c r="M284" s="5" t="s">
        <v>25</v>
      </c>
    </row>
    <row r="285" spans="1:13" ht="14.25" customHeight="1" x14ac:dyDescent="0.3">
      <c r="A285" s="3" t="s">
        <v>542</v>
      </c>
      <c r="B285" s="3" t="s">
        <v>14</v>
      </c>
      <c r="C285" s="3" t="s">
        <v>103</v>
      </c>
      <c r="D285" s="3" t="s">
        <v>22</v>
      </c>
      <c r="E285" s="3" t="s">
        <v>23</v>
      </c>
      <c r="F285" s="3">
        <v>571</v>
      </c>
      <c r="G285" s="3">
        <v>190</v>
      </c>
      <c r="H285" s="3">
        <v>352</v>
      </c>
      <c r="I285" s="3">
        <v>9707</v>
      </c>
      <c r="J285" s="3">
        <v>9418</v>
      </c>
      <c r="K285" s="3">
        <v>231</v>
      </c>
      <c r="L285" s="4" t="s">
        <v>30</v>
      </c>
      <c r="M285" s="5" t="s">
        <v>38</v>
      </c>
    </row>
    <row r="286" spans="1:13" ht="14.25" customHeight="1" x14ac:dyDescent="0.3">
      <c r="A286" s="3" t="s">
        <v>543</v>
      </c>
      <c r="B286" s="3" t="s">
        <v>27</v>
      </c>
      <c r="C286" s="3" t="s">
        <v>430</v>
      </c>
      <c r="D286" s="3" t="s">
        <v>22</v>
      </c>
      <c r="E286" s="3" t="s">
        <v>104</v>
      </c>
      <c r="F286" s="3">
        <v>4021</v>
      </c>
      <c r="G286" s="3">
        <v>794</v>
      </c>
      <c r="H286" s="3">
        <v>77</v>
      </c>
      <c r="I286" s="3">
        <v>36189</v>
      </c>
      <c r="J286" s="3">
        <v>35505</v>
      </c>
      <c r="K286" s="3">
        <v>174</v>
      </c>
      <c r="L286" s="4" t="s">
        <v>37</v>
      </c>
      <c r="M286" s="5"/>
    </row>
    <row r="287" spans="1:13" ht="14.25" customHeight="1" x14ac:dyDescent="0.3">
      <c r="A287" s="3" t="s">
        <v>544</v>
      </c>
      <c r="B287" s="3" t="s">
        <v>27</v>
      </c>
      <c r="C287" s="3" t="s">
        <v>545</v>
      </c>
      <c r="D287" s="3" t="s">
        <v>74</v>
      </c>
      <c r="E287" s="3" t="s">
        <v>219</v>
      </c>
      <c r="F287" s="3">
        <v>3389</v>
      </c>
      <c r="G287" s="3">
        <v>344</v>
      </c>
      <c r="H287" s="3">
        <v>229</v>
      </c>
      <c r="I287" s="3">
        <v>20334</v>
      </c>
      <c r="J287" s="3">
        <v>19443</v>
      </c>
      <c r="K287" s="3">
        <v>228</v>
      </c>
      <c r="L287" s="4" t="s">
        <v>62</v>
      </c>
      <c r="M287" s="5" t="s">
        <v>31</v>
      </c>
    </row>
    <row r="288" spans="1:13" ht="14.25" customHeight="1" x14ac:dyDescent="0.3">
      <c r="A288" s="3" t="s">
        <v>546</v>
      </c>
      <c r="B288" s="3" t="s">
        <v>33</v>
      </c>
      <c r="C288" s="3" t="s">
        <v>404</v>
      </c>
      <c r="D288" s="3" t="s">
        <v>16</v>
      </c>
      <c r="E288" s="3" t="s">
        <v>82</v>
      </c>
      <c r="F288" s="3">
        <v>1164</v>
      </c>
      <c r="G288" s="3">
        <v>616</v>
      </c>
      <c r="H288" s="3">
        <v>324</v>
      </c>
      <c r="I288" s="3">
        <v>6984</v>
      </c>
      <c r="J288" s="3">
        <v>6636</v>
      </c>
      <c r="K288" s="3">
        <v>82</v>
      </c>
      <c r="L288" s="4" t="s">
        <v>37</v>
      </c>
      <c r="M288" s="5" t="s">
        <v>19</v>
      </c>
    </row>
    <row r="289" spans="1:13" ht="14.25" customHeight="1" x14ac:dyDescent="0.3">
      <c r="A289" s="3" t="s">
        <v>547</v>
      </c>
      <c r="B289" s="3" t="s">
        <v>27</v>
      </c>
      <c r="C289" s="3" t="s">
        <v>548</v>
      </c>
      <c r="D289" s="3" t="s">
        <v>45</v>
      </c>
      <c r="E289" s="3" t="s">
        <v>68</v>
      </c>
      <c r="F289" s="3">
        <v>4780</v>
      </c>
      <c r="G289" s="3">
        <v>691</v>
      </c>
      <c r="H289" s="3">
        <v>380</v>
      </c>
      <c r="I289" s="3">
        <v>86040</v>
      </c>
      <c r="J289" s="3">
        <v>85743</v>
      </c>
      <c r="K289" s="3">
        <v>262</v>
      </c>
      <c r="L289" s="4" t="s">
        <v>62</v>
      </c>
      <c r="M289" s="5" t="s">
        <v>31</v>
      </c>
    </row>
    <row r="290" spans="1:13" ht="14.25" customHeight="1" x14ac:dyDescent="0.3">
      <c r="A290" s="3" t="s">
        <v>549</v>
      </c>
      <c r="B290" s="3" t="s">
        <v>43</v>
      </c>
      <c r="C290" s="3" t="s">
        <v>307</v>
      </c>
      <c r="D290" s="3" t="s">
        <v>45</v>
      </c>
      <c r="E290" s="3" t="s">
        <v>46</v>
      </c>
      <c r="F290" s="3">
        <v>2751</v>
      </c>
      <c r="G290" s="3">
        <v>33</v>
      </c>
      <c r="H290" s="3">
        <v>430</v>
      </c>
      <c r="I290" s="3">
        <v>44016</v>
      </c>
      <c r="J290" s="3">
        <v>43415</v>
      </c>
      <c r="K290" s="3">
        <v>129</v>
      </c>
      <c r="L290" s="4" t="s">
        <v>62</v>
      </c>
      <c r="M290" s="5"/>
    </row>
    <row r="291" spans="1:13" ht="14.25" customHeight="1" x14ac:dyDescent="0.3">
      <c r="A291" s="3" t="s">
        <v>550</v>
      </c>
      <c r="B291" s="3" t="s">
        <v>33</v>
      </c>
      <c r="C291" s="3" t="s">
        <v>551</v>
      </c>
      <c r="D291" s="3" t="s">
        <v>45</v>
      </c>
      <c r="E291" s="3" t="s">
        <v>88</v>
      </c>
      <c r="F291" s="3">
        <v>2107</v>
      </c>
      <c r="G291" s="3">
        <v>550</v>
      </c>
      <c r="H291" s="3">
        <v>349</v>
      </c>
      <c r="I291" s="3">
        <v>35819</v>
      </c>
      <c r="J291" s="3">
        <v>35340</v>
      </c>
      <c r="K291" s="3">
        <v>191</v>
      </c>
      <c r="L291" s="4" t="s">
        <v>37</v>
      </c>
      <c r="M291" s="5" t="s">
        <v>38</v>
      </c>
    </row>
    <row r="292" spans="1:13" ht="14.25" customHeight="1" x14ac:dyDescent="0.3">
      <c r="A292" s="3" t="s">
        <v>552</v>
      </c>
      <c r="B292" s="3" t="s">
        <v>43</v>
      </c>
      <c r="C292" s="3" t="s">
        <v>94</v>
      </c>
      <c r="D292" s="3" t="s">
        <v>74</v>
      </c>
      <c r="E292" s="3" t="s">
        <v>75</v>
      </c>
      <c r="F292" s="3">
        <v>4663</v>
      </c>
      <c r="G292" s="3">
        <v>145</v>
      </c>
      <c r="H292" s="3">
        <v>225</v>
      </c>
      <c r="I292" s="3">
        <v>69945</v>
      </c>
      <c r="J292" s="3">
        <v>69596</v>
      </c>
      <c r="K292" s="3">
        <v>35</v>
      </c>
      <c r="L292" s="4" t="s">
        <v>37</v>
      </c>
      <c r="M292" s="5" t="s">
        <v>38</v>
      </c>
    </row>
    <row r="293" spans="1:13" ht="14.25" customHeight="1" x14ac:dyDescent="0.3">
      <c r="A293" s="3" t="s">
        <v>553</v>
      </c>
      <c r="B293" s="3" t="s">
        <v>43</v>
      </c>
      <c r="C293" s="3" t="s">
        <v>554</v>
      </c>
      <c r="D293" s="3" t="s">
        <v>22</v>
      </c>
      <c r="E293" s="3" t="s">
        <v>56</v>
      </c>
      <c r="F293" s="3">
        <v>880</v>
      </c>
      <c r="G293" s="3">
        <v>297</v>
      </c>
      <c r="H293" s="3">
        <v>345</v>
      </c>
      <c r="I293" s="3">
        <v>12320</v>
      </c>
      <c r="J293" s="3">
        <v>11978</v>
      </c>
      <c r="K293" s="3">
        <v>238</v>
      </c>
      <c r="L293" s="4" t="s">
        <v>95</v>
      </c>
      <c r="M293" s="5"/>
    </row>
    <row r="294" spans="1:13" ht="14.25" customHeight="1" x14ac:dyDescent="0.3">
      <c r="A294" s="3" t="s">
        <v>555</v>
      </c>
      <c r="B294" s="3" t="s">
        <v>43</v>
      </c>
      <c r="C294" s="3" t="s">
        <v>556</v>
      </c>
      <c r="D294" s="3" t="s">
        <v>22</v>
      </c>
      <c r="E294" s="3" t="s">
        <v>56</v>
      </c>
      <c r="F294" s="3">
        <v>2634</v>
      </c>
      <c r="G294" s="3">
        <v>726</v>
      </c>
      <c r="H294" s="3">
        <v>241</v>
      </c>
      <c r="I294" s="3">
        <v>28974</v>
      </c>
      <c r="J294" s="3">
        <v>28102</v>
      </c>
      <c r="K294" s="3">
        <v>277</v>
      </c>
      <c r="L294" s="4" t="s">
        <v>37</v>
      </c>
      <c r="M294" s="5" t="s">
        <v>19</v>
      </c>
    </row>
    <row r="295" spans="1:13" ht="14.25" customHeight="1" x14ac:dyDescent="0.3">
      <c r="A295" s="3" t="s">
        <v>557</v>
      </c>
      <c r="B295" s="3" t="s">
        <v>43</v>
      </c>
      <c r="C295" s="3" t="s">
        <v>558</v>
      </c>
      <c r="D295" s="3" t="s">
        <v>45</v>
      </c>
      <c r="E295" s="3" t="s">
        <v>46</v>
      </c>
      <c r="F295" s="3">
        <v>4731</v>
      </c>
      <c r="G295" s="3">
        <v>173</v>
      </c>
      <c r="H295" s="3">
        <v>276</v>
      </c>
      <c r="I295" s="3">
        <v>28386</v>
      </c>
      <c r="J295" s="3">
        <v>28185</v>
      </c>
      <c r="K295" s="3">
        <v>89</v>
      </c>
      <c r="L295" s="4" t="s">
        <v>37</v>
      </c>
      <c r="M295" s="5" t="s">
        <v>31</v>
      </c>
    </row>
    <row r="296" spans="1:13" ht="14.25" customHeight="1" x14ac:dyDescent="0.3">
      <c r="A296" s="3" t="s">
        <v>559</v>
      </c>
      <c r="B296" s="3" t="s">
        <v>14</v>
      </c>
      <c r="C296" s="3" t="s">
        <v>436</v>
      </c>
      <c r="D296" s="3" t="s">
        <v>52</v>
      </c>
      <c r="E296" s="3" t="s">
        <v>132</v>
      </c>
      <c r="F296" s="3">
        <v>1952</v>
      </c>
      <c r="G296" s="3">
        <v>344</v>
      </c>
      <c r="H296" s="3">
        <v>287</v>
      </c>
      <c r="I296" s="3">
        <v>15616</v>
      </c>
      <c r="J296" s="3">
        <v>15403</v>
      </c>
      <c r="K296" s="3">
        <v>235</v>
      </c>
      <c r="L296" s="4" t="s">
        <v>216</v>
      </c>
      <c r="M296" s="5" t="s">
        <v>25</v>
      </c>
    </row>
    <row r="297" spans="1:13" ht="14.25" customHeight="1" x14ac:dyDescent="0.3">
      <c r="A297" s="3" t="s">
        <v>560</v>
      </c>
      <c r="B297" s="3" t="s">
        <v>14</v>
      </c>
      <c r="C297" s="3" t="s">
        <v>561</v>
      </c>
      <c r="D297" s="3" t="s">
        <v>74</v>
      </c>
      <c r="E297" s="3" t="s">
        <v>145</v>
      </c>
      <c r="F297" s="3">
        <v>3440</v>
      </c>
      <c r="G297" s="3">
        <v>13</v>
      </c>
      <c r="H297" s="3">
        <v>20</v>
      </c>
      <c r="I297" s="3">
        <v>58480</v>
      </c>
      <c r="J297" s="3">
        <v>58146</v>
      </c>
      <c r="K297" s="3">
        <v>210</v>
      </c>
      <c r="L297" s="4" t="s">
        <v>421</v>
      </c>
      <c r="M297" s="5" t="s">
        <v>38</v>
      </c>
    </row>
    <row r="298" spans="1:13" ht="14.25" customHeight="1" x14ac:dyDescent="0.3">
      <c r="A298" s="3" t="s">
        <v>562</v>
      </c>
      <c r="B298" s="3" t="s">
        <v>14</v>
      </c>
      <c r="C298" s="3" t="s">
        <v>563</v>
      </c>
      <c r="D298" s="3" t="s">
        <v>22</v>
      </c>
      <c r="E298" s="3" t="s">
        <v>23</v>
      </c>
      <c r="F298" s="3">
        <v>2166</v>
      </c>
      <c r="G298" s="3">
        <v>354</v>
      </c>
      <c r="H298" s="3">
        <v>117</v>
      </c>
      <c r="I298" s="3">
        <v>10830</v>
      </c>
      <c r="J298" s="3">
        <v>10245</v>
      </c>
      <c r="K298" s="3">
        <v>24</v>
      </c>
      <c r="L298" s="4" t="s">
        <v>37</v>
      </c>
      <c r="M298" s="5" t="s">
        <v>38</v>
      </c>
    </row>
    <row r="299" spans="1:13" ht="14.25" customHeight="1" x14ac:dyDescent="0.3">
      <c r="A299" s="3" t="s">
        <v>564</v>
      </c>
      <c r="B299" s="3" t="s">
        <v>43</v>
      </c>
      <c r="C299" s="3" t="s">
        <v>73</v>
      </c>
      <c r="D299" s="3" t="s">
        <v>52</v>
      </c>
      <c r="E299" s="3" t="s">
        <v>59</v>
      </c>
      <c r="F299" s="3">
        <v>4303</v>
      </c>
      <c r="G299" s="3">
        <v>451</v>
      </c>
      <c r="H299" s="3">
        <v>286</v>
      </c>
      <c r="I299" s="3">
        <v>86060</v>
      </c>
      <c r="J299" s="3">
        <v>85823</v>
      </c>
      <c r="K299" s="3">
        <v>14</v>
      </c>
      <c r="L299" s="4" t="s">
        <v>30</v>
      </c>
      <c r="M299" s="5" t="s">
        <v>31</v>
      </c>
    </row>
    <row r="300" spans="1:13" ht="14.25" customHeight="1" x14ac:dyDescent="0.3">
      <c r="A300" s="3" t="s">
        <v>565</v>
      </c>
      <c r="B300" s="3" t="s">
        <v>43</v>
      </c>
      <c r="C300" s="3" t="s">
        <v>77</v>
      </c>
      <c r="D300" s="3" t="s">
        <v>52</v>
      </c>
      <c r="E300" s="3" t="s">
        <v>59</v>
      </c>
      <c r="F300" s="3">
        <v>2581</v>
      </c>
      <c r="G300" s="3">
        <v>517</v>
      </c>
      <c r="H300" s="3">
        <v>117</v>
      </c>
      <c r="I300" s="3">
        <v>23229</v>
      </c>
      <c r="J300" s="3">
        <v>22331</v>
      </c>
      <c r="K300" s="3">
        <v>70</v>
      </c>
      <c r="L300" s="4" t="s">
        <v>62</v>
      </c>
      <c r="M300" s="5" t="s">
        <v>31</v>
      </c>
    </row>
    <row r="301" spans="1:13" ht="14.25" customHeight="1" x14ac:dyDescent="0.3">
      <c r="A301" s="3" t="s">
        <v>566</v>
      </c>
      <c r="B301" s="3" t="s">
        <v>14</v>
      </c>
      <c r="C301" s="3" t="s">
        <v>318</v>
      </c>
      <c r="D301" s="3" t="s">
        <v>45</v>
      </c>
      <c r="E301" s="3" t="s">
        <v>49</v>
      </c>
      <c r="F301" s="3">
        <v>4494</v>
      </c>
      <c r="G301" s="3">
        <v>717</v>
      </c>
      <c r="H301" s="3">
        <v>45</v>
      </c>
      <c r="I301" s="3">
        <v>62916</v>
      </c>
      <c r="J301" s="3">
        <v>62688</v>
      </c>
      <c r="K301" s="3">
        <v>191</v>
      </c>
      <c r="L301" s="4" t="s">
        <v>505</v>
      </c>
      <c r="M301" s="5" t="s">
        <v>19</v>
      </c>
    </row>
    <row r="302" spans="1:13" ht="14.25" customHeight="1" x14ac:dyDescent="0.3"/>
    <row r="303" spans="1:13" ht="14.25" customHeight="1" x14ac:dyDescent="0.3"/>
    <row r="304" spans="1:13"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Z301" xr:uid="{00000000-0009-0000-00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9E4EF-4A9D-4A3D-8166-A8BB0F089900}">
  <sheetPr codeName="Sheet3"/>
  <dimension ref="A1:T1000"/>
  <sheetViews>
    <sheetView topLeftCell="L1" zoomScale="126" workbookViewId="0">
      <selection activeCell="N8" sqref="N8"/>
    </sheetView>
  </sheetViews>
  <sheetFormatPr defaultColWidth="14.44140625" defaultRowHeight="15" customHeight="1" x14ac:dyDescent="0.3"/>
  <cols>
    <col min="1" max="1" width="8.77734375" customWidth="1"/>
    <col min="2" max="2" width="22.6640625" customWidth="1"/>
    <col min="3" max="3" width="24.6640625" customWidth="1"/>
    <col min="4" max="4" width="14.21875" customWidth="1"/>
    <col min="5" max="5" width="10.5546875" customWidth="1"/>
    <col min="6" max="7" width="8.6640625" customWidth="1"/>
    <col min="8" max="8" width="12" customWidth="1"/>
    <col min="9" max="9" width="12.88671875" customWidth="1"/>
    <col min="10" max="10" width="8.6640625" customWidth="1"/>
    <col min="11" max="11" width="15.6640625" customWidth="1"/>
    <col min="12" max="12" width="29.44140625" customWidth="1"/>
    <col min="13" max="13" width="31.6640625" customWidth="1"/>
    <col min="14" max="14" width="21.21875" bestFit="1" customWidth="1"/>
    <col min="15" max="15" width="20.33203125" bestFit="1" customWidth="1"/>
    <col min="16" max="16" width="21" bestFit="1" customWidth="1"/>
    <col min="17" max="17" width="13.77734375" bestFit="1" customWidth="1"/>
    <col min="18" max="18" width="13" bestFit="1" customWidth="1"/>
    <col min="19" max="26" width="8.6640625" customWidth="1"/>
  </cols>
  <sheetData>
    <row r="1" spans="1:20" ht="14.25" customHeight="1" x14ac:dyDescent="0.3">
      <c r="A1" s="9" t="s">
        <v>0</v>
      </c>
      <c r="B1" s="10" t="s">
        <v>1</v>
      </c>
      <c r="C1" s="9" t="s">
        <v>2</v>
      </c>
      <c r="D1" s="10" t="s">
        <v>3</v>
      </c>
      <c r="E1" s="10" t="s">
        <v>4</v>
      </c>
      <c r="F1" s="9" t="s">
        <v>5</v>
      </c>
      <c r="G1" s="9" t="s">
        <v>6</v>
      </c>
      <c r="H1" s="10" t="s">
        <v>7</v>
      </c>
      <c r="I1" s="10" t="s">
        <v>8</v>
      </c>
      <c r="J1" s="9" t="s">
        <v>9</v>
      </c>
      <c r="K1" s="9" t="s">
        <v>10</v>
      </c>
      <c r="L1" s="9" t="s">
        <v>11</v>
      </c>
      <c r="M1" s="10" t="s">
        <v>12</v>
      </c>
      <c r="N1" s="9" t="s">
        <v>612</v>
      </c>
      <c r="O1" s="9" t="s">
        <v>613</v>
      </c>
      <c r="P1" s="9" t="s">
        <v>614</v>
      </c>
      <c r="Q1" s="9" t="s">
        <v>615</v>
      </c>
      <c r="R1" s="9" t="s">
        <v>616</v>
      </c>
      <c r="S1" s="9" t="s">
        <v>617</v>
      </c>
      <c r="T1" s="9" t="s">
        <v>634</v>
      </c>
    </row>
    <row r="2" spans="1:20" ht="14.25" customHeight="1" x14ac:dyDescent="0.3">
      <c r="A2" s="3" t="s">
        <v>13</v>
      </c>
      <c r="B2" s="3" t="s">
        <v>14</v>
      </c>
      <c r="C2" s="11">
        <v>45649</v>
      </c>
      <c r="D2" s="3" t="s">
        <v>16</v>
      </c>
      <c r="E2" s="3" t="s">
        <v>17</v>
      </c>
      <c r="F2" s="12">
        <v>1461</v>
      </c>
      <c r="G2" s="12">
        <v>184</v>
      </c>
      <c r="H2" s="12">
        <v>344</v>
      </c>
      <c r="I2" s="12">
        <v>21915</v>
      </c>
      <c r="J2" s="12">
        <v>21675</v>
      </c>
      <c r="K2" s="12">
        <v>15</v>
      </c>
      <c r="L2" s="4" t="s">
        <v>18</v>
      </c>
      <c r="M2" s="5" t="s">
        <v>19</v>
      </c>
      <c r="N2" s="31">
        <f t="shared" ref="N2:N65" si="0">SUM(F2,G2,H2)</f>
        <v>1989</v>
      </c>
      <c r="O2" s="32">
        <f>IFERROR((Table1[[#This Row],[Likes]]+Table1[[#This Row],[Shares]]+Table1[[#This Row],[Comments]])/Table1[[#This Row],[Impressions]], 0)</f>
        <v>9.0759753593429152E-2</v>
      </c>
      <c r="P2" s="30" t="str" cm="1">
        <f t="array" ref="P2">IFERROR(INDEX('Campaign Metadata (2)'!$A$2:$A$10, MATCH(1, (C2&gt;='Campaign Metadata (2)'!$B$2:$B$10) * (C2&lt;='Campaign Metadata (2)'!$C$2:$C$10), 0)), "No Campaign")</f>
        <v>No Campaign</v>
      </c>
      <c r="Q2" s="33" t="e">
        <f>VLOOKUP(Table1[[#This Row],[Campaign_Name2]],Table3[#All],2,)</f>
        <v>#N/A</v>
      </c>
      <c r="R2" s="33" t="e">
        <f>VLOOKUP(Table1[[#This Row],[Campaign_Name2]],Table3[#All],3,FALSE)</f>
        <v>#N/A</v>
      </c>
      <c r="S2" s="30" t="e">
        <f>VLOOKUP(Table1[[#This Row],[Campaign_Name2]],Table3[],5,FALSE)</f>
        <v>#N/A</v>
      </c>
      <c r="T2" s="30">
        <f>IF(Table1[[#This Row],[Campaign_Name2]]="No Campaign", 0, Table1[[#This Row],[Budget]]/COUNTIF(Table1[Campaign_Name2],Table1[[#This Row],[Campaign_Name2]]))</f>
        <v>0</v>
      </c>
    </row>
    <row r="3" spans="1:20" ht="14.25" customHeight="1" x14ac:dyDescent="0.3">
      <c r="A3" s="3" t="s">
        <v>20</v>
      </c>
      <c r="B3" s="3" t="s">
        <v>14</v>
      </c>
      <c r="C3" s="11">
        <v>45750</v>
      </c>
      <c r="D3" s="3" t="s">
        <v>22</v>
      </c>
      <c r="E3" s="3" t="s">
        <v>23</v>
      </c>
      <c r="F3" s="12">
        <v>4054</v>
      </c>
      <c r="G3" s="12">
        <v>389</v>
      </c>
      <c r="H3" s="12">
        <v>493</v>
      </c>
      <c r="I3" s="12">
        <v>64864</v>
      </c>
      <c r="J3" s="12">
        <v>64383</v>
      </c>
      <c r="K3" s="12">
        <v>117</v>
      </c>
      <c r="L3" s="4" t="s">
        <v>24</v>
      </c>
      <c r="M3" s="5" t="s">
        <v>25</v>
      </c>
      <c r="N3" s="31">
        <f t="shared" si="0"/>
        <v>4936</v>
      </c>
      <c r="O3" s="32">
        <f>IFERROR((Table1[[#This Row],[Likes]]+Table1[[#This Row],[Shares]]+Table1[[#This Row],[Comments]])/Table1[[#This Row],[Impressions]], 0)</f>
        <v>7.6097681302417369E-2</v>
      </c>
      <c r="P3" s="30" t="str" cm="1">
        <f t="array" ref="P3">IFERROR(INDEX('Campaign Metadata (2)'!$A$2:$A$10, MATCH(1, (C3&gt;='Campaign Metadata (2)'!$B$2:$B$10) * (C3&lt;='Campaign Metadata (2)'!$C$2:$C$10), 0)), "No Campaign")</f>
        <v>No Campaign</v>
      </c>
      <c r="Q3" s="33" t="e">
        <f>VLOOKUP(Table1[[#This Row],[Campaign_Name2]],Table3[#All],2,)</f>
        <v>#N/A</v>
      </c>
      <c r="R3" s="33" t="e">
        <f>VLOOKUP(Table1[[#This Row],[Campaign_Name2]],Table3[#All],3,FALSE)</f>
        <v>#N/A</v>
      </c>
      <c r="S3" s="30" t="e">
        <f>VLOOKUP(Table1[[#This Row],[Campaign_Name2]],Table3[],5,FALSE)</f>
        <v>#N/A</v>
      </c>
      <c r="T3" s="30">
        <f>IF(Table1[[#This Row],[Campaign_Name2]]="No Campaign", 0, Table1[[#This Row],[Budget]]/COUNTIF(Table1[Campaign_Name2],Table1[[#This Row],[Campaign_Name2]]))</f>
        <v>0</v>
      </c>
    </row>
    <row r="4" spans="1:20" ht="14.25" customHeight="1" x14ac:dyDescent="0.3">
      <c r="A4" s="3" t="s">
        <v>26</v>
      </c>
      <c r="B4" s="3" t="s">
        <v>27</v>
      </c>
      <c r="C4" s="11">
        <v>45789</v>
      </c>
      <c r="D4" s="3" t="s">
        <v>16</v>
      </c>
      <c r="E4" s="3" t="s">
        <v>29</v>
      </c>
      <c r="F4" s="12">
        <v>2795</v>
      </c>
      <c r="G4" s="12">
        <v>105</v>
      </c>
      <c r="H4" s="12">
        <v>49</v>
      </c>
      <c r="I4" s="12">
        <v>53105</v>
      </c>
      <c r="J4" s="12">
        <v>52307</v>
      </c>
      <c r="K4" s="12">
        <v>204</v>
      </c>
      <c r="L4" s="4" t="s">
        <v>30</v>
      </c>
      <c r="M4" s="5" t="s">
        <v>31</v>
      </c>
      <c r="N4" s="31">
        <f t="shared" si="0"/>
        <v>2949</v>
      </c>
      <c r="O4" s="32">
        <f>IFERROR((Table1[[#This Row],[Likes]]+Table1[[#This Row],[Shares]]+Table1[[#This Row],[Comments]])/Table1[[#This Row],[Impressions]], 0)</f>
        <v>5.5531494209584788E-2</v>
      </c>
      <c r="P4" s="30" t="str" cm="1">
        <f t="array" ref="P4">IFERROR(INDEX('Campaign Metadata (2)'!$A$2:$A$10, MATCH(1, (C4&gt;='Campaign Metadata (2)'!$B$2:$B$10) * (C4&lt;='Campaign Metadata (2)'!$C$2:$C$10), 0)), "No Campaign")</f>
        <v>No Campaign</v>
      </c>
      <c r="Q4" s="33" t="e">
        <f>VLOOKUP(Table1[[#This Row],[Campaign_Name2]],Table3[#All],2,)</f>
        <v>#N/A</v>
      </c>
      <c r="R4" s="33" t="e">
        <f>VLOOKUP(Table1[[#This Row],[Campaign_Name2]],Table3[#All],3,FALSE)</f>
        <v>#N/A</v>
      </c>
      <c r="S4" s="30" t="e">
        <f>VLOOKUP(Table1[[#This Row],[Campaign_Name2]],Table3[],5,FALSE)</f>
        <v>#N/A</v>
      </c>
      <c r="T4" s="30">
        <f>IF(Table1[[#This Row],[Campaign_Name2]]="No Campaign", 0, Table1[[#This Row],[Budget]]/COUNTIF(Table1[Campaign_Name2],Table1[[#This Row],[Campaign_Name2]]))</f>
        <v>0</v>
      </c>
    </row>
    <row r="5" spans="1:20" ht="14.25" customHeight="1" x14ac:dyDescent="0.3">
      <c r="A5" s="3" t="s">
        <v>32</v>
      </c>
      <c r="B5" s="3" t="s">
        <v>33</v>
      </c>
      <c r="C5" s="11">
        <v>45516</v>
      </c>
      <c r="D5" s="3" t="s">
        <v>35</v>
      </c>
      <c r="E5" s="3" t="s">
        <v>36</v>
      </c>
      <c r="F5" s="12">
        <v>2404</v>
      </c>
      <c r="G5" s="12">
        <v>363</v>
      </c>
      <c r="H5" s="12">
        <v>138</v>
      </c>
      <c r="I5" s="12">
        <v>19232</v>
      </c>
      <c r="J5" s="12">
        <v>18636</v>
      </c>
      <c r="K5" s="12">
        <v>128</v>
      </c>
      <c r="L5" s="4" t="s">
        <v>37</v>
      </c>
      <c r="M5" s="5" t="s">
        <v>38</v>
      </c>
      <c r="N5" s="31">
        <f t="shared" si="0"/>
        <v>2905</v>
      </c>
      <c r="O5" s="32">
        <f>IFERROR((Table1[[#This Row],[Likes]]+Table1[[#This Row],[Shares]]+Table1[[#This Row],[Comments]])/Table1[[#This Row],[Impressions]], 0)</f>
        <v>0.15105033277870217</v>
      </c>
      <c r="P5" s="30" t="str" cm="1">
        <f t="array" ref="P5">IFERROR(INDEX('Campaign Metadata (2)'!$A$2:$A$10, MATCH(1, (C5&gt;='Campaign Metadata (2)'!$B$2:$B$10) * (C5&lt;='Campaign Metadata (2)'!$C$2:$C$10), 0)), "No Campaign")</f>
        <v>No Campaign</v>
      </c>
      <c r="Q5" s="33" t="e">
        <f>VLOOKUP(Table1[[#This Row],[Campaign_Name2]],Table3[#All],2,)</f>
        <v>#N/A</v>
      </c>
      <c r="R5" s="33" t="e">
        <f>VLOOKUP(Table1[[#This Row],[Campaign_Name2]],Table3[#All],3,FALSE)</f>
        <v>#N/A</v>
      </c>
      <c r="S5" s="30" t="e">
        <f>VLOOKUP(Table1[[#This Row],[Campaign_Name2]],Table3[],5,FALSE)</f>
        <v>#N/A</v>
      </c>
      <c r="T5" s="30">
        <f>IF(Table1[[#This Row],[Campaign_Name2]]="No Campaign", 0, Table1[[#This Row],[Budget]]/COUNTIF(Table1[Campaign_Name2],Table1[[#This Row],[Campaign_Name2]]))</f>
        <v>0</v>
      </c>
    </row>
    <row r="6" spans="1:20" ht="14.25" customHeight="1" x14ac:dyDescent="0.3">
      <c r="A6" s="3" t="s">
        <v>39</v>
      </c>
      <c r="B6" s="3" t="s">
        <v>27</v>
      </c>
      <c r="C6" s="11">
        <v>45469</v>
      </c>
      <c r="D6" s="3" t="s">
        <v>16</v>
      </c>
      <c r="E6" s="3" t="s">
        <v>29</v>
      </c>
      <c r="F6" s="12">
        <v>3557</v>
      </c>
      <c r="G6" s="12">
        <v>687</v>
      </c>
      <c r="H6" s="12">
        <v>424</v>
      </c>
      <c r="I6" s="12">
        <v>71140</v>
      </c>
      <c r="J6" s="12">
        <v>70701</v>
      </c>
      <c r="K6" s="12">
        <v>224</v>
      </c>
      <c r="L6" s="4" t="s">
        <v>41</v>
      </c>
      <c r="M6" s="5" t="s">
        <v>19</v>
      </c>
      <c r="N6" s="31">
        <f t="shared" si="0"/>
        <v>4668</v>
      </c>
      <c r="O6" s="32">
        <f>IFERROR((Table1[[#This Row],[Likes]]+Table1[[#This Row],[Shares]]+Table1[[#This Row],[Comments]])/Table1[[#This Row],[Impressions]], 0)</f>
        <v>6.5617093055946027E-2</v>
      </c>
      <c r="P6" s="30" t="str" cm="1">
        <f t="array" ref="P6">IFERROR(INDEX('Campaign Metadata (2)'!$A$2:$A$10, MATCH(1, (C6&gt;='Campaign Metadata (2)'!$B$2:$B$10) * (C6&lt;='Campaign Metadata (2)'!$C$2:$C$10), 0)), "No Campaign")</f>
        <v>SummerSplash</v>
      </c>
      <c r="Q6" s="33">
        <f>VLOOKUP(Table1[[#This Row],[Campaign_Name2]],Table3[#All],2,)</f>
        <v>45458</v>
      </c>
      <c r="R6" s="33">
        <f>VLOOKUP(Table1[[#This Row],[Campaign_Name2]],Table3[#All],3,FALSE)</f>
        <v>45488</v>
      </c>
      <c r="S6" s="30">
        <f>VLOOKUP(Table1[[#This Row],[Campaign_Name2]],Table3[],5,FALSE)</f>
        <v>150000</v>
      </c>
      <c r="T6" s="30">
        <f>IF(Table1[[#This Row],[Campaign_Name2]]="No Campaign", 0, Table1[[#This Row],[Budget]]/COUNTIF(Table1[Campaign_Name2],Table1[[#This Row],[Campaign_Name2]]))</f>
        <v>5555.5555555555557</v>
      </c>
    </row>
    <row r="7" spans="1:20" ht="14.25" customHeight="1" x14ac:dyDescent="0.3">
      <c r="A7" s="3" t="s">
        <v>42</v>
      </c>
      <c r="B7" s="3" t="s">
        <v>43</v>
      </c>
      <c r="C7" s="11">
        <v>45596</v>
      </c>
      <c r="D7" s="3" t="s">
        <v>45</v>
      </c>
      <c r="E7" s="3" t="s">
        <v>46</v>
      </c>
      <c r="F7" s="12">
        <v>2945</v>
      </c>
      <c r="G7" s="12">
        <v>930</v>
      </c>
      <c r="H7" s="12">
        <v>355</v>
      </c>
      <c r="I7" s="12">
        <v>23560</v>
      </c>
      <c r="J7" s="12">
        <v>23275</v>
      </c>
      <c r="K7" s="12">
        <v>256</v>
      </c>
      <c r="L7" s="4" t="s">
        <v>30</v>
      </c>
      <c r="M7" s="5" t="s">
        <v>25</v>
      </c>
      <c r="N7" s="31">
        <f t="shared" si="0"/>
        <v>4230</v>
      </c>
      <c r="O7" s="32">
        <f>IFERROR((Table1[[#This Row],[Likes]]+Table1[[#This Row],[Shares]]+Table1[[#This Row],[Comments]])/Table1[[#This Row],[Impressions]], 0)</f>
        <v>0.17954159592529711</v>
      </c>
      <c r="P7" s="30" t="str" cm="1">
        <f t="array" ref="P7">IFERROR(INDEX('Campaign Metadata (2)'!$A$2:$A$10, MATCH(1, (C7&gt;='Campaign Metadata (2)'!$B$2:$B$10) * (C7&lt;='Campaign Metadata (2)'!$C$2:$C$10), 0)), "No Campaign")</f>
        <v>FestiveRadiance</v>
      </c>
      <c r="Q7" s="33">
        <f>VLOOKUP(Table1[[#This Row],[Campaign_Name2]],Table3[#All],2,)</f>
        <v>45566</v>
      </c>
      <c r="R7" s="33">
        <f>VLOOKUP(Table1[[#This Row],[Campaign_Name2]],Table3[#All],3,FALSE)</f>
        <v>45596</v>
      </c>
      <c r="S7" s="30">
        <f>VLOOKUP(Table1[[#This Row],[Campaign_Name2]],Table3[],5,FALSE)</f>
        <v>200000</v>
      </c>
      <c r="T7" s="30">
        <f>IF(Table1[[#This Row],[Campaign_Name2]]="No Campaign", 0, Table1[[#This Row],[Budget]]/COUNTIF(Table1[Campaign_Name2],Table1[[#This Row],[Campaign_Name2]]))</f>
        <v>5714.2857142857147</v>
      </c>
    </row>
    <row r="8" spans="1:20" ht="14.25" customHeight="1" x14ac:dyDescent="0.3">
      <c r="A8" s="3" t="s">
        <v>47</v>
      </c>
      <c r="B8" s="3" t="s">
        <v>14</v>
      </c>
      <c r="C8" s="11">
        <v>45467</v>
      </c>
      <c r="D8" s="3" t="s">
        <v>45</v>
      </c>
      <c r="E8" s="3" t="s">
        <v>49</v>
      </c>
      <c r="F8" s="12">
        <v>3860</v>
      </c>
      <c r="G8" s="12">
        <v>201</v>
      </c>
      <c r="H8" s="12">
        <v>279</v>
      </c>
      <c r="I8" s="12">
        <v>61760</v>
      </c>
      <c r="J8" s="12">
        <v>61660</v>
      </c>
      <c r="K8" s="12">
        <v>235</v>
      </c>
      <c r="L8" s="4" t="s">
        <v>30</v>
      </c>
      <c r="M8" s="5" t="s">
        <v>25</v>
      </c>
      <c r="N8" s="31">
        <f t="shared" si="0"/>
        <v>4340</v>
      </c>
      <c r="O8" s="32">
        <f>IFERROR((Table1[[#This Row],[Likes]]+Table1[[#This Row],[Shares]]+Table1[[#This Row],[Comments]])/Table1[[#This Row],[Impressions]], 0)</f>
        <v>7.0272020725388601E-2</v>
      </c>
      <c r="P8" s="30" t="str" cm="1">
        <f t="array" ref="P8">IFERROR(INDEX('Campaign Metadata (2)'!$A$2:$A$10, MATCH(1, (C8&gt;='Campaign Metadata (2)'!$B$2:$B$10) * (C8&lt;='Campaign Metadata (2)'!$C$2:$C$10), 0)), "No Campaign")</f>
        <v>SummerSplash</v>
      </c>
      <c r="Q8" s="33">
        <f>VLOOKUP(Table1[[#This Row],[Campaign_Name2]],Table3[#All],2,)</f>
        <v>45458</v>
      </c>
      <c r="R8" s="33">
        <f>VLOOKUP(Table1[[#This Row],[Campaign_Name2]],Table3[#All],3,FALSE)</f>
        <v>45488</v>
      </c>
      <c r="S8" s="30">
        <f>VLOOKUP(Table1[[#This Row],[Campaign_Name2]],Table3[],5,FALSE)</f>
        <v>150000</v>
      </c>
      <c r="T8" s="30">
        <f>IF(Table1[[#This Row],[Campaign_Name2]]="No Campaign", 0, Table1[[#This Row],[Budget]]/COUNTIF(Table1[Campaign_Name2],Table1[[#This Row],[Campaign_Name2]]))</f>
        <v>5555.5555555555557</v>
      </c>
    </row>
    <row r="9" spans="1:20" ht="14.25" customHeight="1" x14ac:dyDescent="0.3">
      <c r="A9" s="3" t="s">
        <v>50</v>
      </c>
      <c r="B9" s="3" t="s">
        <v>27</v>
      </c>
      <c r="C9" s="11">
        <v>45486</v>
      </c>
      <c r="D9" s="3" t="s">
        <v>52</v>
      </c>
      <c r="E9" s="3" t="s">
        <v>53</v>
      </c>
      <c r="F9" s="12">
        <v>3929</v>
      </c>
      <c r="G9" s="12">
        <v>262</v>
      </c>
      <c r="H9" s="12">
        <v>278</v>
      </c>
      <c r="I9" s="12">
        <v>43219</v>
      </c>
      <c r="J9" s="12">
        <v>42841</v>
      </c>
      <c r="K9" s="12">
        <v>39</v>
      </c>
      <c r="L9" s="4" t="s">
        <v>37</v>
      </c>
      <c r="M9" s="5" t="s">
        <v>38</v>
      </c>
      <c r="N9" s="31">
        <f t="shared" si="0"/>
        <v>4469</v>
      </c>
      <c r="O9" s="32">
        <f>IFERROR((Table1[[#This Row],[Likes]]+Table1[[#This Row],[Shares]]+Table1[[#This Row],[Comments]])/Table1[[#This Row],[Impressions]], 0)</f>
        <v>0.10340359564080613</v>
      </c>
      <c r="P9" s="30" t="str" cm="1">
        <f t="array" ref="P9">IFERROR(INDEX('Campaign Metadata (2)'!$A$2:$A$10, MATCH(1, (C9&gt;='Campaign Metadata (2)'!$B$2:$B$10) * (C9&lt;='Campaign Metadata (2)'!$C$2:$C$10), 0)), "No Campaign")</f>
        <v>SummerSplash</v>
      </c>
      <c r="Q9" s="33">
        <f>VLOOKUP(Table1[[#This Row],[Campaign_Name2]],Table3[#All],2,)</f>
        <v>45458</v>
      </c>
      <c r="R9" s="33">
        <f>VLOOKUP(Table1[[#This Row],[Campaign_Name2]],Table3[#All],3,FALSE)</f>
        <v>45488</v>
      </c>
      <c r="S9" s="30">
        <f>VLOOKUP(Table1[[#This Row],[Campaign_Name2]],Table3[],5,FALSE)</f>
        <v>150000</v>
      </c>
      <c r="T9" s="30">
        <f>IF(Table1[[#This Row],[Campaign_Name2]]="No Campaign", 0, Table1[[#This Row],[Budget]]/COUNTIF(Table1[Campaign_Name2],Table1[[#This Row],[Campaign_Name2]]))</f>
        <v>5555.5555555555557</v>
      </c>
    </row>
    <row r="10" spans="1:20" ht="14.25" customHeight="1" x14ac:dyDescent="0.3">
      <c r="A10" s="3" t="s">
        <v>54</v>
      </c>
      <c r="B10" s="3" t="s">
        <v>43</v>
      </c>
      <c r="C10" s="11">
        <v>45534</v>
      </c>
      <c r="D10" s="3" t="s">
        <v>22</v>
      </c>
      <c r="E10" s="3" t="s">
        <v>56</v>
      </c>
      <c r="F10" s="12">
        <v>3784</v>
      </c>
      <c r="G10" s="12">
        <v>808</v>
      </c>
      <c r="H10" s="12">
        <v>404</v>
      </c>
      <c r="I10" s="12">
        <v>56760</v>
      </c>
      <c r="J10" s="12">
        <v>56343</v>
      </c>
      <c r="K10" s="12">
        <v>131</v>
      </c>
      <c r="L10" s="4" t="s">
        <v>30</v>
      </c>
      <c r="M10" s="5" t="s">
        <v>25</v>
      </c>
      <c r="N10" s="31">
        <f t="shared" si="0"/>
        <v>4996</v>
      </c>
      <c r="O10" s="32">
        <f>IFERROR((Table1[[#This Row],[Likes]]+Table1[[#This Row],[Shares]]+Table1[[#This Row],[Comments]])/Table1[[#This Row],[Impressions]], 0)</f>
        <v>8.8019732205778717E-2</v>
      </c>
      <c r="P10" s="30" t="str" cm="1">
        <f t="array" ref="P10">IFERROR(INDEX('Campaign Metadata (2)'!$A$2:$A$10, MATCH(1, (C10&gt;='Campaign Metadata (2)'!$B$2:$B$10) * (C10&lt;='Campaign Metadata (2)'!$C$2:$C$10), 0)), "No Campaign")</f>
        <v>No Campaign</v>
      </c>
      <c r="Q10" s="33" t="e">
        <f>VLOOKUP(Table1[[#This Row],[Campaign_Name2]],Table3[#All],2,)</f>
        <v>#N/A</v>
      </c>
      <c r="R10" s="33" t="e">
        <f>VLOOKUP(Table1[[#This Row],[Campaign_Name2]],Table3[#All],3,FALSE)</f>
        <v>#N/A</v>
      </c>
      <c r="S10" s="30" t="e">
        <f>VLOOKUP(Table1[[#This Row],[Campaign_Name2]],Table3[],5,FALSE)</f>
        <v>#N/A</v>
      </c>
      <c r="T10" s="30">
        <f>IF(Table1[[#This Row],[Campaign_Name2]]="No Campaign", 0, Table1[[#This Row],[Budget]]/COUNTIF(Table1[Campaign_Name2],Table1[[#This Row],[Campaign_Name2]]))</f>
        <v>0</v>
      </c>
    </row>
    <row r="11" spans="1:20" ht="14.25" customHeight="1" x14ac:dyDescent="0.3">
      <c r="A11" s="3" t="s">
        <v>57</v>
      </c>
      <c r="B11" s="3" t="s">
        <v>43</v>
      </c>
      <c r="C11" s="11">
        <v>45727</v>
      </c>
      <c r="D11" s="3" t="s">
        <v>52</v>
      </c>
      <c r="E11" s="3" t="s">
        <v>59</v>
      </c>
      <c r="F11" s="12">
        <v>4241</v>
      </c>
      <c r="G11" s="12">
        <v>902</v>
      </c>
      <c r="H11" s="12">
        <v>47</v>
      </c>
      <c r="I11" s="12">
        <v>72097</v>
      </c>
      <c r="J11" s="12">
        <v>71598</v>
      </c>
      <c r="K11" s="12">
        <v>167</v>
      </c>
      <c r="L11" s="4" t="s">
        <v>30</v>
      </c>
      <c r="M11" s="5" t="s">
        <v>25</v>
      </c>
      <c r="N11" s="31">
        <f t="shared" si="0"/>
        <v>5190</v>
      </c>
      <c r="O11" s="32">
        <f>IFERROR((Table1[[#This Row],[Likes]]+Table1[[#This Row],[Shares]]+Table1[[#This Row],[Comments]])/Table1[[#This Row],[Impressions]], 0)</f>
        <v>7.198635172059864E-2</v>
      </c>
      <c r="P11" s="30" t="str" cm="1">
        <f t="array" ref="P11">IFERROR(INDEX('Campaign Metadata (2)'!$A$2:$A$10, MATCH(1, (C11&gt;='Campaign Metadata (2)'!$B$2:$B$10) * (C11&lt;='Campaign Metadata (2)'!$C$2:$C$10), 0)), "No Campaign")</f>
        <v>DailyWellness</v>
      </c>
      <c r="Q11" s="33">
        <f>VLOOKUP(Table1[[#This Row],[Campaign_Name2]],Table3[#All],2,)</f>
        <v>45717</v>
      </c>
      <c r="R11" s="33">
        <f>VLOOKUP(Table1[[#This Row],[Campaign_Name2]],Table3[#All],3,FALSE)</f>
        <v>45747</v>
      </c>
      <c r="S11" s="30">
        <f>VLOOKUP(Table1[[#This Row],[Campaign_Name2]],Table3[],5,FALSE)</f>
        <v>180000</v>
      </c>
      <c r="T11" s="30">
        <f>IF(Table1[[#This Row],[Campaign_Name2]]="No Campaign", 0, Table1[[#This Row],[Budget]]/COUNTIF(Table1[Campaign_Name2],Table1[[#This Row],[Campaign_Name2]]))</f>
        <v>5625</v>
      </c>
    </row>
    <row r="12" spans="1:20" ht="14.25" customHeight="1" x14ac:dyDescent="0.3">
      <c r="A12" s="3" t="s">
        <v>60</v>
      </c>
      <c r="B12" s="3" t="s">
        <v>33</v>
      </c>
      <c r="C12" s="11">
        <v>45690</v>
      </c>
      <c r="D12" s="3" t="s">
        <v>35</v>
      </c>
      <c r="E12" s="3" t="s">
        <v>36</v>
      </c>
      <c r="F12" s="12">
        <v>1792</v>
      </c>
      <c r="G12" s="12">
        <v>614</v>
      </c>
      <c r="H12" s="12">
        <v>497</v>
      </c>
      <c r="I12" s="12">
        <v>25088</v>
      </c>
      <c r="J12" s="12">
        <v>24675</v>
      </c>
      <c r="K12" s="12">
        <v>65</v>
      </c>
      <c r="L12" s="4" t="s">
        <v>62</v>
      </c>
      <c r="M12" s="5" t="s">
        <v>38</v>
      </c>
      <c r="N12" s="31">
        <f t="shared" si="0"/>
        <v>2903</v>
      </c>
      <c r="O12" s="32">
        <f>IFERROR((Table1[[#This Row],[Likes]]+Table1[[#This Row],[Shares]]+Table1[[#This Row],[Comments]])/Table1[[#This Row],[Impressions]], 0)</f>
        <v>0.11571269132653061</v>
      </c>
      <c r="P12" s="30" t="str" cm="1">
        <f t="array" ref="P12">IFERROR(INDEX('Campaign Metadata (2)'!$A$2:$A$10, MATCH(1, (C12&gt;='Campaign Metadata (2)'!$B$2:$B$10) * (C12&lt;='Campaign Metadata (2)'!$C$2:$C$10), 0)), "No Campaign")</f>
        <v>No Campaign</v>
      </c>
      <c r="Q12" s="33" t="e">
        <f>VLOOKUP(Table1[[#This Row],[Campaign_Name2]],Table3[#All],2,)</f>
        <v>#N/A</v>
      </c>
      <c r="R12" s="33" t="e">
        <f>VLOOKUP(Table1[[#This Row],[Campaign_Name2]],Table3[#All],3,FALSE)</f>
        <v>#N/A</v>
      </c>
      <c r="S12" s="30" t="e">
        <f>VLOOKUP(Table1[[#This Row],[Campaign_Name2]],Table3[],5,FALSE)</f>
        <v>#N/A</v>
      </c>
      <c r="T12" s="30">
        <f>IF(Table1[[#This Row],[Campaign_Name2]]="No Campaign", 0, Table1[[#This Row],[Budget]]/COUNTIF(Table1[Campaign_Name2],Table1[[#This Row],[Campaign_Name2]]))</f>
        <v>0</v>
      </c>
    </row>
    <row r="13" spans="1:20" ht="14.25" customHeight="1" x14ac:dyDescent="0.3">
      <c r="A13" s="3" t="s">
        <v>63</v>
      </c>
      <c r="B13" s="3" t="s">
        <v>43</v>
      </c>
      <c r="C13" s="11">
        <v>45494</v>
      </c>
      <c r="D13" s="3" t="s">
        <v>16</v>
      </c>
      <c r="E13" s="3" t="s">
        <v>65</v>
      </c>
      <c r="F13" s="12">
        <v>1946</v>
      </c>
      <c r="G13" s="12">
        <v>686</v>
      </c>
      <c r="H13" s="12">
        <v>377</v>
      </c>
      <c r="I13" s="12">
        <v>23352</v>
      </c>
      <c r="J13" s="12">
        <v>22982</v>
      </c>
      <c r="K13" s="12">
        <v>213</v>
      </c>
      <c r="L13" s="4" t="s">
        <v>62</v>
      </c>
      <c r="M13" s="5" t="s">
        <v>31</v>
      </c>
      <c r="N13" s="31">
        <f t="shared" si="0"/>
        <v>3009</v>
      </c>
      <c r="O13" s="32">
        <f>IFERROR((Table1[[#This Row],[Likes]]+Table1[[#This Row],[Shares]]+Table1[[#This Row],[Comments]])/Table1[[#This Row],[Impressions]], 0)</f>
        <v>0.12885405960945528</v>
      </c>
      <c r="P13" s="30" t="str" cm="1">
        <f t="array" ref="P13">IFERROR(INDEX('Campaign Metadata (2)'!$A$2:$A$10, MATCH(1, (C13&gt;='Campaign Metadata (2)'!$B$2:$B$10) * (C13&lt;='Campaign Metadata (2)'!$C$2:$C$10), 0)), "No Campaign")</f>
        <v>No Campaign</v>
      </c>
      <c r="Q13" s="33" t="e">
        <f>VLOOKUP(Table1[[#This Row],[Campaign_Name2]],Table3[#All],2,)</f>
        <v>#N/A</v>
      </c>
      <c r="R13" s="33" t="e">
        <f>VLOOKUP(Table1[[#This Row],[Campaign_Name2]],Table3[#All],3,FALSE)</f>
        <v>#N/A</v>
      </c>
      <c r="S13" s="30" t="e">
        <f>VLOOKUP(Table1[[#This Row],[Campaign_Name2]],Table3[],5,FALSE)</f>
        <v>#N/A</v>
      </c>
      <c r="T13" s="30">
        <f>IF(Table1[[#This Row],[Campaign_Name2]]="No Campaign", 0, Table1[[#This Row],[Budget]]/COUNTIF(Table1[Campaign_Name2],Table1[[#This Row],[Campaign_Name2]]))</f>
        <v>0</v>
      </c>
    </row>
    <row r="14" spans="1:20" ht="14.25" customHeight="1" x14ac:dyDescent="0.3">
      <c r="A14" s="3" t="s">
        <v>66</v>
      </c>
      <c r="B14" s="3" t="s">
        <v>27</v>
      </c>
      <c r="C14" s="11">
        <v>45614</v>
      </c>
      <c r="D14" s="3" t="s">
        <v>45</v>
      </c>
      <c r="E14" s="3" t="s">
        <v>68</v>
      </c>
      <c r="F14" s="12">
        <v>1171</v>
      </c>
      <c r="G14" s="12">
        <v>286</v>
      </c>
      <c r="H14" s="12">
        <v>231</v>
      </c>
      <c r="I14" s="12">
        <v>22249</v>
      </c>
      <c r="J14" s="12">
        <v>21282</v>
      </c>
      <c r="K14" s="12">
        <v>114</v>
      </c>
      <c r="L14" s="4" t="s">
        <v>37</v>
      </c>
      <c r="M14" s="5" t="s">
        <v>19</v>
      </c>
      <c r="N14" s="31">
        <f t="shared" si="0"/>
        <v>1688</v>
      </c>
      <c r="O14" s="32">
        <f>IFERROR((Table1[[#This Row],[Likes]]+Table1[[#This Row],[Shares]]+Table1[[#This Row],[Comments]])/Table1[[#This Row],[Impressions]], 0)</f>
        <v>7.5868578363072495E-2</v>
      </c>
      <c r="P14" s="30" t="str" cm="1">
        <f t="array" ref="P14">IFERROR(INDEX('Campaign Metadata (2)'!$A$2:$A$10, MATCH(1, (C14&gt;='Campaign Metadata (2)'!$B$2:$B$10) * (C14&lt;='Campaign Metadata (2)'!$C$2:$C$10), 0)), "No Campaign")</f>
        <v>No Campaign</v>
      </c>
      <c r="Q14" s="33" t="e">
        <f>VLOOKUP(Table1[[#This Row],[Campaign_Name2]],Table3[#All],2,)</f>
        <v>#N/A</v>
      </c>
      <c r="R14" s="33" t="e">
        <f>VLOOKUP(Table1[[#This Row],[Campaign_Name2]],Table3[#All],3,FALSE)</f>
        <v>#N/A</v>
      </c>
      <c r="S14" s="30" t="e">
        <f>VLOOKUP(Table1[[#This Row],[Campaign_Name2]],Table3[],5,FALSE)</f>
        <v>#N/A</v>
      </c>
      <c r="T14" s="30">
        <f>IF(Table1[[#This Row],[Campaign_Name2]]="No Campaign", 0, Table1[[#This Row],[Budget]]/COUNTIF(Table1[Campaign_Name2],Table1[[#This Row],[Campaign_Name2]]))</f>
        <v>0</v>
      </c>
    </row>
    <row r="15" spans="1:20" ht="14.25" customHeight="1" x14ac:dyDescent="0.3">
      <c r="A15" s="3" t="s">
        <v>69</v>
      </c>
      <c r="B15" s="3" t="s">
        <v>43</v>
      </c>
      <c r="C15" s="11">
        <v>45704</v>
      </c>
      <c r="D15" s="3" t="s">
        <v>35</v>
      </c>
      <c r="E15" s="3" t="s">
        <v>71</v>
      </c>
      <c r="F15" s="12">
        <v>4242</v>
      </c>
      <c r="G15" s="12">
        <v>555</v>
      </c>
      <c r="H15" s="12">
        <v>131</v>
      </c>
      <c r="I15" s="12">
        <v>33936</v>
      </c>
      <c r="J15" s="12">
        <v>33802</v>
      </c>
      <c r="K15" s="12">
        <v>265</v>
      </c>
      <c r="L15" s="4" t="s">
        <v>62</v>
      </c>
      <c r="M15" s="5"/>
      <c r="N15" s="31">
        <f t="shared" si="0"/>
        <v>4928</v>
      </c>
      <c r="O15" s="32">
        <f>IFERROR((Table1[[#This Row],[Likes]]+Table1[[#This Row],[Shares]]+Table1[[#This Row],[Comments]])/Table1[[#This Row],[Impressions]], 0)</f>
        <v>0.14521452145214522</v>
      </c>
      <c r="P15" s="30" t="str" cm="1">
        <f t="array" ref="P15">IFERROR(INDEX('Campaign Metadata (2)'!$A$2:$A$10, MATCH(1, (C15&gt;='Campaign Metadata (2)'!$B$2:$B$10) * (C15&lt;='Campaign Metadata (2)'!$C$2:$C$10), 0)), "No Campaign")</f>
        <v>No Campaign</v>
      </c>
      <c r="Q15" s="33" t="e">
        <f>VLOOKUP(Table1[[#This Row],[Campaign_Name2]],Table3[#All],2,)</f>
        <v>#N/A</v>
      </c>
      <c r="R15" s="33" t="e">
        <f>VLOOKUP(Table1[[#This Row],[Campaign_Name2]],Table3[#All],3,FALSE)</f>
        <v>#N/A</v>
      </c>
      <c r="S15" s="30" t="e">
        <f>VLOOKUP(Table1[[#This Row],[Campaign_Name2]],Table3[],5,FALSE)</f>
        <v>#N/A</v>
      </c>
      <c r="T15" s="30">
        <f>IF(Table1[[#This Row],[Campaign_Name2]]="No Campaign", 0, Table1[[#This Row],[Budget]]/COUNTIF(Table1[Campaign_Name2],Table1[[#This Row],[Campaign_Name2]]))</f>
        <v>0</v>
      </c>
    </row>
    <row r="16" spans="1:20" ht="14.25" customHeight="1" x14ac:dyDescent="0.3">
      <c r="A16" s="3" t="s">
        <v>72</v>
      </c>
      <c r="B16" s="3" t="s">
        <v>43</v>
      </c>
      <c r="C16" s="11">
        <v>45589</v>
      </c>
      <c r="D16" s="3" t="s">
        <v>74</v>
      </c>
      <c r="E16" s="3" t="s">
        <v>75</v>
      </c>
      <c r="F16" s="12">
        <v>3888</v>
      </c>
      <c r="G16" s="12">
        <v>604</v>
      </c>
      <c r="H16" s="12">
        <v>128</v>
      </c>
      <c r="I16" s="12">
        <v>77760</v>
      </c>
      <c r="J16" s="12">
        <v>77167</v>
      </c>
      <c r="K16" s="12">
        <v>20</v>
      </c>
      <c r="L16" s="4" t="s">
        <v>62</v>
      </c>
      <c r="M16" s="5" t="s">
        <v>19</v>
      </c>
      <c r="N16" s="31">
        <f t="shared" si="0"/>
        <v>4620</v>
      </c>
      <c r="O16" s="32">
        <f>IFERROR((Table1[[#This Row],[Likes]]+Table1[[#This Row],[Shares]]+Table1[[#This Row],[Comments]])/Table1[[#This Row],[Impressions]], 0)</f>
        <v>5.941358024691358E-2</v>
      </c>
      <c r="P16" s="30" t="str" cm="1">
        <f t="array" ref="P16">IFERROR(INDEX('Campaign Metadata (2)'!$A$2:$A$10, MATCH(1, (C16&gt;='Campaign Metadata (2)'!$B$2:$B$10) * (C16&lt;='Campaign Metadata (2)'!$C$2:$C$10), 0)), "No Campaign")</f>
        <v>FestiveRadiance</v>
      </c>
      <c r="Q16" s="33">
        <f>VLOOKUP(Table1[[#This Row],[Campaign_Name2]],Table3[#All],2,)</f>
        <v>45566</v>
      </c>
      <c r="R16" s="33">
        <f>VLOOKUP(Table1[[#This Row],[Campaign_Name2]],Table3[#All],3,FALSE)</f>
        <v>45596</v>
      </c>
      <c r="S16" s="30">
        <f>VLOOKUP(Table1[[#This Row],[Campaign_Name2]],Table3[],5,FALSE)</f>
        <v>200000</v>
      </c>
      <c r="T16" s="30">
        <f>IF(Table1[[#This Row],[Campaign_Name2]]="No Campaign", 0, Table1[[#This Row],[Budget]]/COUNTIF(Table1[Campaign_Name2],Table1[[#This Row],[Campaign_Name2]]))</f>
        <v>5714.2857142857147</v>
      </c>
    </row>
    <row r="17" spans="1:20" ht="14.25" customHeight="1" x14ac:dyDescent="0.3">
      <c r="A17" s="3" t="s">
        <v>76</v>
      </c>
      <c r="B17" s="3" t="s">
        <v>43</v>
      </c>
      <c r="C17" s="11">
        <v>45530</v>
      </c>
      <c r="D17" s="3" t="s">
        <v>22</v>
      </c>
      <c r="E17" s="3" t="s">
        <v>56</v>
      </c>
      <c r="F17" s="12">
        <v>3452</v>
      </c>
      <c r="G17" s="12">
        <v>377</v>
      </c>
      <c r="H17" s="12">
        <v>360</v>
      </c>
      <c r="I17" s="12">
        <v>55232</v>
      </c>
      <c r="J17" s="12">
        <v>55075</v>
      </c>
      <c r="K17" s="12">
        <v>87</v>
      </c>
      <c r="L17" s="4" t="s">
        <v>62</v>
      </c>
      <c r="M17" s="5" t="s">
        <v>31</v>
      </c>
      <c r="N17" s="31">
        <f t="shared" si="0"/>
        <v>4189</v>
      </c>
      <c r="O17" s="32">
        <f>IFERROR((Table1[[#This Row],[Likes]]+Table1[[#This Row],[Shares]]+Table1[[#This Row],[Comments]])/Table1[[#This Row],[Impressions]], 0)</f>
        <v>7.5843713789107758E-2</v>
      </c>
      <c r="P17" s="30" t="str" cm="1">
        <f t="array" ref="P17">IFERROR(INDEX('Campaign Metadata (2)'!$A$2:$A$10, MATCH(1, (C17&gt;='Campaign Metadata (2)'!$B$2:$B$10) * (C17&lt;='Campaign Metadata (2)'!$C$2:$C$10), 0)), "No Campaign")</f>
        <v>No Campaign</v>
      </c>
      <c r="Q17" s="33" t="e">
        <f>VLOOKUP(Table1[[#This Row],[Campaign_Name2]],Table3[#All],2,)</f>
        <v>#N/A</v>
      </c>
      <c r="R17" s="33" t="e">
        <f>VLOOKUP(Table1[[#This Row],[Campaign_Name2]],Table3[#All],3,FALSE)</f>
        <v>#N/A</v>
      </c>
      <c r="S17" s="30" t="e">
        <f>VLOOKUP(Table1[[#This Row],[Campaign_Name2]],Table3[],5,FALSE)</f>
        <v>#N/A</v>
      </c>
      <c r="T17" s="30">
        <f>IF(Table1[[#This Row],[Campaign_Name2]]="No Campaign", 0, Table1[[#This Row],[Budget]]/COUNTIF(Table1[Campaign_Name2],Table1[[#This Row],[Campaign_Name2]]))</f>
        <v>0</v>
      </c>
    </row>
    <row r="18" spans="1:20" ht="14.25" customHeight="1" x14ac:dyDescent="0.3">
      <c r="A18" s="3" t="s">
        <v>78</v>
      </c>
      <c r="B18" s="3" t="s">
        <v>43</v>
      </c>
      <c r="C18" s="11">
        <v>45782</v>
      </c>
      <c r="D18" s="3" t="s">
        <v>22</v>
      </c>
      <c r="E18" s="3" t="s">
        <v>56</v>
      </c>
      <c r="F18" s="12">
        <v>4441</v>
      </c>
      <c r="G18" s="12">
        <v>511</v>
      </c>
      <c r="H18" s="12">
        <v>70</v>
      </c>
      <c r="I18" s="12">
        <v>53292</v>
      </c>
      <c r="J18" s="12">
        <v>53082</v>
      </c>
      <c r="K18" s="12">
        <v>159</v>
      </c>
      <c r="L18" s="4" t="s">
        <v>37</v>
      </c>
      <c r="M18" s="5" t="s">
        <v>38</v>
      </c>
      <c r="N18" s="31">
        <f t="shared" si="0"/>
        <v>5022</v>
      </c>
      <c r="O18" s="32">
        <f>IFERROR((Table1[[#This Row],[Likes]]+Table1[[#This Row],[Shares]]+Table1[[#This Row],[Comments]])/Table1[[#This Row],[Impressions]], 0)</f>
        <v>9.4235532537716729E-2</v>
      </c>
      <c r="P18" s="30" t="str" cm="1">
        <f t="array" ref="P18">IFERROR(INDEX('Campaign Metadata (2)'!$A$2:$A$10, MATCH(1, (C18&gt;='Campaign Metadata (2)'!$B$2:$B$10) * (C18&lt;='Campaign Metadata (2)'!$C$2:$C$10), 0)), "No Campaign")</f>
        <v>No Campaign</v>
      </c>
      <c r="Q18" s="33" t="e">
        <f>VLOOKUP(Table1[[#This Row],[Campaign_Name2]],Table3[#All],2,)</f>
        <v>#N/A</v>
      </c>
      <c r="R18" s="33" t="e">
        <f>VLOOKUP(Table1[[#This Row],[Campaign_Name2]],Table3[#All],3,FALSE)</f>
        <v>#N/A</v>
      </c>
      <c r="S18" s="30" t="e">
        <f>VLOOKUP(Table1[[#This Row],[Campaign_Name2]],Table3[],5,FALSE)</f>
        <v>#N/A</v>
      </c>
      <c r="T18" s="30">
        <f>IF(Table1[[#This Row],[Campaign_Name2]]="No Campaign", 0, Table1[[#This Row],[Budget]]/COUNTIF(Table1[Campaign_Name2],Table1[[#This Row],[Campaign_Name2]]))</f>
        <v>0</v>
      </c>
    </row>
    <row r="19" spans="1:20" ht="14.25" customHeight="1" x14ac:dyDescent="0.3">
      <c r="A19" s="3" t="s">
        <v>80</v>
      </c>
      <c r="B19" s="3" t="s">
        <v>33</v>
      </c>
      <c r="C19" s="11">
        <v>45523</v>
      </c>
      <c r="D19" s="3" t="s">
        <v>16</v>
      </c>
      <c r="E19" s="3" t="s">
        <v>82</v>
      </c>
      <c r="F19" s="12">
        <v>3000</v>
      </c>
      <c r="G19" s="12">
        <v>382</v>
      </c>
      <c r="H19" s="12">
        <v>325</v>
      </c>
      <c r="I19" s="12">
        <v>36000</v>
      </c>
      <c r="J19" s="12">
        <v>35819</v>
      </c>
      <c r="K19" s="12">
        <v>19</v>
      </c>
      <c r="L19" s="4" t="s">
        <v>62</v>
      </c>
      <c r="M19" s="5" t="s">
        <v>19</v>
      </c>
      <c r="N19" s="31">
        <f t="shared" si="0"/>
        <v>3707</v>
      </c>
      <c r="O19" s="32">
        <f>IFERROR((Table1[[#This Row],[Likes]]+Table1[[#This Row],[Shares]]+Table1[[#This Row],[Comments]])/Table1[[#This Row],[Impressions]], 0)</f>
        <v>0.10297222222222223</v>
      </c>
      <c r="P19" s="30" t="str" cm="1">
        <f t="array" ref="P19">IFERROR(INDEX('Campaign Metadata (2)'!$A$2:$A$10, MATCH(1, (C19&gt;='Campaign Metadata (2)'!$B$2:$B$10) * (C19&lt;='Campaign Metadata (2)'!$C$2:$C$10), 0)), "No Campaign")</f>
        <v>No Campaign</v>
      </c>
      <c r="Q19" s="33" t="e">
        <f>VLOOKUP(Table1[[#This Row],[Campaign_Name2]],Table3[#All],2,)</f>
        <v>#N/A</v>
      </c>
      <c r="R19" s="33" t="e">
        <f>VLOOKUP(Table1[[#This Row],[Campaign_Name2]],Table3[#All],3,FALSE)</f>
        <v>#N/A</v>
      </c>
      <c r="S19" s="30" t="e">
        <f>VLOOKUP(Table1[[#This Row],[Campaign_Name2]],Table3[],5,FALSE)</f>
        <v>#N/A</v>
      </c>
      <c r="T19" s="30">
        <f>IF(Table1[[#This Row],[Campaign_Name2]]="No Campaign", 0, Table1[[#This Row],[Budget]]/COUNTIF(Table1[Campaign_Name2],Table1[[#This Row],[Campaign_Name2]]))</f>
        <v>0</v>
      </c>
    </row>
    <row r="20" spans="1:20" ht="14.25" customHeight="1" x14ac:dyDescent="0.3">
      <c r="A20" s="3" t="s">
        <v>83</v>
      </c>
      <c r="B20" s="3" t="s">
        <v>33</v>
      </c>
      <c r="C20" s="11">
        <v>45466</v>
      </c>
      <c r="D20" s="3" t="s">
        <v>74</v>
      </c>
      <c r="E20" s="3" t="s">
        <v>85</v>
      </c>
      <c r="F20" s="12">
        <v>1071</v>
      </c>
      <c r="G20" s="12">
        <v>519</v>
      </c>
      <c r="H20" s="12">
        <v>22</v>
      </c>
      <c r="I20" s="12">
        <v>16065</v>
      </c>
      <c r="J20" s="12">
        <v>15865</v>
      </c>
      <c r="K20" s="12">
        <v>103</v>
      </c>
      <c r="L20" s="4" t="s">
        <v>30</v>
      </c>
      <c r="M20" s="5" t="s">
        <v>38</v>
      </c>
      <c r="N20" s="31">
        <f t="shared" si="0"/>
        <v>1612</v>
      </c>
      <c r="O20" s="32">
        <f>IFERROR((Table1[[#This Row],[Likes]]+Table1[[#This Row],[Shares]]+Table1[[#This Row],[Comments]])/Table1[[#This Row],[Impressions]], 0)</f>
        <v>0.10034235916588857</v>
      </c>
      <c r="P20" s="30" t="str" cm="1">
        <f t="array" ref="P20">IFERROR(INDEX('Campaign Metadata (2)'!$A$2:$A$10, MATCH(1, (C20&gt;='Campaign Metadata (2)'!$B$2:$B$10) * (C20&lt;='Campaign Metadata (2)'!$C$2:$C$10), 0)), "No Campaign")</f>
        <v>SummerSplash</v>
      </c>
      <c r="Q20" s="33">
        <f>VLOOKUP(Table1[[#This Row],[Campaign_Name2]],Table3[#All],2,)</f>
        <v>45458</v>
      </c>
      <c r="R20" s="33">
        <f>VLOOKUP(Table1[[#This Row],[Campaign_Name2]],Table3[#All],3,FALSE)</f>
        <v>45488</v>
      </c>
      <c r="S20" s="30">
        <f>VLOOKUP(Table1[[#This Row],[Campaign_Name2]],Table3[],5,FALSE)</f>
        <v>150000</v>
      </c>
      <c r="T20" s="30">
        <f>IF(Table1[[#This Row],[Campaign_Name2]]="No Campaign", 0, Table1[[#This Row],[Budget]]/COUNTIF(Table1[Campaign_Name2],Table1[[#This Row],[Campaign_Name2]]))</f>
        <v>5555.5555555555557</v>
      </c>
    </row>
    <row r="21" spans="1:20" ht="14.25" customHeight="1" x14ac:dyDescent="0.3">
      <c r="A21" s="3" t="s">
        <v>86</v>
      </c>
      <c r="B21" s="3" t="s">
        <v>33</v>
      </c>
      <c r="C21" s="11">
        <v>45544</v>
      </c>
      <c r="D21" s="3" t="s">
        <v>45</v>
      </c>
      <c r="E21" s="3" t="s">
        <v>88</v>
      </c>
      <c r="F21" s="12">
        <v>4054</v>
      </c>
      <c r="G21" s="12">
        <v>488</v>
      </c>
      <c r="H21" s="12">
        <v>373</v>
      </c>
      <c r="I21" s="12">
        <v>77026</v>
      </c>
      <c r="J21" s="12">
        <v>76881</v>
      </c>
      <c r="K21" s="12">
        <v>25</v>
      </c>
      <c r="L21" s="4" t="s">
        <v>30</v>
      </c>
      <c r="M21" s="5" t="s">
        <v>19</v>
      </c>
      <c r="N21" s="31">
        <f t="shared" si="0"/>
        <v>4915</v>
      </c>
      <c r="O21" s="32">
        <f>IFERROR((Table1[[#This Row],[Likes]]+Table1[[#This Row],[Shares]]+Table1[[#This Row],[Comments]])/Table1[[#This Row],[Impressions]], 0)</f>
        <v>6.3809622724794221E-2</v>
      </c>
      <c r="P21" s="30" t="str" cm="1">
        <f t="array" ref="P21">IFERROR(INDEX('Campaign Metadata (2)'!$A$2:$A$10, MATCH(1, (C21&gt;='Campaign Metadata (2)'!$B$2:$B$10) * (C21&lt;='Campaign Metadata (2)'!$C$2:$C$10), 0)), "No Campaign")</f>
        <v>No Campaign</v>
      </c>
      <c r="Q21" s="33" t="e">
        <f>VLOOKUP(Table1[[#This Row],[Campaign_Name2]],Table3[#All],2,)</f>
        <v>#N/A</v>
      </c>
      <c r="R21" s="33" t="e">
        <f>VLOOKUP(Table1[[#This Row],[Campaign_Name2]],Table3[#All],3,FALSE)</f>
        <v>#N/A</v>
      </c>
      <c r="S21" s="30" t="e">
        <f>VLOOKUP(Table1[[#This Row],[Campaign_Name2]],Table3[],5,FALSE)</f>
        <v>#N/A</v>
      </c>
      <c r="T21" s="30">
        <f>IF(Table1[[#This Row],[Campaign_Name2]]="No Campaign", 0, Table1[[#This Row],[Budget]]/COUNTIF(Table1[Campaign_Name2],Table1[[#This Row],[Campaign_Name2]]))</f>
        <v>0</v>
      </c>
    </row>
    <row r="22" spans="1:20" ht="14.25" customHeight="1" x14ac:dyDescent="0.3">
      <c r="A22" s="3" t="s">
        <v>89</v>
      </c>
      <c r="B22" s="3" t="s">
        <v>33</v>
      </c>
      <c r="C22" s="11">
        <v>45661</v>
      </c>
      <c r="D22" s="3" t="s">
        <v>16</v>
      </c>
      <c r="E22" s="3" t="s">
        <v>82</v>
      </c>
      <c r="F22" s="12">
        <v>4838</v>
      </c>
      <c r="G22" s="12">
        <v>640</v>
      </c>
      <c r="H22" s="12">
        <v>128</v>
      </c>
      <c r="I22" s="12">
        <v>72570</v>
      </c>
      <c r="J22" s="12">
        <v>72396</v>
      </c>
      <c r="K22" s="12">
        <v>83</v>
      </c>
      <c r="L22" s="4" t="s">
        <v>62</v>
      </c>
      <c r="M22" s="5" t="s">
        <v>38</v>
      </c>
      <c r="N22" s="31">
        <f t="shared" si="0"/>
        <v>5606</v>
      </c>
      <c r="O22" s="32">
        <f>IFERROR((Table1[[#This Row],[Likes]]+Table1[[#This Row],[Shares]]+Table1[[#This Row],[Comments]])/Table1[[#This Row],[Impressions]], 0)</f>
        <v>7.7249552156538517E-2</v>
      </c>
      <c r="P22" s="30" t="str" cm="1">
        <f t="array" ref="P22">IFERROR(INDEX('Campaign Metadata (2)'!$A$2:$A$10, MATCH(1, (C22&gt;='Campaign Metadata (2)'!$B$2:$B$10) * (C22&lt;='Campaign Metadata (2)'!$C$2:$C$10), 0)), "No Campaign")</f>
        <v>NewYearRefresh</v>
      </c>
      <c r="Q22" s="33">
        <f>VLOOKUP(Table1[[#This Row],[Campaign_Name2]],Table3[#All],2,)</f>
        <v>45651</v>
      </c>
      <c r="R22" s="33">
        <f>VLOOKUP(Table1[[#This Row],[Campaign_Name2]],Table3[#All],3,FALSE)</f>
        <v>45667</v>
      </c>
      <c r="S22" s="30">
        <f>VLOOKUP(Table1[[#This Row],[Campaign_Name2]],Table3[],5,FALSE)</f>
        <v>250000</v>
      </c>
      <c r="T22" s="30">
        <f>IF(Table1[[#This Row],[Campaign_Name2]]="No Campaign", 0, Table1[[#This Row],[Budget]]/COUNTIF(Table1[Campaign_Name2],Table1[[#This Row],[Campaign_Name2]]))</f>
        <v>25000</v>
      </c>
    </row>
    <row r="23" spans="1:20" ht="14.25" customHeight="1" x14ac:dyDescent="0.3">
      <c r="A23" s="3" t="s">
        <v>91</v>
      </c>
      <c r="B23" s="3" t="s">
        <v>43</v>
      </c>
      <c r="C23" s="11">
        <v>45715</v>
      </c>
      <c r="D23" s="3" t="s">
        <v>22</v>
      </c>
      <c r="E23" s="3" t="s">
        <v>56</v>
      </c>
      <c r="F23" s="12">
        <v>1570</v>
      </c>
      <c r="G23" s="12">
        <v>187</v>
      </c>
      <c r="H23" s="12">
        <v>260</v>
      </c>
      <c r="I23" s="12">
        <v>25120</v>
      </c>
      <c r="J23" s="12">
        <v>24613</v>
      </c>
      <c r="K23" s="12">
        <v>133</v>
      </c>
      <c r="L23" s="4" t="s">
        <v>30</v>
      </c>
      <c r="M23" s="5" t="s">
        <v>38</v>
      </c>
      <c r="N23" s="31">
        <f t="shared" si="0"/>
        <v>2017</v>
      </c>
      <c r="O23" s="32">
        <f>IFERROR((Table1[[#This Row],[Likes]]+Table1[[#This Row],[Shares]]+Table1[[#This Row],[Comments]])/Table1[[#This Row],[Impressions]], 0)</f>
        <v>8.0294585987261149E-2</v>
      </c>
      <c r="P23" s="30" t="str" cm="1">
        <f t="array" ref="P23">IFERROR(INDEX('Campaign Metadata (2)'!$A$2:$A$10, MATCH(1, (C23&gt;='Campaign Metadata (2)'!$B$2:$B$10) * (C23&lt;='Campaign Metadata (2)'!$C$2:$C$10), 0)), "No Campaign")</f>
        <v>No Campaign</v>
      </c>
      <c r="Q23" s="33" t="e">
        <f>VLOOKUP(Table1[[#This Row],[Campaign_Name2]],Table3[#All],2,)</f>
        <v>#N/A</v>
      </c>
      <c r="R23" s="33" t="e">
        <f>VLOOKUP(Table1[[#This Row],[Campaign_Name2]],Table3[#All],3,FALSE)</f>
        <v>#N/A</v>
      </c>
      <c r="S23" s="30" t="e">
        <f>VLOOKUP(Table1[[#This Row],[Campaign_Name2]],Table3[],5,FALSE)</f>
        <v>#N/A</v>
      </c>
      <c r="T23" s="30">
        <f>IF(Table1[[#This Row],[Campaign_Name2]]="No Campaign", 0, Table1[[#This Row],[Budget]]/COUNTIF(Table1[Campaign_Name2],Table1[[#This Row],[Campaign_Name2]]))</f>
        <v>0</v>
      </c>
    </row>
    <row r="24" spans="1:20" ht="14.25" customHeight="1" x14ac:dyDescent="0.3">
      <c r="A24" s="3" t="s">
        <v>93</v>
      </c>
      <c r="B24" s="3" t="s">
        <v>43</v>
      </c>
      <c r="C24" s="11">
        <v>45602</v>
      </c>
      <c r="D24" s="3" t="s">
        <v>74</v>
      </c>
      <c r="E24" s="3" t="s">
        <v>75</v>
      </c>
      <c r="F24" s="12">
        <v>1606</v>
      </c>
      <c r="G24" s="12">
        <v>547</v>
      </c>
      <c r="H24" s="12">
        <v>316</v>
      </c>
      <c r="I24" s="12">
        <v>32120</v>
      </c>
      <c r="J24" s="12">
        <v>31736</v>
      </c>
      <c r="K24" s="12">
        <v>225</v>
      </c>
      <c r="L24" s="4" t="s">
        <v>95</v>
      </c>
      <c r="M24" s="5" t="s">
        <v>25</v>
      </c>
      <c r="N24" s="31">
        <f t="shared" si="0"/>
        <v>2469</v>
      </c>
      <c r="O24" s="32">
        <f>IFERROR((Table1[[#This Row],[Likes]]+Table1[[#This Row],[Shares]]+Table1[[#This Row],[Comments]])/Table1[[#This Row],[Impressions]], 0)</f>
        <v>7.6867995018679955E-2</v>
      </c>
      <c r="P24" s="30" t="str" cm="1">
        <f t="array" ref="P24">IFERROR(INDEX('Campaign Metadata (2)'!$A$2:$A$10, MATCH(1, (C24&gt;='Campaign Metadata (2)'!$B$2:$B$10) * (C24&lt;='Campaign Metadata (2)'!$C$2:$C$10), 0)), "No Campaign")</f>
        <v>No Campaign</v>
      </c>
      <c r="Q24" s="33" t="e">
        <f>VLOOKUP(Table1[[#This Row],[Campaign_Name2]],Table3[#All],2,)</f>
        <v>#N/A</v>
      </c>
      <c r="R24" s="33" t="e">
        <f>VLOOKUP(Table1[[#This Row],[Campaign_Name2]],Table3[#All],3,FALSE)</f>
        <v>#N/A</v>
      </c>
      <c r="S24" s="30" t="e">
        <f>VLOOKUP(Table1[[#This Row],[Campaign_Name2]],Table3[],5,FALSE)</f>
        <v>#N/A</v>
      </c>
      <c r="T24" s="30">
        <f>IF(Table1[[#This Row],[Campaign_Name2]]="No Campaign", 0, Table1[[#This Row],[Budget]]/COUNTIF(Table1[Campaign_Name2],Table1[[#This Row],[Campaign_Name2]]))</f>
        <v>0</v>
      </c>
    </row>
    <row r="25" spans="1:20" ht="14.25" customHeight="1" x14ac:dyDescent="0.3">
      <c r="A25" s="3" t="s">
        <v>96</v>
      </c>
      <c r="B25" s="3" t="s">
        <v>43</v>
      </c>
      <c r="C25" s="11">
        <v>45680</v>
      </c>
      <c r="D25" s="3" t="s">
        <v>74</v>
      </c>
      <c r="E25" s="3" t="s">
        <v>75</v>
      </c>
      <c r="F25" s="12">
        <v>3961</v>
      </c>
      <c r="G25" s="12">
        <v>761</v>
      </c>
      <c r="H25" s="12">
        <v>131</v>
      </c>
      <c r="I25" s="12">
        <v>67337</v>
      </c>
      <c r="J25" s="12">
        <v>66615</v>
      </c>
      <c r="K25" s="12">
        <v>161</v>
      </c>
      <c r="L25" s="4" t="s">
        <v>62</v>
      </c>
      <c r="M25" s="5" t="s">
        <v>31</v>
      </c>
      <c r="N25" s="31">
        <f t="shared" si="0"/>
        <v>4853</v>
      </c>
      <c r="O25" s="32">
        <f>IFERROR((Table1[[#This Row],[Likes]]+Table1[[#This Row],[Shares]]+Table1[[#This Row],[Comments]])/Table1[[#This Row],[Impressions]], 0)</f>
        <v>7.2070332803659209E-2</v>
      </c>
      <c r="P25" s="30" t="str" cm="1">
        <f t="array" ref="P25">IFERROR(INDEX('Campaign Metadata (2)'!$A$2:$A$10, MATCH(1, (C25&gt;='Campaign Metadata (2)'!$B$2:$B$10) * (C25&lt;='Campaign Metadata (2)'!$C$2:$C$10), 0)), "No Campaign")</f>
        <v>No Campaign</v>
      </c>
      <c r="Q25" s="33" t="e">
        <f>VLOOKUP(Table1[[#This Row],[Campaign_Name2]],Table3[#All],2,)</f>
        <v>#N/A</v>
      </c>
      <c r="R25" s="33" t="e">
        <f>VLOOKUP(Table1[[#This Row],[Campaign_Name2]],Table3[#All],3,FALSE)</f>
        <v>#N/A</v>
      </c>
      <c r="S25" s="30" t="e">
        <f>VLOOKUP(Table1[[#This Row],[Campaign_Name2]],Table3[],5,FALSE)</f>
        <v>#N/A</v>
      </c>
      <c r="T25" s="30">
        <f>IF(Table1[[#This Row],[Campaign_Name2]]="No Campaign", 0, Table1[[#This Row],[Budget]]/COUNTIF(Table1[Campaign_Name2],Table1[[#This Row],[Campaign_Name2]]))</f>
        <v>0</v>
      </c>
    </row>
    <row r="26" spans="1:20" ht="14.25" customHeight="1" x14ac:dyDescent="0.3">
      <c r="A26" s="3" t="s">
        <v>98</v>
      </c>
      <c r="B26" s="3" t="s">
        <v>14</v>
      </c>
      <c r="C26" s="11">
        <v>45757</v>
      </c>
      <c r="D26" s="3" t="s">
        <v>45</v>
      </c>
      <c r="E26" s="3" t="s">
        <v>49</v>
      </c>
      <c r="F26" s="12">
        <v>3128</v>
      </c>
      <c r="G26" s="12">
        <v>211</v>
      </c>
      <c r="H26" s="12">
        <v>197</v>
      </c>
      <c r="I26" s="12">
        <v>59432</v>
      </c>
      <c r="J26" s="12">
        <v>59182</v>
      </c>
      <c r="K26" s="12">
        <v>238</v>
      </c>
      <c r="L26" s="4" t="s">
        <v>37</v>
      </c>
      <c r="M26" s="5"/>
      <c r="N26" s="31">
        <f t="shared" si="0"/>
        <v>3536</v>
      </c>
      <c r="O26" s="32">
        <f>IFERROR((Table1[[#This Row],[Likes]]+Table1[[#This Row],[Shares]]+Table1[[#This Row],[Comments]])/Table1[[#This Row],[Impressions]], 0)</f>
        <v>5.9496567505720827E-2</v>
      </c>
      <c r="P26" s="30" t="str" cm="1">
        <f t="array" ref="P26">IFERROR(INDEX('Campaign Metadata (2)'!$A$2:$A$10, MATCH(1, (C26&gt;='Campaign Metadata (2)'!$B$2:$B$10) * (C26&lt;='Campaign Metadata (2)'!$C$2:$C$10), 0)), "No Campaign")</f>
        <v>No Campaign</v>
      </c>
      <c r="Q26" s="33" t="e">
        <f>VLOOKUP(Table1[[#This Row],[Campaign_Name2]],Table3[#All],2,)</f>
        <v>#N/A</v>
      </c>
      <c r="R26" s="33" t="e">
        <f>VLOOKUP(Table1[[#This Row],[Campaign_Name2]],Table3[#All],3,FALSE)</f>
        <v>#N/A</v>
      </c>
      <c r="S26" s="30" t="e">
        <f>VLOOKUP(Table1[[#This Row],[Campaign_Name2]],Table3[],5,FALSE)</f>
        <v>#N/A</v>
      </c>
      <c r="T26" s="30">
        <f>IF(Table1[[#This Row],[Campaign_Name2]]="No Campaign", 0, Table1[[#This Row],[Budget]]/COUNTIF(Table1[Campaign_Name2],Table1[[#This Row],[Campaign_Name2]]))</f>
        <v>0</v>
      </c>
    </row>
    <row r="27" spans="1:20" ht="14.25" customHeight="1" x14ac:dyDescent="0.3">
      <c r="A27" s="3" t="s">
        <v>100</v>
      </c>
      <c r="B27" s="3" t="s">
        <v>27</v>
      </c>
      <c r="C27" s="11">
        <v>45752</v>
      </c>
      <c r="D27" s="3" t="s">
        <v>16</v>
      </c>
      <c r="E27" s="3" t="s">
        <v>29</v>
      </c>
      <c r="F27" s="12">
        <v>3009</v>
      </c>
      <c r="G27" s="12">
        <v>413</v>
      </c>
      <c r="H27" s="12">
        <v>358</v>
      </c>
      <c r="I27" s="12">
        <v>42126</v>
      </c>
      <c r="J27" s="12">
        <v>41309</v>
      </c>
      <c r="K27" s="12">
        <v>211</v>
      </c>
      <c r="L27" s="4" t="s">
        <v>62</v>
      </c>
      <c r="M27" s="5" t="s">
        <v>25</v>
      </c>
      <c r="N27" s="31">
        <f t="shared" si="0"/>
        <v>3780</v>
      </c>
      <c r="O27" s="32">
        <f>IFERROR((Table1[[#This Row],[Likes]]+Table1[[#This Row],[Shares]]+Table1[[#This Row],[Comments]])/Table1[[#This Row],[Impressions]], 0)</f>
        <v>8.9730807577268201E-2</v>
      </c>
      <c r="P27" s="30" t="str" cm="1">
        <f t="array" ref="P27">IFERROR(INDEX('Campaign Metadata (2)'!$A$2:$A$10, MATCH(1, (C27&gt;='Campaign Metadata (2)'!$B$2:$B$10) * (C27&lt;='Campaign Metadata (2)'!$C$2:$C$10), 0)), "No Campaign")</f>
        <v>No Campaign</v>
      </c>
      <c r="Q27" s="33" t="e">
        <f>VLOOKUP(Table1[[#This Row],[Campaign_Name2]],Table3[#All],2,)</f>
        <v>#N/A</v>
      </c>
      <c r="R27" s="33" t="e">
        <f>VLOOKUP(Table1[[#This Row],[Campaign_Name2]],Table3[#All],3,FALSE)</f>
        <v>#N/A</v>
      </c>
      <c r="S27" s="30" t="e">
        <f>VLOOKUP(Table1[[#This Row],[Campaign_Name2]],Table3[],5,FALSE)</f>
        <v>#N/A</v>
      </c>
      <c r="T27" s="30">
        <f>IF(Table1[[#This Row],[Campaign_Name2]]="No Campaign", 0, Table1[[#This Row],[Budget]]/COUNTIF(Table1[Campaign_Name2],Table1[[#This Row],[Campaign_Name2]]))</f>
        <v>0</v>
      </c>
    </row>
    <row r="28" spans="1:20" ht="14.25" customHeight="1" x14ac:dyDescent="0.3">
      <c r="A28" s="3" t="s">
        <v>102</v>
      </c>
      <c r="B28" s="3" t="s">
        <v>27</v>
      </c>
      <c r="C28" s="11">
        <v>45552</v>
      </c>
      <c r="D28" s="3" t="s">
        <v>22</v>
      </c>
      <c r="E28" s="3" t="s">
        <v>104</v>
      </c>
      <c r="F28" s="12">
        <v>2076</v>
      </c>
      <c r="G28" s="12">
        <v>195</v>
      </c>
      <c r="H28" s="12">
        <v>104</v>
      </c>
      <c r="I28" s="12">
        <v>33216</v>
      </c>
      <c r="J28" s="12">
        <v>32244</v>
      </c>
      <c r="K28" s="12">
        <v>51</v>
      </c>
      <c r="L28" s="4" t="s">
        <v>62</v>
      </c>
      <c r="M28" s="5" t="s">
        <v>38</v>
      </c>
      <c r="N28" s="31">
        <f t="shared" si="0"/>
        <v>2375</v>
      </c>
      <c r="O28" s="32">
        <f>IFERROR((Table1[[#This Row],[Likes]]+Table1[[#This Row],[Shares]]+Table1[[#This Row],[Comments]])/Table1[[#This Row],[Impressions]], 0)</f>
        <v>7.1501685934489398E-2</v>
      </c>
      <c r="P28" s="30" t="str" cm="1">
        <f t="array" ref="P28">IFERROR(INDEX('Campaign Metadata (2)'!$A$2:$A$10, MATCH(1, (C28&gt;='Campaign Metadata (2)'!$B$2:$B$10) * (C28&lt;='Campaign Metadata (2)'!$C$2:$C$10), 0)), "No Campaign")</f>
        <v>No Campaign</v>
      </c>
      <c r="Q28" s="33" t="e">
        <f>VLOOKUP(Table1[[#This Row],[Campaign_Name2]],Table3[#All],2,)</f>
        <v>#N/A</v>
      </c>
      <c r="R28" s="33" t="e">
        <f>VLOOKUP(Table1[[#This Row],[Campaign_Name2]],Table3[#All],3,FALSE)</f>
        <v>#N/A</v>
      </c>
      <c r="S28" s="30" t="e">
        <f>VLOOKUP(Table1[[#This Row],[Campaign_Name2]],Table3[],5,FALSE)</f>
        <v>#N/A</v>
      </c>
      <c r="T28" s="30">
        <f>IF(Table1[[#This Row],[Campaign_Name2]]="No Campaign", 0, Table1[[#This Row],[Budget]]/COUNTIF(Table1[Campaign_Name2],Table1[[#This Row],[Campaign_Name2]]))</f>
        <v>0</v>
      </c>
    </row>
    <row r="29" spans="1:20" ht="14.25" customHeight="1" x14ac:dyDescent="0.3">
      <c r="A29" s="3" t="s">
        <v>105</v>
      </c>
      <c r="B29" s="3" t="s">
        <v>33</v>
      </c>
      <c r="C29" s="11">
        <v>45720</v>
      </c>
      <c r="D29" s="3" t="s">
        <v>74</v>
      </c>
      <c r="E29" s="3" t="s">
        <v>85</v>
      </c>
      <c r="F29" s="12">
        <v>432</v>
      </c>
      <c r="G29" s="12">
        <v>624</v>
      </c>
      <c r="H29" s="12">
        <v>123</v>
      </c>
      <c r="I29" s="12">
        <v>6912</v>
      </c>
      <c r="J29" s="12">
        <v>6259</v>
      </c>
      <c r="K29" s="12">
        <v>79</v>
      </c>
      <c r="L29" s="4" t="s">
        <v>62</v>
      </c>
      <c r="M29" s="5" t="s">
        <v>38</v>
      </c>
      <c r="N29" s="31">
        <f t="shared" si="0"/>
        <v>1179</v>
      </c>
      <c r="O29" s="32">
        <f>IFERROR((Table1[[#This Row],[Likes]]+Table1[[#This Row],[Shares]]+Table1[[#This Row],[Comments]])/Table1[[#This Row],[Impressions]], 0)</f>
        <v>0.17057291666666666</v>
      </c>
      <c r="P29" s="30" t="str" cm="1">
        <f t="array" ref="P29">IFERROR(INDEX('Campaign Metadata (2)'!$A$2:$A$10, MATCH(1, (C29&gt;='Campaign Metadata (2)'!$B$2:$B$10) * (C29&lt;='Campaign Metadata (2)'!$C$2:$C$10), 0)), "No Campaign")</f>
        <v>DailyWellness</v>
      </c>
      <c r="Q29" s="33">
        <f>VLOOKUP(Table1[[#This Row],[Campaign_Name2]],Table3[#All],2,)</f>
        <v>45717</v>
      </c>
      <c r="R29" s="33">
        <f>VLOOKUP(Table1[[#This Row],[Campaign_Name2]],Table3[#All],3,FALSE)</f>
        <v>45747</v>
      </c>
      <c r="S29" s="30">
        <f>VLOOKUP(Table1[[#This Row],[Campaign_Name2]],Table3[],5,FALSE)</f>
        <v>180000</v>
      </c>
      <c r="T29" s="30">
        <f>IF(Table1[[#This Row],[Campaign_Name2]]="No Campaign", 0, Table1[[#This Row],[Budget]]/COUNTIF(Table1[Campaign_Name2],Table1[[#This Row],[Campaign_Name2]]))</f>
        <v>5625</v>
      </c>
    </row>
    <row r="30" spans="1:20" ht="14.25" customHeight="1" x14ac:dyDescent="0.3">
      <c r="A30" s="3" t="s">
        <v>107</v>
      </c>
      <c r="B30" s="3" t="s">
        <v>33</v>
      </c>
      <c r="C30" s="11">
        <v>45688</v>
      </c>
      <c r="D30" s="3" t="s">
        <v>45</v>
      </c>
      <c r="E30" s="3" t="s">
        <v>88</v>
      </c>
      <c r="F30" s="12">
        <v>2566</v>
      </c>
      <c r="G30" s="12">
        <v>118</v>
      </c>
      <c r="H30" s="12">
        <v>37</v>
      </c>
      <c r="I30" s="12">
        <v>12830</v>
      </c>
      <c r="J30" s="12">
        <v>12264</v>
      </c>
      <c r="K30" s="12">
        <v>221</v>
      </c>
      <c r="L30" s="4" t="s">
        <v>62</v>
      </c>
      <c r="M30" s="5" t="s">
        <v>31</v>
      </c>
      <c r="N30" s="31">
        <f t="shared" si="0"/>
        <v>2721</v>
      </c>
      <c r="O30" s="32">
        <f>IFERROR((Table1[[#This Row],[Likes]]+Table1[[#This Row],[Shares]]+Table1[[#This Row],[Comments]])/Table1[[#This Row],[Impressions]], 0)</f>
        <v>0.21208106001558846</v>
      </c>
      <c r="P30" s="30" t="str" cm="1">
        <f t="array" ref="P30">IFERROR(INDEX('Campaign Metadata (2)'!$A$2:$A$10, MATCH(1, (C30&gt;='Campaign Metadata (2)'!$B$2:$B$10) * (C30&lt;='Campaign Metadata (2)'!$C$2:$C$10), 0)), "No Campaign")</f>
        <v>No Campaign</v>
      </c>
      <c r="Q30" s="33" t="e">
        <f>VLOOKUP(Table1[[#This Row],[Campaign_Name2]],Table3[#All],2,)</f>
        <v>#N/A</v>
      </c>
      <c r="R30" s="33" t="e">
        <f>VLOOKUP(Table1[[#This Row],[Campaign_Name2]],Table3[#All],3,FALSE)</f>
        <v>#N/A</v>
      </c>
      <c r="S30" s="30" t="e">
        <f>VLOOKUP(Table1[[#This Row],[Campaign_Name2]],Table3[],5,FALSE)</f>
        <v>#N/A</v>
      </c>
      <c r="T30" s="30">
        <f>IF(Table1[[#This Row],[Campaign_Name2]]="No Campaign", 0, Table1[[#This Row],[Budget]]/COUNTIF(Table1[Campaign_Name2],Table1[[#This Row],[Campaign_Name2]]))</f>
        <v>0</v>
      </c>
    </row>
    <row r="31" spans="1:20" ht="14.25" customHeight="1" x14ac:dyDescent="0.3">
      <c r="A31" s="3" t="s">
        <v>109</v>
      </c>
      <c r="B31" s="3" t="s">
        <v>33</v>
      </c>
      <c r="C31" s="11">
        <v>45713</v>
      </c>
      <c r="D31" s="3" t="s">
        <v>74</v>
      </c>
      <c r="E31" s="3" t="s">
        <v>85</v>
      </c>
      <c r="F31" s="12">
        <v>3095</v>
      </c>
      <c r="G31" s="12">
        <v>39</v>
      </c>
      <c r="H31" s="12">
        <v>78</v>
      </c>
      <c r="I31" s="12">
        <v>55710</v>
      </c>
      <c r="J31" s="12">
        <v>54808</v>
      </c>
      <c r="K31" s="12">
        <v>93</v>
      </c>
      <c r="L31" s="4" t="s">
        <v>37</v>
      </c>
      <c r="M31" s="5"/>
      <c r="N31" s="31">
        <f t="shared" si="0"/>
        <v>3212</v>
      </c>
      <c r="O31" s="32">
        <f>IFERROR((Table1[[#This Row],[Likes]]+Table1[[#This Row],[Shares]]+Table1[[#This Row],[Comments]])/Table1[[#This Row],[Impressions]], 0)</f>
        <v>5.7655717106444085E-2</v>
      </c>
      <c r="P31" s="30" t="str" cm="1">
        <f t="array" ref="P31">IFERROR(INDEX('Campaign Metadata (2)'!$A$2:$A$10, MATCH(1, (C31&gt;='Campaign Metadata (2)'!$B$2:$B$10) * (C31&lt;='Campaign Metadata (2)'!$C$2:$C$10), 0)), "No Campaign")</f>
        <v>No Campaign</v>
      </c>
      <c r="Q31" s="33" t="e">
        <f>VLOOKUP(Table1[[#This Row],[Campaign_Name2]],Table3[#All],2,)</f>
        <v>#N/A</v>
      </c>
      <c r="R31" s="33" t="e">
        <f>VLOOKUP(Table1[[#This Row],[Campaign_Name2]],Table3[#All],3,FALSE)</f>
        <v>#N/A</v>
      </c>
      <c r="S31" s="30" t="e">
        <f>VLOOKUP(Table1[[#This Row],[Campaign_Name2]],Table3[],5,FALSE)</f>
        <v>#N/A</v>
      </c>
      <c r="T31" s="30">
        <f>IF(Table1[[#This Row],[Campaign_Name2]]="No Campaign", 0, Table1[[#This Row],[Budget]]/COUNTIF(Table1[Campaign_Name2],Table1[[#This Row],[Campaign_Name2]]))</f>
        <v>0</v>
      </c>
    </row>
    <row r="32" spans="1:20" ht="14.25" customHeight="1" x14ac:dyDescent="0.3">
      <c r="A32" s="3" t="s">
        <v>111</v>
      </c>
      <c r="B32" s="3" t="s">
        <v>33</v>
      </c>
      <c r="C32" s="11">
        <v>45642</v>
      </c>
      <c r="D32" s="3" t="s">
        <v>22</v>
      </c>
      <c r="E32" s="3" t="s">
        <v>113</v>
      </c>
      <c r="F32" s="12">
        <v>438</v>
      </c>
      <c r="G32" s="12">
        <v>153</v>
      </c>
      <c r="H32" s="12">
        <v>275</v>
      </c>
      <c r="I32" s="12">
        <v>3066</v>
      </c>
      <c r="J32" s="12">
        <v>2701</v>
      </c>
      <c r="K32" s="12">
        <v>282</v>
      </c>
      <c r="L32" s="4" t="s">
        <v>30</v>
      </c>
      <c r="M32" s="5" t="s">
        <v>25</v>
      </c>
      <c r="N32" s="31">
        <f t="shared" si="0"/>
        <v>866</v>
      </c>
      <c r="O32" s="32">
        <f>IFERROR((Table1[[#This Row],[Likes]]+Table1[[#This Row],[Shares]]+Table1[[#This Row],[Comments]])/Table1[[#This Row],[Impressions]], 0)</f>
        <v>0.28245270711024134</v>
      </c>
      <c r="P32" s="30" t="str" cm="1">
        <f t="array" ref="P32">IFERROR(INDEX('Campaign Metadata (2)'!$A$2:$A$10, MATCH(1, (C32&gt;='Campaign Metadata (2)'!$B$2:$B$10) * (C32&lt;='Campaign Metadata (2)'!$C$2:$C$10), 0)), "No Campaign")</f>
        <v>No Campaign</v>
      </c>
      <c r="Q32" s="33" t="e">
        <f>VLOOKUP(Table1[[#This Row],[Campaign_Name2]],Table3[#All],2,)</f>
        <v>#N/A</v>
      </c>
      <c r="R32" s="33" t="e">
        <f>VLOOKUP(Table1[[#This Row],[Campaign_Name2]],Table3[#All],3,FALSE)</f>
        <v>#N/A</v>
      </c>
      <c r="S32" s="30" t="e">
        <f>VLOOKUP(Table1[[#This Row],[Campaign_Name2]],Table3[],5,FALSE)</f>
        <v>#N/A</v>
      </c>
      <c r="T32" s="30">
        <f>IF(Table1[[#This Row],[Campaign_Name2]]="No Campaign", 0, Table1[[#This Row],[Budget]]/COUNTIF(Table1[Campaign_Name2],Table1[[#This Row],[Campaign_Name2]]))</f>
        <v>0</v>
      </c>
    </row>
    <row r="33" spans="1:20" ht="14.25" customHeight="1" x14ac:dyDescent="0.3">
      <c r="A33" s="3" t="s">
        <v>114</v>
      </c>
      <c r="B33" s="3" t="s">
        <v>14</v>
      </c>
      <c r="C33" s="11">
        <v>45504</v>
      </c>
      <c r="D33" s="3" t="s">
        <v>45</v>
      </c>
      <c r="E33" s="3" t="s">
        <v>49</v>
      </c>
      <c r="F33" s="12">
        <v>2278</v>
      </c>
      <c r="G33" s="12">
        <v>10</v>
      </c>
      <c r="H33" s="12">
        <v>321</v>
      </c>
      <c r="I33" s="12">
        <v>13668</v>
      </c>
      <c r="J33" s="12">
        <v>12676</v>
      </c>
      <c r="K33" s="12">
        <v>275</v>
      </c>
      <c r="L33" s="4" t="s">
        <v>37</v>
      </c>
      <c r="M33" s="5" t="s">
        <v>19</v>
      </c>
      <c r="N33" s="31">
        <f t="shared" si="0"/>
        <v>2609</v>
      </c>
      <c r="O33" s="32">
        <f>IFERROR((Table1[[#This Row],[Likes]]+Table1[[#This Row],[Shares]]+Table1[[#This Row],[Comments]])/Table1[[#This Row],[Impressions]], 0)</f>
        <v>0.19088381621305239</v>
      </c>
      <c r="P33" s="30" t="str" cm="1">
        <f t="array" ref="P33">IFERROR(INDEX('Campaign Metadata (2)'!$A$2:$A$10, MATCH(1, (C33&gt;='Campaign Metadata (2)'!$B$2:$B$10) * (C33&lt;='Campaign Metadata (2)'!$C$2:$C$10), 0)), "No Campaign")</f>
        <v>No Campaign</v>
      </c>
      <c r="Q33" s="33" t="e">
        <f>VLOOKUP(Table1[[#This Row],[Campaign_Name2]],Table3[#All],2,)</f>
        <v>#N/A</v>
      </c>
      <c r="R33" s="33" t="e">
        <f>VLOOKUP(Table1[[#This Row],[Campaign_Name2]],Table3[#All],3,FALSE)</f>
        <v>#N/A</v>
      </c>
      <c r="S33" s="30" t="e">
        <f>VLOOKUP(Table1[[#This Row],[Campaign_Name2]],Table3[],5,FALSE)</f>
        <v>#N/A</v>
      </c>
      <c r="T33" s="30">
        <f>IF(Table1[[#This Row],[Campaign_Name2]]="No Campaign", 0, Table1[[#This Row],[Budget]]/COUNTIF(Table1[Campaign_Name2],Table1[[#This Row],[Campaign_Name2]]))</f>
        <v>0</v>
      </c>
    </row>
    <row r="34" spans="1:20" ht="14.25" customHeight="1" x14ac:dyDescent="0.3">
      <c r="A34" s="3" t="s">
        <v>116</v>
      </c>
      <c r="B34" s="3" t="s">
        <v>43</v>
      </c>
      <c r="C34" s="11">
        <v>45525</v>
      </c>
      <c r="D34" s="3" t="s">
        <v>52</v>
      </c>
      <c r="E34" s="3" t="s">
        <v>59</v>
      </c>
      <c r="F34" s="12">
        <v>1407</v>
      </c>
      <c r="G34" s="12">
        <v>400</v>
      </c>
      <c r="H34" s="12">
        <v>351</v>
      </c>
      <c r="I34" s="12">
        <v>16884</v>
      </c>
      <c r="J34" s="12">
        <v>15954</v>
      </c>
      <c r="K34" s="12">
        <v>113</v>
      </c>
      <c r="L34" s="4" t="s">
        <v>30</v>
      </c>
      <c r="M34" s="5" t="s">
        <v>19</v>
      </c>
      <c r="N34" s="31">
        <f t="shared" si="0"/>
        <v>2158</v>
      </c>
      <c r="O34" s="32">
        <f>IFERROR((Table1[[#This Row],[Likes]]+Table1[[#This Row],[Shares]]+Table1[[#This Row],[Comments]])/Table1[[#This Row],[Impressions]], 0)</f>
        <v>0.12781331438047855</v>
      </c>
      <c r="P34" s="30" t="str" cm="1">
        <f t="array" ref="P34">IFERROR(INDEX('Campaign Metadata (2)'!$A$2:$A$10, MATCH(1, (C34&gt;='Campaign Metadata (2)'!$B$2:$B$10) * (C34&lt;='Campaign Metadata (2)'!$C$2:$C$10), 0)), "No Campaign")</f>
        <v>No Campaign</v>
      </c>
      <c r="Q34" s="33" t="e">
        <f>VLOOKUP(Table1[[#This Row],[Campaign_Name2]],Table3[#All],2,)</f>
        <v>#N/A</v>
      </c>
      <c r="R34" s="33" t="e">
        <f>VLOOKUP(Table1[[#This Row],[Campaign_Name2]],Table3[#All],3,FALSE)</f>
        <v>#N/A</v>
      </c>
      <c r="S34" s="30" t="e">
        <f>VLOOKUP(Table1[[#This Row],[Campaign_Name2]],Table3[],5,FALSE)</f>
        <v>#N/A</v>
      </c>
      <c r="T34" s="30">
        <f>IF(Table1[[#This Row],[Campaign_Name2]]="No Campaign", 0, Table1[[#This Row],[Budget]]/COUNTIF(Table1[Campaign_Name2],Table1[[#This Row],[Campaign_Name2]]))</f>
        <v>0</v>
      </c>
    </row>
    <row r="35" spans="1:20" ht="14.25" customHeight="1" x14ac:dyDescent="0.3">
      <c r="A35" s="3" t="s">
        <v>118</v>
      </c>
      <c r="B35" s="3" t="s">
        <v>43</v>
      </c>
      <c r="C35" s="11">
        <v>45742</v>
      </c>
      <c r="D35" s="3" t="s">
        <v>22</v>
      </c>
      <c r="E35" s="3" t="s">
        <v>56</v>
      </c>
      <c r="F35" s="12">
        <v>1652</v>
      </c>
      <c r="G35" s="12">
        <v>89</v>
      </c>
      <c r="H35" s="12">
        <v>357</v>
      </c>
      <c r="I35" s="12">
        <v>29736</v>
      </c>
      <c r="J35" s="12">
        <v>28771</v>
      </c>
      <c r="K35" s="12">
        <v>215</v>
      </c>
      <c r="L35" s="4" t="s">
        <v>30</v>
      </c>
      <c r="M35" s="5" t="s">
        <v>31</v>
      </c>
      <c r="N35" s="31">
        <f t="shared" si="0"/>
        <v>2098</v>
      </c>
      <c r="O35" s="32">
        <f>IFERROR((Table1[[#This Row],[Likes]]+Table1[[#This Row],[Shares]]+Table1[[#This Row],[Comments]])/Table1[[#This Row],[Impressions]], 0)</f>
        <v>7.055421038471886E-2</v>
      </c>
      <c r="P35" s="30" t="str" cm="1">
        <f t="array" ref="P35">IFERROR(INDEX('Campaign Metadata (2)'!$A$2:$A$10, MATCH(1, (C35&gt;='Campaign Metadata (2)'!$B$2:$B$10) * (C35&lt;='Campaign Metadata (2)'!$C$2:$C$10), 0)), "No Campaign")</f>
        <v>DailyWellness</v>
      </c>
      <c r="Q35" s="33">
        <f>VLOOKUP(Table1[[#This Row],[Campaign_Name2]],Table3[#All],2,)</f>
        <v>45717</v>
      </c>
      <c r="R35" s="33">
        <f>VLOOKUP(Table1[[#This Row],[Campaign_Name2]],Table3[#All],3,FALSE)</f>
        <v>45747</v>
      </c>
      <c r="S35" s="30">
        <f>VLOOKUP(Table1[[#This Row],[Campaign_Name2]],Table3[],5,FALSE)</f>
        <v>180000</v>
      </c>
      <c r="T35" s="30">
        <f>IF(Table1[[#This Row],[Campaign_Name2]]="No Campaign", 0, Table1[[#This Row],[Budget]]/COUNTIF(Table1[Campaign_Name2],Table1[[#This Row],[Campaign_Name2]]))</f>
        <v>5625</v>
      </c>
    </row>
    <row r="36" spans="1:20" ht="14.25" customHeight="1" x14ac:dyDescent="0.3">
      <c r="A36" s="3" t="s">
        <v>120</v>
      </c>
      <c r="B36" s="3" t="s">
        <v>33</v>
      </c>
      <c r="C36" s="11">
        <v>45626</v>
      </c>
      <c r="D36" s="3" t="s">
        <v>74</v>
      </c>
      <c r="E36" s="3" t="s">
        <v>85</v>
      </c>
      <c r="F36" s="12">
        <v>3775</v>
      </c>
      <c r="G36" s="12">
        <v>16</v>
      </c>
      <c r="H36" s="12">
        <v>239</v>
      </c>
      <c r="I36" s="12">
        <v>33975</v>
      </c>
      <c r="J36" s="12">
        <v>33310</v>
      </c>
      <c r="K36" s="12">
        <v>271</v>
      </c>
      <c r="L36" s="4" t="s">
        <v>62</v>
      </c>
      <c r="M36" s="5" t="s">
        <v>25</v>
      </c>
      <c r="N36" s="31">
        <f t="shared" si="0"/>
        <v>4030</v>
      </c>
      <c r="O36" s="32">
        <f>IFERROR((Table1[[#This Row],[Likes]]+Table1[[#This Row],[Shares]]+Table1[[#This Row],[Comments]])/Table1[[#This Row],[Impressions]], 0)</f>
        <v>0.11861662987490802</v>
      </c>
      <c r="P36" s="30" t="str" cm="1">
        <f t="array" ref="P36">IFERROR(INDEX('Campaign Metadata (2)'!$A$2:$A$10, MATCH(1, (C36&gt;='Campaign Metadata (2)'!$B$2:$B$10) * (C36&lt;='Campaign Metadata (2)'!$C$2:$C$10), 0)), "No Campaign")</f>
        <v>No Campaign</v>
      </c>
      <c r="Q36" s="33" t="e">
        <f>VLOOKUP(Table1[[#This Row],[Campaign_Name2]],Table3[#All],2,)</f>
        <v>#N/A</v>
      </c>
      <c r="R36" s="33" t="e">
        <f>VLOOKUP(Table1[[#This Row],[Campaign_Name2]],Table3[#All],3,FALSE)</f>
        <v>#N/A</v>
      </c>
      <c r="S36" s="30" t="e">
        <f>VLOOKUP(Table1[[#This Row],[Campaign_Name2]],Table3[],5,FALSE)</f>
        <v>#N/A</v>
      </c>
      <c r="T36" s="30">
        <f>IF(Table1[[#This Row],[Campaign_Name2]]="No Campaign", 0, Table1[[#This Row],[Budget]]/COUNTIF(Table1[Campaign_Name2],Table1[[#This Row],[Campaign_Name2]]))</f>
        <v>0</v>
      </c>
    </row>
    <row r="37" spans="1:20" ht="14.25" customHeight="1" x14ac:dyDescent="0.3">
      <c r="A37" s="3" t="s">
        <v>122</v>
      </c>
      <c r="B37" s="3" t="s">
        <v>33</v>
      </c>
      <c r="C37" s="11">
        <v>45766</v>
      </c>
      <c r="D37" s="3" t="s">
        <v>35</v>
      </c>
      <c r="E37" s="3" t="s">
        <v>36</v>
      </c>
      <c r="F37" s="12">
        <v>4518</v>
      </c>
      <c r="G37" s="12">
        <v>285</v>
      </c>
      <c r="H37" s="12">
        <v>383</v>
      </c>
      <c r="I37" s="12">
        <v>67770</v>
      </c>
      <c r="J37" s="12">
        <v>67621</v>
      </c>
      <c r="K37" s="12">
        <v>31</v>
      </c>
      <c r="L37" s="4" t="s">
        <v>37</v>
      </c>
      <c r="M37" s="5" t="s">
        <v>25</v>
      </c>
      <c r="N37" s="31">
        <f t="shared" si="0"/>
        <v>5186</v>
      </c>
      <c r="O37" s="32">
        <f>IFERROR((Table1[[#This Row],[Likes]]+Table1[[#This Row],[Shares]]+Table1[[#This Row],[Comments]])/Table1[[#This Row],[Impressions]], 0)</f>
        <v>7.6523535487678915E-2</v>
      </c>
      <c r="P37" s="30" t="str" cm="1">
        <f t="array" ref="P37">IFERROR(INDEX('Campaign Metadata (2)'!$A$2:$A$10, MATCH(1, (C37&gt;='Campaign Metadata (2)'!$B$2:$B$10) * (C37&lt;='Campaign Metadata (2)'!$C$2:$C$10), 0)), "No Campaign")</f>
        <v>No Campaign</v>
      </c>
      <c r="Q37" s="33" t="e">
        <f>VLOOKUP(Table1[[#This Row],[Campaign_Name2]],Table3[#All],2,)</f>
        <v>#N/A</v>
      </c>
      <c r="R37" s="33" t="e">
        <f>VLOOKUP(Table1[[#This Row],[Campaign_Name2]],Table3[#All],3,FALSE)</f>
        <v>#N/A</v>
      </c>
      <c r="S37" s="30" t="e">
        <f>VLOOKUP(Table1[[#This Row],[Campaign_Name2]],Table3[],5,FALSE)</f>
        <v>#N/A</v>
      </c>
      <c r="T37" s="30">
        <f>IF(Table1[[#This Row],[Campaign_Name2]]="No Campaign", 0, Table1[[#This Row],[Budget]]/COUNTIF(Table1[Campaign_Name2],Table1[[#This Row],[Campaign_Name2]]))</f>
        <v>0</v>
      </c>
    </row>
    <row r="38" spans="1:20" ht="14.25" customHeight="1" x14ac:dyDescent="0.3">
      <c r="A38" s="3" t="s">
        <v>124</v>
      </c>
      <c r="B38" s="3" t="s">
        <v>43</v>
      </c>
      <c r="C38" s="11">
        <v>45663</v>
      </c>
      <c r="D38" s="3" t="s">
        <v>45</v>
      </c>
      <c r="E38" s="3" t="s">
        <v>46</v>
      </c>
      <c r="F38" s="12">
        <v>3024</v>
      </c>
      <c r="G38" s="12">
        <v>925</v>
      </c>
      <c r="H38" s="12">
        <v>350</v>
      </c>
      <c r="I38" s="12">
        <v>24192</v>
      </c>
      <c r="J38" s="12">
        <v>23518</v>
      </c>
      <c r="K38" s="12">
        <v>36</v>
      </c>
      <c r="L38" s="4" t="s">
        <v>37</v>
      </c>
      <c r="M38" s="5" t="s">
        <v>25</v>
      </c>
      <c r="N38" s="31">
        <f t="shared" si="0"/>
        <v>4299</v>
      </c>
      <c r="O38" s="32">
        <f>IFERROR((Table1[[#This Row],[Likes]]+Table1[[#This Row],[Shares]]+Table1[[#This Row],[Comments]])/Table1[[#This Row],[Impressions]], 0)</f>
        <v>0.17770337301587302</v>
      </c>
      <c r="P38" s="30" t="str" cm="1">
        <f t="array" ref="P38">IFERROR(INDEX('Campaign Metadata (2)'!$A$2:$A$10, MATCH(1, (C38&gt;='Campaign Metadata (2)'!$B$2:$B$10) * (C38&lt;='Campaign Metadata (2)'!$C$2:$C$10), 0)), "No Campaign")</f>
        <v>NewYearRefresh</v>
      </c>
      <c r="Q38" s="33">
        <f>VLOOKUP(Table1[[#This Row],[Campaign_Name2]],Table3[#All],2,)</f>
        <v>45651</v>
      </c>
      <c r="R38" s="33">
        <f>VLOOKUP(Table1[[#This Row],[Campaign_Name2]],Table3[#All],3,FALSE)</f>
        <v>45667</v>
      </c>
      <c r="S38" s="30">
        <f>VLOOKUP(Table1[[#This Row],[Campaign_Name2]],Table3[],5,FALSE)</f>
        <v>250000</v>
      </c>
      <c r="T38" s="30">
        <f>IF(Table1[[#This Row],[Campaign_Name2]]="No Campaign", 0, Table1[[#This Row],[Budget]]/COUNTIF(Table1[Campaign_Name2],Table1[[#This Row],[Campaign_Name2]]))</f>
        <v>25000</v>
      </c>
    </row>
    <row r="39" spans="1:20" ht="14.25" customHeight="1" x14ac:dyDescent="0.3">
      <c r="A39" s="3" t="s">
        <v>126</v>
      </c>
      <c r="B39" s="3" t="s">
        <v>27</v>
      </c>
      <c r="C39" s="11">
        <v>45705</v>
      </c>
      <c r="D39" s="3" t="s">
        <v>16</v>
      </c>
      <c r="E39" s="3" t="s">
        <v>29</v>
      </c>
      <c r="F39" s="12">
        <v>3138</v>
      </c>
      <c r="G39" s="12">
        <v>123</v>
      </c>
      <c r="H39" s="12">
        <v>291</v>
      </c>
      <c r="I39" s="12">
        <v>28242</v>
      </c>
      <c r="J39" s="12">
        <v>27550</v>
      </c>
      <c r="K39" s="12">
        <v>87</v>
      </c>
      <c r="L39" s="4" t="s">
        <v>30</v>
      </c>
      <c r="M39" s="5" t="s">
        <v>38</v>
      </c>
      <c r="N39" s="31">
        <f t="shared" si="0"/>
        <v>3552</v>
      </c>
      <c r="O39" s="32">
        <f>IFERROR((Table1[[#This Row],[Likes]]+Table1[[#This Row],[Shares]]+Table1[[#This Row],[Comments]])/Table1[[#This Row],[Impressions]], 0)</f>
        <v>0.12577012959422137</v>
      </c>
      <c r="P39" s="30" t="str" cm="1">
        <f t="array" ref="P39">IFERROR(INDEX('Campaign Metadata (2)'!$A$2:$A$10, MATCH(1, (C39&gt;='Campaign Metadata (2)'!$B$2:$B$10) * (C39&lt;='Campaign Metadata (2)'!$C$2:$C$10), 0)), "No Campaign")</f>
        <v>No Campaign</v>
      </c>
      <c r="Q39" s="33" t="e">
        <f>VLOOKUP(Table1[[#This Row],[Campaign_Name2]],Table3[#All],2,)</f>
        <v>#N/A</v>
      </c>
      <c r="R39" s="33" t="e">
        <f>VLOOKUP(Table1[[#This Row],[Campaign_Name2]],Table3[#All],3,FALSE)</f>
        <v>#N/A</v>
      </c>
      <c r="S39" s="30" t="e">
        <f>VLOOKUP(Table1[[#This Row],[Campaign_Name2]],Table3[],5,FALSE)</f>
        <v>#N/A</v>
      </c>
      <c r="T39" s="30">
        <f>IF(Table1[[#This Row],[Campaign_Name2]]="No Campaign", 0, Table1[[#This Row],[Budget]]/COUNTIF(Table1[Campaign_Name2],Table1[[#This Row],[Campaign_Name2]]))</f>
        <v>0</v>
      </c>
    </row>
    <row r="40" spans="1:20" ht="14.25" customHeight="1" x14ac:dyDescent="0.3">
      <c r="A40" s="3" t="s">
        <v>128</v>
      </c>
      <c r="B40" s="3" t="s">
        <v>43</v>
      </c>
      <c r="C40" s="11">
        <v>45621</v>
      </c>
      <c r="D40" s="3" t="s">
        <v>52</v>
      </c>
      <c r="E40" s="3" t="s">
        <v>59</v>
      </c>
      <c r="F40" s="12">
        <v>3564</v>
      </c>
      <c r="G40" s="12">
        <v>629</v>
      </c>
      <c r="H40" s="12">
        <v>177</v>
      </c>
      <c r="I40" s="12">
        <v>60588</v>
      </c>
      <c r="J40" s="12">
        <v>59627</v>
      </c>
      <c r="K40" s="12">
        <v>92</v>
      </c>
      <c r="L40" s="4" t="s">
        <v>30</v>
      </c>
      <c r="M40" s="5"/>
      <c r="N40" s="31">
        <f t="shared" si="0"/>
        <v>4370</v>
      </c>
      <c r="O40" s="32">
        <f>IFERROR((Table1[[#This Row],[Likes]]+Table1[[#This Row],[Shares]]+Table1[[#This Row],[Comments]])/Table1[[#This Row],[Impressions]], 0)</f>
        <v>7.2126493695121141E-2</v>
      </c>
      <c r="P40" s="30" t="str" cm="1">
        <f t="array" ref="P40">IFERROR(INDEX('Campaign Metadata (2)'!$A$2:$A$10, MATCH(1, (C40&gt;='Campaign Metadata (2)'!$B$2:$B$10) * (C40&lt;='Campaign Metadata (2)'!$C$2:$C$10), 0)), "No Campaign")</f>
        <v>No Campaign</v>
      </c>
      <c r="Q40" s="33" t="e">
        <f>VLOOKUP(Table1[[#This Row],[Campaign_Name2]],Table3[#All],2,)</f>
        <v>#N/A</v>
      </c>
      <c r="R40" s="33" t="e">
        <f>VLOOKUP(Table1[[#This Row],[Campaign_Name2]],Table3[#All],3,FALSE)</f>
        <v>#N/A</v>
      </c>
      <c r="S40" s="30" t="e">
        <f>VLOOKUP(Table1[[#This Row],[Campaign_Name2]],Table3[],5,FALSE)</f>
        <v>#N/A</v>
      </c>
      <c r="T40" s="30">
        <f>IF(Table1[[#This Row],[Campaign_Name2]]="No Campaign", 0, Table1[[#This Row],[Budget]]/COUNTIF(Table1[Campaign_Name2],Table1[[#This Row],[Campaign_Name2]]))</f>
        <v>0</v>
      </c>
    </row>
    <row r="41" spans="1:20" ht="14.25" customHeight="1" x14ac:dyDescent="0.3">
      <c r="A41" s="3" t="s">
        <v>130</v>
      </c>
      <c r="B41" s="3" t="s">
        <v>14</v>
      </c>
      <c r="C41" s="11">
        <v>45723</v>
      </c>
      <c r="D41" s="3" t="s">
        <v>52</v>
      </c>
      <c r="E41" s="3" t="s">
        <v>132</v>
      </c>
      <c r="F41" s="12">
        <v>4750</v>
      </c>
      <c r="G41" s="12">
        <v>151</v>
      </c>
      <c r="H41" s="12">
        <v>415</v>
      </c>
      <c r="I41" s="12">
        <v>38000</v>
      </c>
      <c r="J41" s="12">
        <v>37792</v>
      </c>
      <c r="K41" s="12">
        <v>299</v>
      </c>
      <c r="L41" s="4" t="s">
        <v>37</v>
      </c>
      <c r="M41" s="5" t="s">
        <v>38</v>
      </c>
      <c r="N41" s="31">
        <f t="shared" si="0"/>
        <v>5316</v>
      </c>
      <c r="O41" s="32">
        <f>IFERROR((Table1[[#This Row],[Likes]]+Table1[[#This Row],[Shares]]+Table1[[#This Row],[Comments]])/Table1[[#This Row],[Impressions]], 0)</f>
        <v>0.13989473684210527</v>
      </c>
      <c r="P41" s="30" t="str" cm="1">
        <f t="array" ref="P41">IFERROR(INDEX('Campaign Metadata (2)'!$A$2:$A$10, MATCH(1, (C41&gt;='Campaign Metadata (2)'!$B$2:$B$10) * (C41&lt;='Campaign Metadata (2)'!$C$2:$C$10), 0)), "No Campaign")</f>
        <v>DailyWellness</v>
      </c>
      <c r="Q41" s="33">
        <f>VLOOKUP(Table1[[#This Row],[Campaign_Name2]],Table3[#All],2,)</f>
        <v>45717</v>
      </c>
      <c r="R41" s="33">
        <f>VLOOKUP(Table1[[#This Row],[Campaign_Name2]],Table3[#All],3,FALSE)</f>
        <v>45747</v>
      </c>
      <c r="S41" s="30">
        <f>VLOOKUP(Table1[[#This Row],[Campaign_Name2]],Table3[],5,FALSE)</f>
        <v>180000</v>
      </c>
      <c r="T41" s="30">
        <f>IF(Table1[[#This Row],[Campaign_Name2]]="No Campaign", 0, Table1[[#This Row],[Budget]]/COUNTIF(Table1[Campaign_Name2],Table1[[#This Row],[Campaign_Name2]]))</f>
        <v>5625</v>
      </c>
    </row>
    <row r="42" spans="1:20" ht="14.25" customHeight="1" x14ac:dyDescent="0.3">
      <c r="A42" s="3" t="s">
        <v>133</v>
      </c>
      <c r="B42" s="3" t="s">
        <v>33</v>
      </c>
      <c r="C42" s="11">
        <v>45724</v>
      </c>
      <c r="D42" s="3" t="s">
        <v>16</v>
      </c>
      <c r="E42" s="3" t="s">
        <v>82</v>
      </c>
      <c r="F42" s="12">
        <v>456</v>
      </c>
      <c r="G42" s="12">
        <v>629</v>
      </c>
      <c r="H42" s="12">
        <v>428</v>
      </c>
      <c r="I42" s="12">
        <v>8208</v>
      </c>
      <c r="J42" s="12">
        <v>7377</v>
      </c>
      <c r="K42" s="12">
        <v>205</v>
      </c>
      <c r="L42" s="4" t="s">
        <v>62</v>
      </c>
      <c r="M42" s="5" t="s">
        <v>38</v>
      </c>
      <c r="N42" s="31">
        <f t="shared" si="0"/>
        <v>1513</v>
      </c>
      <c r="O42" s="32">
        <f>IFERROR((Table1[[#This Row],[Likes]]+Table1[[#This Row],[Shares]]+Table1[[#This Row],[Comments]])/Table1[[#This Row],[Impressions]], 0)</f>
        <v>0.18433235867446393</v>
      </c>
      <c r="P42" s="30" t="str" cm="1">
        <f t="array" ref="P42">IFERROR(INDEX('Campaign Metadata (2)'!$A$2:$A$10, MATCH(1, (C42&gt;='Campaign Metadata (2)'!$B$2:$B$10) * (C42&lt;='Campaign Metadata (2)'!$C$2:$C$10), 0)), "No Campaign")</f>
        <v>DailyWellness</v>
      </c>
      <c r="Q42" s="33">
        <f>VLOOKUP(Table1[[#This Row],[Campaign_Name2]],Table3[#All],2,)</f>
        <v>45717</v>
      </c>
      <c r="R42" s="33">
        <f>VLOOKUP(Table1[[#This Row],[Campaign_Name2]],Table3[#All],3,FALSE)</f>
        <v>45747</v>
      </c>
      <c r="S42" s="30">
        <f>VLOOKUP(Table1[[#This Row],[Campaign_Name2]],Table3[],5,FALSE)</f>
        <v>180000</v>
      </c>
      <c r="T42" s="30">
        <f>IF(Table1[[#This Row],[Campaign_Name2]]="No Campaign", 0, Table1[[#This Row],[Budget]]/COUNTIF(Table1[Campaign_Name2],Table1[[#This Row],[Campaign_Name2]]))</f>
        <v>5625</v>
      </c>
    </row>
    <row r="43" spans="1:20" ht="14.25" customHeight="1" x14ac:dyDescent="0.3">
      <c r="A43" s="3" t="s">
        <v>135</v>
      </c>
      <c r="B43" s="3" t="s">
        <v>27</v>
      </c>
      <c r="C43" s="11">
        <v>45721</v>
      </c>
      <c r="D43" s="3" t="s">
        <v>16</v>
      </c>
      <c r="E43" s="3" t="s">
        <v>29</v>
      </c>
      <c r="F43" s="12">
        <v>1543</v>
      </c>
      <c r="G43" s="12">
        <v>820</v>
      </c>
      <c r="H43" s="12">
        <v>333</v>
      </c>
      <c r="I43" s="12">
        <v>12344</v>
      </c>
      <c r="J43" s="12">
        <v>11496</v>
      </c>
      <c r="K43" s="12">
        <v>241</v>
      </c>
      <c r="L43" s="4" t="s">
        <v>37</v>
      </c>
      <c r="M43" s="5"/>
      <c r="N43" s="31">
        <f t="shared" si="0"/>
        <v>2696</v>
      </c>
      <c r="O43" s="32">
        <f>IFERROR((Table1[[#This Row],[Likes]]+Table1[[#This Row],[Shares]]+Table1[[#This Row],[Comments]])/Table1[[#This Row],[Impressions]], 0)</f>
        <v>0.21840570317563188</v>
      </c>
      <c r="P43" s="30" t="str" cm="1">
        <f t="array" ref="P43">IFERROR(INDEX('Campaign Metadata (2)'!$A$2:$A$10, MATCH(1, (C43&gt;='Campaign Metadata (2)'!$B$2:$B$10) * (C43&lt;='Campaign Metadata (2)'!$C$2:$C$10), 0)), "No Campaign")</f>
        <v>DailyWellness</v>
      </c>
      <c r="Q43" s="33">
        <f>VLOOKUP(Table1[[#This Row],[Campaign_Name2]],Table3[#All],2,)</f>
        <v>45717</v>
      </c>
      <c r="R43" s="33">
        <f>VLOOKUP(Table1[[#This Row],[Campaign_Name2]],Table3[#All],3,FALSE)</f>
        <v>45747</v>
      </c>
      <c r="S43" s="30">
        <f>VLOOKUP(Table1[[#This Row],[Campaign_Name2]],Table3[],5,FALSE)</f>
        <v>180000</v>
      </c>
      <c r="T43" s="30">
        <f>IF(Table1[[#This Row],[Campaign_Name2]]="No Campaign", 0, Table1[[#This Row],[Budget]]/COUNTIF(Table1[Campaign_Name2],Table1[[#This Row],[Campaign_Name2]]))</f>
        <v>5625</v>
      </c>
    </row>
    <row r="44" spans="1:20" ht="14.25" customHeight="1" x14ac:dyDescent="0.3">
      <c r="A44" s="3" t="s">
        <v>137</v>
      </c>
      <c r="B44" s="3" t="s">
        <v>33</v>
      </c>
      <c r="C44" s="11">
        <v>45640</v>
      </c>
      <c r="D44" s="3" t="s">
        <v>45</v>
      </c>
      <c r="E44" s="3" t="s">
        <v>88</v>
      </c>
      <c r="F44" s="12">
        <v>2174</v>
      </c>
      <c r="G44" s="12">
        <v>658</v>
      </c>
      <c r="H44" s="12">
        <v>15</v>
      </c>
      <c r="I44" s="12">
        <v>13044</v>
      </c>
      <c r="J44" s="12">
        <v>12206</v>
      </c>
      <c r="K44" s="12">
        <v>137</v>
      </c>
      <c r="L44" s="4" t="s">
        <v>30</v>
      </c>
      <c r="M44" s="5" t="s">
        <v>31</v>
      </c>
      <c r="N44" s="31">
        <f t="shared" si="0"/>
        <v>2847</v>
      </c>
      <c r="O44" s="32">
        <f>IFERROR((Table1[[#This Row],[Likes]]+Table1[[#This Row],[Shares]]+Table1[[#This Row],[Comments]])/Table1[[#This Row],[Impressions]], 0)</f>
        <v>0.21826126954921804</v>
      </c>
      <c r="P44" s="30" t="str" cm="1">
        <f t="array" ref="P44">IFERROR(INDEX('Campaign Metadata (2)'!$A$2:$A$10, MATCH(1, (C44&gt;='Campaign Metadata (2)'!$B$2:$B$10) * (C44&lt;='Campaign Metadata (2)'!$C$2:$C$10), 0)), "No Campaign")</f>
        <v>No Campaign</v>
      </c>
      <c r="Q44" s="33" t="e">
        <f>VLOOKUP(Table1[[#This Row],[Campaign_Name2]],Table3[#All],2,)</f>
        <v>#N/A</v>
      </c>
      <c r="R44" s="33" t="e">
        <f>VLOOKUP(Table1[[#This Row],[Campaign_Name2]],Table3[#All],3,FALSE)</f>
        <v>#N/A</v>
      </c>
      <c r="S44" s="30" t="e">
        <f>VLOOKUP(Table1[[#This Row],[Campaign_Name2]],Table3[],5,FALSE)</f>
        <v>#N/A</v>
      </c>
      <c r="T44" s="30">
        <f>IF(Table1[[#This Row],[Campaign_Name2]]="No Campaign", 0, Table1[[#This Row],[Budget]]/COUNTIF(Table1[Campaign_Name2],Table1[[#This Row],[Campaign_Name2]]))</f>
        <v>0</v>
      </c>
    </row>
    <row r="45" spans="1:20" ht="14.25" customHeight="1" x14ac:dyDescent="0.3">
      <c r="A45" s="3" t="s">
        <v>139</v>
      </c>
      <c r="B45" s="3" t="s">
        <v>14</v>
      </c>
      <c r="C45" s="11">
        <v>45718</v>
      </c>
      <c r="D45" s="3" t="s">
        <v>52</v>
      </c>
      <c r="E45" s="3" t="s">
        <v>132</v>
      </c>
      <c r="F45" s="12">
        <v>2358</v>
      </c>
      <c r="G45" s="12">
        <v>784</v>
      </c>
      <c r="H45" s="12">
        <v>344</v>
      </c>
      <c r="I45" s="12">
        <v>35370</v>
      </c>
      <c r="J45" s="12">
        <v>34475</v>
      </c>
      <c r="K45" s="12">
        <v>216</v>
      </c>
      <c r="L45" s="4" t="s">
        <v>30</v>
      </c>
      <c r="M45" s="5"/>
      <c r="N45" s="31">
        <f t="shared" si="0"/>
        <v>3486</v>
      </c>
      <c r="O45" s="32">
        <f>IFERROR((Table1[[#This Row],[Likes]]+Table1[[#This Row],[Shares]]+Table1[[#This Row],[Comments]])/Table1[[#This Row],[Impressions]], 0)</f>
        <v>9.8558100084817649E-2</v>
      </c>
      <c r="P45" s="30" t="str" cm="1">
        <f t="array" ref="P45">IFERROR(INDEX('Campaign Metadata (2)'!$A$2:$A$10, MATCH(1, (C45&gt;='Campaign Metadata (2)'!$B$2:$B$10) * (C45&lt;='Campaign Metadata (2)'!$C$2:$C$10), 0)), "No Campaign")</f>
        <v>DailyWellness</v>
      </c>
      <c r="Q45" s="33">
        <f>VLOOKUP(Table1[[#This Row],[Campaign_Name2]],Table3[#All],2,)</f>
        <v>45717</v>
      </c>
      <c r="R45" s="33">
        <f>VLOOKUP(Table1[[#This Row],[Campaign_Name2]],Table3[#All],3,FALSE)</f>
        <v>45747</v>
      </c>
      <c r="S45" s="30">
        <f>VLOOKUP(Table1[[#This Row],[Campaign_Name2]],Table3[],5,FALSE)</f>
        <v>180000</v>
      </c>
      <c r="T45" s="30">
        <f>IF(Table1[[#This Row],[Campaign_Name2]]="No Campaign", 0, Table1[[#This Row],[Budget]]/COUNTIF(Table1[Campaign_Name2],Table1[[#This Row],[Campaign_Name2]]))</f>
        <v>5625</v>
      </c>
    </row>
    <row r="46" spans="1:20" ht="14.25" customHeight="1" x14ac:dyDescent="0.3">
      <c r="A46" s="3" t="s">
        <v>141</v>
      </c>
      <c r="B46" s="3" t="s">
        <v>43</v>
      </c>
      <c r="C46" s="11">
        <v>45597</v>
      </c>
      <c r="D46" s="3" t="s">
        <v>74</v>
      </c>
      <c r="E46" s="3" t="s">
        <v>75</v>
      </c>
      <c r="F46" s="12">
        <v>3371</v>
      </c>
      <c r="G46" s="12">
        <v>106</v>
      </c>
      <c r="H46" s="12">
        <v>327</v>
      </c>
      <c r="I46" s="12">
        <v>50565</v>
      </c>
      <c r="J46" s="12">
        <v>49816</v>
      </c>
      <c r="K46" s="12">
        <v>176</v>
      </c>
      <c r="L46" s="4" t="s">
        <v>62</v>
      </c>
      <c r="M46" s="5" t="s">
        <v>19</v>
      </c>
      <c r="N46" s="31">
        <f t="shared" si="0"/>
        <v>3804</v>
      </c>
      <c r="O46" s="32">
        <f>IFERROR((Table1[[#This Row],[Likes]]+Table1[[#This Row],[Shares]]+Table1[[#This Row],[Comments]])/Table1[[#This Row],[Impressions]], 0)</f>
        <v>7.5229902106199939E-2</v>
      </c>
      <c r="P46" s="30" t="str" cm="1">
        <f t="array" ref="P46">IFERROR(INDEX('Campaign Metadata (2)'!$A$2:$A$10, MATCH(1, (C46&gt;='Campaign Metadata (2)'!$B$2:$B$10) * (C46&lt;='Campaign Metadata (2)'!$C$2:$C$10), 0)), "No Campaign")</f>
        <v>No Campaign</v>
      </c>
      <c r="Q46" s="33" t="e">
        <f>VLOOKUP(Table1[[#This Row],[Campaign_Name2]],Table3[#All],2,)</f>
        <v>#N/A</v>
      </c>
      <c r="R46" s="33" t="e">
        <f>VLOOKUP(Table1[[#This Row],[Campaign_Name2]],Table3[#All],3,FALSE)</f>
        <v>#N/A</v>
      </c>
      <c r="S46" s="30" t="e">
        <f>VLOOKUP(Table1[[#This Row],[Campaign_Name2]],Table3[],5,FALSE)</f>
        <v>#N/A</v>
      </c>
      <c r="T46" s="30">
        <f>IF(Table1[[#This Row],[Campaign_Name2]]="No Campaign", 0, Table1[[#This Row],[Budget]]/COUNTIF(Table1[Campaign_Name2],Table1[[#This Row],[Campaign_Name2]]))</f>
        <v>0</v>
      </c>
    </row>
    <row r="47" spans="1:20" ht="14.25" customHeight="1" x14ac:dyDescent="0.3">
      <c r="A47" s="3" t="s">
        <v>143</v>
      </c>
      <c r="B47" s="3" t="s">
        <v>14</v>
      </c>
      <c r="C47" s="11">
        <v>45779</v>
      </c>
      <c r="D47" s="3" t="s">
        <v>74</v>
      </c>
      <c r="E47" s="3" t="s">
        <v>145</v>
      </c>
      <c r="F47" s="12">
        <v>1108</v>
      </c>
      <c r="G47" s="12">
        <v>177</v>
      </c>
      <c r="H47" s="12">
        <v>212</v>
      </c>
      <c r="I47" s="12">
        <v>8864</v>
      </c>
      <c r="J47" s="12">
        <v>8710</v>
      </c>
      <c r="K47" s="12">
        <v>97</v>
      </c>
      <c r="L47" s="4" t="s">
        <v>30</v>
      </c>
      <c r="M47" s="5" t="s">
        <v>38</v>
      </c>
      <c r="N47" s="31">
        <f t="shared" si="0"/>
        <v>1497</v>
      </c>
      <c r="O47" s="32">
        <f>IFERROR((Table1[[#This Row],[Likes]]+Table1[[#This Row],[Shares]]+Table1[[#This Row],[Comments]])/Table1[[#This Row],[Impressions]], 0)</f>
        <v>0.16888537906137185</v>
      </c>
      <c r="P47" s="30" t="str" cm="1">
        <f t="array" ref="P47">IFERROR(INDEX('Campaign Metadata (2)'!$A$2:$A$10, MATCH(1, (C47&gt;='Campaign Metadata (2)'!$B$2:$B$10) * (C47&lt;='Campaign Metadata (2)'!$C$2:$C$10), 0)), "No Campaign")</f>
        <v>No Campaign</v>
      </c>
      <c r="Q47" s="33" t="e">
        <f>VLOOKUP(Table1[[#This Row],[Campaign_Name2]],Table3[#All],2,)</f>
        <v>#N/A</v>
      </c>
      <c r="R47" s="33" t="e">
        <f>VLOOKUP(Table1[[#This Row],[Campaign_Name2]],Table3[#All],3,FALSE)</f>
        <v>#N/A</v>
      </c>
      <c r="S47" s="30" t="e">
        <f>VLOOKUP(Table1[[#This Row],[Campaign_Name2]],Table3[],5,FALSE)</f>
        <v>#N/A</v>
      </c>
      <c r="T47" s="30">
        <f>IF(Table1[[#This Row],[Campaign_Name2]]="No Campaign", 0, Table1[[#This Row],[Budget]]/COUNTIF(Table1[Campaign_Name2],Table1[[#This Row],[Campaign_Name2]]))</f>
        <v>0</v>
      </c>
    </row>
    <row r="48" spans="1:20" ht="14.25" customHeight="1" x14ac:dyDescent="0.3">
      <c r="A48" s="3" t="s">
        <v>146</v>
      </c>
      <c r="B48" s="3" t="s">
        <v>14</v>
      </c>
      <c r="C48" s="11">
        <v>45712</v>
      </c>
      <c r="D48" s="3" t="s">
        <v>45</v>
      </c>
      <c r="E48" s="3" t="s">
        <v>49</v>
      </c>
      <c r="F48" s="12">
        <v>2704</v>
      </c>
      <c r="G48" s="12">
        <v>752</v>
      </c>
      <c r="H48" s="12">
        <v>153</v>
      </c>
      <c r="I48" s="12">
        <v>21632</v>
      </c>
      <c r="J48" s="12">
        <v>20792</v>
      </c>
      <c r="K48" s="12">
        <v>127</v>
      </c>
      <c r="L48" s="4" t="s">
        <v>62</v>
      </c>
      <c r="M48" s="5"/>
      <c r="N48" s="31">
        <f t="shared" si="0"/>
        <v>3609</v>
      </c>
      <c r="O48" s="32">
        <f>IFERROR((Table1[[#This Row],[Likes]]+Table1[[#This Row],[Shares]]+Table1[[#This Row],[Comments]])/Table1[[#This Row],[Impressions]], 0)</f>
        <v>0.16683616863905326</v>
      </c>
      <c r="P48" s="30" t="str" cm="1">
        <f t="array" ref="P48">IFERROR(INDEX('Campaign Metadata (2)'!$A$2:$A$10, MATCH(1, (C48&gt;='Campaign Metadata (2)'!$B$2:$B$10) * (C48&lt;='Campaign Metadata (2)'!$C$2:$C$10), 0)), "No Campaign")</f>
        <v>No Campaign</v>
      </c>
      <c r="Q48" s="33" t="e">
        <f>VLOOKUP(Table1[[#This Row],[Campaign_Name2]],Table3[#All],2,)</f>
        <v>#N/A</v>
      </c>
      <c r="R48" s="33" t="e">
        <f>VLOOKUP(Table1[[#This Row],[Campaign_Name2]],Table3[#All],3,FALSE)</f>
        <v>#N/A</v>
      </c>
      <c r="S48" s="30" t="e">
        <f>VLOOKUP(Table1[[#This Row],[Campaign_Name2]],Table3[],5,FALSE)</f>
        <v>#N/A</v>
      </c>
      <c r="T48" s="30">
        <f>IF(Table1[[#This Row],[Campaign_Name2]]="No Campaign", 0, Table1[[#This Row],[Budget]]/COUNTIF(Table1[Campaign_Name2],Table1[[#This Row],[Campaign_Name2]]))</f>
        <v>0</v>
      </c>
    </row>
    <row r="49" spans="1:20" ht="14.25" customHeight="1" x14ac:dyDescent="0.3">
      <c r="A49" s="3" t="s">
        <v>148</v>
      </c>
      <c r="B49" s="3" t="s">
        <v>14</v>
      </c>
      <c r="C49" s="11">
        <v>45727</v>
      </c>
      <c r="D49" s="3" t="s">
        <v>35</v>
      </c>
      <c r="E49" s="3" t="s">
        <v>149</v>
      </c>
      <c r="F49" s="12">
        <v>1950</v>
      </c>
      <c r="G49" s="12">
        <v>295</v>
      </c>
      <c r="H49" s="12">
        <v>478</v>
      </c>
      <c r="I49" s="12">
        <v>37050</v>
      </c>
      <c r="J49" s="12">
        <v>36272</v>
      </c>
      <c r="K49" s="12">
        <v>119</v>
      </c>
      <c r="L49" s="4" t="s">
        <v>30</v>
      </c>
      <c r="M49" s="5"/>
      <c r="N49" s="31">
        <f t="shared" si="0"/>
        <v>2723</v>
      </c>
      <c r="O49" s="32">
        <f>IFERROR((Table1[[#This Row],[Likes]]+Table1[[#This Row],[Shares]]+Table1[[#This Row],[Comments]])/Table1[[#This Row],[Impressions]], 0)</f>
        <v>7.349527665317139E-2</v>
      </c>
      <c r="P49" s="30" t="str" cm="1">
        <f t="array" ref="P49">IFERROR(INDEX('Campaign Metadata (2)'!$A$2:$A$10, MATCH(1, (C49&gt;='Campaign Metadata (2)'!$B$2:$B$10) * (C49&lt;='Campaign Metadata (2)'!$C$2:$C$10), 0)), "No Campaign")</f>
        <v>DailyWellness</v>
      </c>
      <c r="Q49" s="33">
        <f>VLOOKUP(Table1[[#This Row],[Campaign_Name2]],Table3[#All],2,)</f>
        <v>45717</v>
      </c>
      <c r="R49" s="33">
        <f>VLOOKUP(Table1[[#This Row],[Campaign_Name2]],Table3[#All],3,FALSE)</f>
        <v>45747</v>
      </c>
      <c r="S49" s="30">
        <f>VLOOKUP(Table1[[#This Row],[Campaign_Name2]],Table3[],5,FALSE)</f>
        <v>180000</v>
      </c>
      <c r="T49" s="30">
        <f>IF(Table1[[#This Row],[Campaign_Name2]]="No Campaign", 0, Table1[[#This Row],[Budget]]/COUNTIF(Table1[Campaign_Name2],Table1[[#This Row],[Campaign_Name2]]))</f>
        <v>5625</v>
      </c>
    </row>
    <row r="50" spans="1:20" ht="14.25" customHeight="1" x14ac:dyDescent="0.3">
      <c r="A50" s="3" t="s">
        <v>150</v>
      </c>
      <c r="B50" s="3" t="s">
        <v>14</v>
      </c>
      <c r="C50" s="11">
        <v>45453</v>
      </c>
      <c r="D50" s="3" t="s">
        <v>35</v>
      </c>
      <c r="E50" s="3" t="s">
        <v>149</v>
      </c>
      <c r="F50" s="12">
        <v>2164</v>
      </c>
      <c r="G50" s="12">
        <v>549</v>
      </c>
      <c r="H50" s="12">
        <v>274</v>
      </c>
      <c r="I50" s="12">
        <v>28132</v>
      </c>
      <c r="J50" s="12">
        <v>27361</v>
      </c>
      <c r="K50" s="12">
        <v>177</v>
      </c>
      <c r="L50" s="4" t="s">
        <v>30</v>
      </c>
      <c r="M50" s="5" t="s">
        <v>38</v>
      </c>
      <c r="N50" s="31">
        <f t="shared" si="0"/>
        <v>2987</v>
      </c>
      <c r="O50" s="32">
        <f>IFERROR((Table1[[#This Row],[Likes]]+Table1[[#This Row],[Shares]]+Table1[[#This Row],[Comments]])/Table1[[#This Row],[Impressions]], 0)</f>
        <v>0.10617801791554102</v>
      </c>
      <c r="P50" s="30" t="str" cm="1">
        <f t="array" ref="P50">IFERROR(INDEX('Campaign Metadata (2)'!$A$2:$A$10, MATCH(1, (C50&gt;='Campaign Metadata (2)'!$B$2:$B$10) * (C50&lt;='Campaign Metadata (2)'!$C$2:$C$10), 0)), "No Campaign")</f>
        <v>No Campaign</v>
      </c>
      <c r="Q50" s="33" t="e">
        <f>VLOOKUP(Table1[[#This Row],[Campaign_Name2]],Table3[#All],2,)</f>
        <v>#N/A</v>
      </c>
      <c r="R50" s="33" t="e">
        <f>VLOOKUP(Table1[[#This Row],[Campaign_Name2]],Table3[#All],3,FALSE)</f>
        <v>#N/A</v>
      </c>
      <c r="S50" s="30" t="e">
        <f>VLOOKUP(Table1[[#This Row],[Campaign_Name2]],Table3[],5,FALSE)</f>
        <v>#N/A</v>
      </c>
      <c r="T50" s="30">
        <f>IF(Table1[[#This Row],[Campaign_Name2]]="No Campaign", 0, Table1[[#This Row],[Budget]]/COUNTIF(Table1[Campaign_Name2],Table1[[#This Row],[Campaign_Name2]]))</f>
        <v>0</v>
      </c>
    </row>
    <row r="51" spans="1:20" ht="14.25" customHeight="1" x14ac:dyDescent="0.3">
      <c r="A51" s="3" t="s">
        <v>152</v>
      </c>
      <c r="B51" s="3" t="s">
        <v>27</v>
      </c>
      <c r="C51" s="11">
        <v>45476</v>
      </c>
      <c r="D51" s="3" t="s">
        <v>35</v>
      </c>
      <c r="E51" s="3" t="s">
        <v>154</v>
      </c>
      <c r="F51" s="12">
        <v>2754</v>
      </c>
      <c r="G51" s="12">
        <v>130</v>
      </c>
      <c r="H51" s="12">
        <v>90</v>
      </c>
      <c r="I51" s="12">
        <v>22032</v>
      </c>
      <c r="J51" s="12">
        <v>21288</v>
      </c>
      <c r="K51" s="12">
        <v>112</v>
      </c>
      <c r="L51" s="4" t="s">
        <v>30</v>
      </c>
      <c r="M51" s="5" t="s">
        <v>31</v>
      </c>
      <c r="N51" s="31">
        <f t="shared" si="0"/>
        <v>2974</v>
      </c>
      <c r="O51" s="32">
        <f>IFERROR((Table1[[#This Row],[Likes]]+Table1[[#This Row],[Shares]]+Table1[[#This Row],[Comments]])/Table1[[#This Row],[Impressions]], 0)</f>
        <v>0.13498547567175018</v>
      </c>
      <c r="P51" s="30" t="str" cm="1">
        <f t="array" ref="P51">IFERROR(INDEX('Campaign Metadata (2)'!$A$2:$A$10, MATCH(1, (C51&gt;='Campaign Metadata (2)'!$B$2:$B$10) * (C51&lt;='Campaign Metadata (2)'!$C$2:$C$10), 0)), "No Campaign")</f>
        <v>SummerSplash</v>
      </c>
      <c r="Q51" s="33">
        <f>VLOOKUP(Table1[[#This Row],[Campaign_Name2]],Table3[#All],2,)</f>
        <v>45458</v>
      </c>
      <c r="R51" s="33">
        <f>VLOOKUP(Table1[[#This Row],[Campaign_Name2]],Table3[#All],3,FALSE)</f>
        <v>45488</v>
      </c>
      <c r="S51" s="30">
        <f>VLOOKUP(Table1[[#This Row],[Campaign_Name2]],Table3[],5,FALSE)</f>
        <v>150000</v>
      </c>
      <c r="T51" s="30">
        <f>IF(Table1[[#This Row],[Campaign_Name2]]="No Campaign", 0, Table1[[#This Row],[Budget]]/COUNTIF(Table1[Campaign_Name2],Table1[[#This Row],[Campaign_Name2]]))</f>
        <v>5555.5555555555557</v>
      </c>
    </row>
    <row r="52" spans="1:20" ht="14.25" customHeight="1" x14ac:dyDescent="0.3">
      <c r="A52" s="3" t="s">
        <v>155</v>
      </c>
      <c r="B52" s="3" t="s">
        <v>43</v>
      </c>
      <c r="C52" s="11">
        <v>45456</v>
      </c>
      <c r="D52" s="3" t="s">
        <v>45</v>
      </c>
      <c r="E52" s="3" t="s">
        <v>46</v>
      </c>
      <c r="F52" s="12">
        <v>2200</v>
      </c>
      <c r="G52" s="12">
        <v>504</v>
      </c>
      <c r="H52" s="12">
        <v>239</v>
      </c>
      <c r="I52" s="12">
        <v>37400</v>
      </c>
      <c r="J52" s="12">
        <v>36938</v>
      </c>
      <c r="K52" s="12">
        <v>225</v>
      </c>
      <c r="L52" s="4" t="s">
        <v>62</v>
      </c>
      <c r="M52" s="5" t="s">
        <v>25</v>
      </c>
      <c r="N52" s="31">
        <f t="shared" si="0"/>
        <v>2943</v>
      </c>
      <c r="O52" s="32">
        <f>IFERROR((Table1[[#This Row],[Likes]]+Table1[[#This Row],[Shares]]+Table1[[#This Row],[Comments]])/Table1[[#This Row],[Impressions]], 0)</f>
        <v>7.8689839572192513E-2</v>
      </c>
      <c r="P52" s="30" t="str" cm="1">
        <f t="array" ref="P52">IFERROR(INDEX('Campaign Metadata (2)'!$A$2:$A$10, MATCH(1, (C52&gt;='Campaign Metadata (2)'!$B$2:$B$10) * (C52&lt;='Campaign Metadata (2)'!$C$2:$C$10), 0)), "No Campaign")</f>
        <v>No Campaign</v>
      </c>
      <c r="Q52" s="33" t="e">
        <f>VLOOKUP(Table1[[#This Row],[Campaign_Name2]],Table3[#All],2,)</f>
        <v>#N/A</v>
      </c>
      <c r="R52" s="33" t="e">
        <f>VLOOKUP(Table1[[#This Row],[Campaign_Name2]],Table3[#All],3,FALSE)</f>
        <v>#N/A</v>
      </c>
      <c r="S52" s="30" t="e">
        <f>VLOOKUP(Table1[[#This Row],[Campaign_Name2]],Table3[],5,FALSE)</f>
        <v>#N/A</v>
      </c>
      <c r="T52" s="30">
        <f>IF(Table1[[#This Row],[Campaign_Name2]]="No Campaign", 0, Table1[[#This Row],[Budget]]/COUNTIF(Table1[Campaign_Name2],Table1[[#This Row],[Campaign_Name2]]))</f>
        <v>0</v>
      </c>
    </row>
    <row r="53" spans="1:20" ht="14.25" customHeight="1" x14ac:dyDescent="0.3">
      <c r="A53" s="3" t="s">
        <v>157</v>
      </c>
      <c r="B53" s="3" t="s">
        <v>43</v>
      </c>
      <c r="C53" s="11">
        <v>45660</v>
      </c>
      <c r="D53" s="3" t="s">
        <v>52</v>
      </c>
      <c r="E53" s="3" t="s">
        <v>59</v>
      </c>
      <c r="F53" s="12">
        <v>947</v>
      </c>
      <c r="G53" s="12">
        <v>338</v>
      </c>
      <c r="H53" s="12">
        <v>350</v>
      </c>
      <c r="I53" s="12">
        <v>10417</v>
      </c>
      <c r="J53" s="12">
        <v>9730</v>
      </c>
      <c r="K53" s="12">
        <v>34</v>
      </c>
      <c r="L53" s="4" t="s">
        <v>30</v>
      </c>
      <c r="M53" s="5" t="s">
        <v>38</v>
      </c>
      <c r="N53" s="31">
        <f t="shared" si="0"/>
        <v>1635</v>
      </c>
      <c r="O53" s="32">
        <f>IFERROR((Table1[[#This Row],[Likes]]+Table1[[#This Row],[Shares]]+Table1[[#This Row],[Comments]])/Table1[[#This Row],[Impressions]], 0)</f>
        <v>0.1569549774407219</v>
      </c>
      <c r="P53" s="30" t="str" cm="1">
        <f t="array" ref="P53">IFERROR(INDEX('Campaign Metadata (2)'!$A$2:$A$10, MATCH(1, (C53&gt;='Campaign Metadata (2)'!$B$2:$B$10) * (C53&lt;='Campaign Metadata (2)'!$C$2:$C$10), 0)), "No Campaign")</f>
        <v>NewYearRefresh</v>
      </c>
      <c r="Q53" s="33">
        <f>VLOOKUP(Table1[[#This Row],[Campaign_Name2]],Table3[#All],2,)</f>
        <v>45651</v>
      </c>
      <c r="R53" s="33">
        <f>VLOOKUP(Table1[[#This Row],[Campaign_Name2]],Table3[#All],3,FALSE)</f>
        <v>45667</v>
      </c>
      <c r="S53" s="30">
        <f>VLOOKUP(Table1[[#This Row],[Campaign_Name2]],Table3[],5,FALSE)</f>
        <v>250000</v>
      </c>
      <c r="T53" s="30">
        <f>IF(Table1[[#This Row],[Campaign_Name2]]="No Campaign", 0, Table1[[#This Row],[Budget]]/COUNTIF(Table1[Campaign_Name2],Table1[[#This Row],[Campaign_Name2]]))</f>
        <v>25000</v>
      </c>
    </row>
    <row r="54" spans="1:20" ht="14.25" customHeight="1" x14ac:dyDescent="0.3">
      <c r="A54" s="3" t="s">
        <v>159</v>
      </c>
      <c r="B54" s="3" t="s">
        <v>27</v>
      </c>
      <c r="C54" s="11">
        <v>45712</v>
      </c>
      <c r="D54" s="3" t="s">
        <v>45</v>
      </c>
      <c r="E54" s="3" t="s">
        <v>68</v>
      </c>
      <c r="F54" s="12">
        <v>804</v>
      </c>
      <c r="G54" s="12">
        <v>639</v>
      </c>
      <c r="H54" s="12">
        <v>43</v>
      </c>
      <c r="I54" s="12">
        <v>4020</v>
      </c>
      <c r="J54" s="12">
        <v>3144</v>
      </c>
      <c r="K54" s="12">
        <v>11</v>
      </c>
      <c r="L54" s="4" t="s">
        <v>160</v>
      </c>
      <c r="M54" s="5"/>
      <c r="N54" s="31">
        <f t="shared" si="0"/>
        <v>1486</v>
      </c>
      <c r="O54" s="32">
        <f>IFERROR((Table1[[#This Row],[Likes]]+Table1[[#This Row],[Shares]]+Table1[[#This Row],[Comments]])/Table1[[#This Row],[Impressions]], 0)</f>
        <v>0.36965174129353234</v>
      </c>
      <c r="P54" s="30" t="str" cm="1">
        <f t="array" ref="P54">IFERROR(INDEX('Campaign Metadata (2)'!$A$2:$A$10, MATCH(1, (C54&gt;='Campaign Metadata (2)'!$B$2:$B$10) * (C54&lt;='Campaign Metadata (2)'!$C$2:$C$10), 0)), "No Campaign")</f>
        <v>No Campaign</v>
      </c>
      <c r="Q54" s="33" t="e">
        <f>VLOOKUP(Table1[[#This Row],[Campaign_Name2]],Table3[#All],2,)</f>
        <v>#N/A</v>
      </c>
      <c r="R54" s="33" t="e">
        <f>VLOOKUP(Table1[[#This Row],[Campaign_Name2]],Table3[#All],3,FALSE)</f>
        <v>#N/A</v>
      </c>
      <c r="S54" s="30" t="e">
        <f>VLOOKUP(Table1[[#This Row],[Campaign_Name2]],Table3[],5,FALSE)</f>
        <v>#N/A</v>
      </c>
      <c r="T54" s="30">
        <f>IF(Table1[[#This Row],[Campaign_Name2]]="No Campaign", 0, Table1[[#This Row],[Budget]]/COUNTIF(Table1[Campaign_Name2],Table1[[#This Row],[Campaign_Name2]]))</f>
        <v>0</v>
      </c>
    </row>
    <row r="55" spans="1:20" ht="14.25" customHeight="1" x14ac:dyDescent="0.3">
      <c r="A55" s="3" t="s">
        <v>161</v>
      </c>
      <c r="B55" s="3" t="s">
        <v>27</v>
      </c>
      <c r="C55" s="11">
        <v>45729</v>
      </c>
      <c r="D55" s="3" t="s">
        <v>45</v>
      </c>
      <c r="E55" s="3" t="s">
        <v>68</v>
      </c>
      <c r="F55" s="12">
        <v>1686</v>
      </c>
      <c r="G55" s="12">
        <v>904</v>
      </c>
      <c r="H55" s="12">
        <v>472</v>
      </c>
      <c r="I55" s="12">
        <v>18546</v>
      </c>
      <c r="J55" s="12">
        <v>18171</v>
      </c>
      <c r="K55" s="12">
        <v>52</v>
      </c>
      <c r="L55" s="4" t="s">
        <v>62</v>
      </c>
      <c r="M55" s="5" t="s">
        <v>25</v>
      </c>
      <c r="N55" s="31">
        <f t="shared" si="0"/>
        <v>3062</v>
      </c>
      <c r="O55" s="32">
        <f>IFERROR((Table1[[#This Row],[Likes]]+Table1[[#This Row],[Shares]]+Table1[[#This Row],[Comments]])/Table1[[#This Row],[Impressions]], 0)</f>
        <v>0.16510298716704411</v>
      </c>
      <c r="P55" s="30" t="str" cm="1">
        <f t="array" ref="P55">IFERROR(INDEX('Campaign Metadata (2)'!$A$2:$A$10, MATCH(1, (C55&gt;='Campaign Metadata (2)'!$B$2:$B$10) * (C55&lt;='Campaign Metadata (2)'!$C$2:$C$10), 0)), "No Campaign")</f>
        <v>DailyWellness</v>
      </c>
      <c r="Q55" s="33">
        <f>VLOOKUP(Table1[[#This Row],[Campaign_Name2]],Table3[#All],2,)</f>
        <v>45717</v>
      </c>
      <c r="R55" s="33">
        <f>VLOOKUP(Table1[[#This Row],[Campaign_Name2]],Table3[#All],3,FALSE)</f>
        <v>45747</v>
      </c>
      <c r="S55" s="30">
        <f>VLOOKUP(Table1[[#This Row],[Campaign_Name2]],Table3[],5,FALSE)</f>
        <v>180000</v>
      </c>
      <c r="T55" s="30">
        <f>IF(Table1[[#This Row],[Campaign_Name2]]="No Campaign", 0, Table1[[#This Row],[Budget]]/COUNTIF(Table1[Campaign_Name2],Table1[[#This Row],[Campaign_Name2]]))</f>
        <v>5625</v>
      </c>
    </row>
    <row r="56" spans="1:20" ht="14.25" customHeight="1" x14ac:dyDescent="0.3">
      <c r="A56" s="3" t="s">
        <v>163</v>
      </c>
      <c r="B56" s="3" t="s">
        <v>43</v>
      </c>
      <c r="C56" s="11">
        <v>45460</v>
      </c>
      <c r="D56" s="3" t="s">
        <v>52</v>
      </c>
      <c r="E56" s="3" t="s">
        <v>59</v>
      </c>
      <c r="F56" s="12">
        <v>1226</v>
      </c>
      <c r="G56" s="12">
        <v>119</v>
      </c>
      <c r="H56" s="12">
        <v>7</v>
      </c>
      <c r="I56" s="12">
        <v>14712</v>
      </c>
      <c r="J56" s="12">
        <v>14049</v>
      </c>
      <c r="K56" s="12">
        <v>123</v>
      </c>
      <c r="L56" s="4" t="s">
        <v>37</v>
      </c>
      <c r="M56" s="5" t="s">
        <v>38</v>
      </c>
      <c r="N56" s="31">
        <f t="shared" si="0"/>
        <v>1352</v>
      </c>
      <c r="O56" s="32">
        <f>IFERROR((Table1[[#This Row],[Likes]]+Table1[[#This Row],[Shares]]+Table1[[#This Row],[Comments]])/Table1[[#This Row],[Impressions]], 0)</f>
        <v>9.1897770527460579E-2</v>
      </c>
      <c r="P56" s="30" t="str" cm="1">
        <f t="array" ref="P56">IFERROR(INDEX('Campaign Metadata (2)'!$A$2:$A$10, MATCH(1, (C56&gt;='Campaign Metadata (2)'!$B$2:$B$10) * (C56&lt;='Campaign Metadata (2)'!$C$2:$C$10), 0)), "No Campaign")</f>
        <v>SummerSplash</v>
      </c>
      <c r="Q56" s="33">
        <f>VLOOKUP(Table1[[#This Row],[Campaign_Name2]],Table3[#All],2,)</f>
        <v>45458</v>
      </c>
      <c r="R56" s="33">
        <f>VLOOKUP(Table1[[#This Row],[Campaign_Name2]],Table3[#All],3,FALSE)</f>
        <v>45488</v>
      </c>
      <c r="S56" s="30">
        <f>VLOOKUP(Table1[[#This Row],[Campaign_Name2]],Table3[],5,FALSE)</f>
        <v>150000</v>
      </c>
      <c r="T56" s="30">
        <f>IF(Table1[[#This Row],[Campaign_Name2]]="No Campaign", 0, Table1[[#This Row],[Budget]]/COUNTIF(Table1[Campaign_Name2],Table1[[#This Row],[Campaign_Name2]]))</f>
        <v>5555.5555555555557</v>
      </c>
    </row>
    <row r="57" spans="1:20" ht="14.25" customHeight="1" x14ac:dyDescent="0.3">
      <c r="A57" s="3" t="s">
        <v>165</v>
      </c>
      <c r="B57" s="3" t="s">
        <v>43</v>
      </c>
      <c r="C57" s="11">
        <v>45644</v>
      </c>
      <c r="D57" s="3" t="s">
        <v>45</v>
      </c>
      <c r="E57" s="3" t="s">
        <v>46</v>
      </c>
      <c r="F57" s="12">
        <v>2946</v>
      </c>
      <c r="G57" s="12">
        <v>498</v>
      </c>
      <c r="H57" s="12">
        <v>367</v>
      </c>
      <c r="I57" s="12">
        <v>29460</v>
      </c>
      <c r="J57" s="12">
        <v>28527</v>
      </c>
      <c r="K57" s="12">
        <v>60</v>
      </c>
      <c r="L57" s="4" t="s">
        <v>62</v>
      </c>
      <c r="M57" s="5" t="s">
        <v>31</v>
      </c>
      <c r="N57" s="31">
        <f t="shared" si="0"/>
        <v>3811</v>
      </c>
      <c r="O57" s="32">
        <f>IFERROR((Table1[[#This Row],[Likes]]+Table1[[#This Row],[Shares]]+Table1[[#This Row],[Comments]])/Table1[[#This Row],[Impressions]], 0)</f>
        <v>0.12936184657162253</v>
      </c>
      <c r="P57" s="30" t="str" cm="1">
        <f t="array" ref="P57">IFERROR(INDEX('Campaign Metadata (2)'!$A$2:$A$10, MATCH(1, (C57&gt;='Campaign Metadata (2)'!$B$2:$B$10) * (C57&lt;='Campaign Metadata (2)'!$C$2:$C$10), 0)), "No Campaign")</f>
        <v>No Campaign</v>
      </c>
      <c r="Q57" s="33" t="e">
        <f>VLOOKUP(Table1[[#This Row],[Campaign_Name2]],Table3[#All],2,)</f>
        <v>#N/A</v>
      </c>
      <c r="R57" s="33" t="e">
        <f>VLOOKUP(Table1[[#This Row],[Campaign_Name2]],Table3[#All],3,FALSE)</f>
        <v>#N/A</v>
      </c>
      <c r="S57" s="30" t="e">
        <f>VLOOKUP(Table1[[#This Row],[Campaign_Name2]],Table3[],5,FALSE)</f>
        <v>#N/A</v>
      </c>
      <c r="T57" s="30">
        <f>IF(Table1[[#This Row],[Campaign_Name2]]="No Campaign", 0, Table1[[#This Row],[Budget]]/COUNTIF(Table1[Campaign_Name2],Table1[[#This Row],[Campaign_Name2]]))</f>
        <v>0</v>
      </c>
    </row>
    <row r="58" spans="1:20" ht="14.25" customHeight="1" x14ac:dyDescent="0.3">
      <c r="A58" s="3" t="s">
        <v>167</v>
      </c>
      <c r="B58" s="3" t="s">
        <v>14</v>
      </c>
      <c r="C58" s="11">
        <v>45586</v>
      </c>
      <c r="D58" s="3" t="s">
        <v>74</v>
      </c>
      <c r="E58" s="3" t="s">
        <v>145</v>
      </c>
      <c r="F58" s="12">
        <v>2825</v>
      </c>
      <c r="G58" s="12">
        <v>535</v>
      </c>
      <c r="H58" s="12">
        <v>295</v>
      </c>
      <c r="I58" s="12">
        <v>45200</v>
      </c>
      <c r="J58" s="12">
        <v>44739</v>
      </c>
      <c r="K58" s="12">
        <v>169</v>
      </c>
      <c r="L58" s="4" t="s">
        <v>30</v>
      </c>
      <c r="M58" s="5" t="s">
        <v>19</v>
      </c>
      <c r="N58" s="31">
        <f t="shared" si="0"/>
        <v>3655</v>
      </c>
      <c r="O58" s="32">
        <f>IFERROR((Table1[[#This Row],[Likes]]+Table1[[#This Row],[Shares]]+Table1[[#This Row],[Comments]])/Table1[[#This Row],[Impressions]], 0)</f>
        <v>8.0862831858407078E-2</v>
      </c>
      <c r="P58" s="30" t="str" cm="1">
        <f t="array" ref="P58">IFERROR(INDEX('Campaign Metadata (2)'!$A$2:$A$10, MATCH(1, (C58&gt;='Campaign Metadata (2)'!$B$2:$B$10) * (C58&lt;='Campaign Metadata (2)'!$C$2:$C$10), 0)), "No Campaign")</f>
        <v>FestiveRadiance</v>
      </c>
      <c r="Q58" s="33">
        <f>VLOOKUP(Table1[[#This Row],[Campaign_Name2]],Table3[#All],2,)</f>
        <v>45566</v>
      </c>
      <c r="R58" s="33">
        <f>VLOOKUP(Table1[[#This Row],[Campaign_Name2]],Table3[#All],3,FALSE)</f>
        <v>45596</v>
      </c>
      <c r="S58" s="30">
        <f>VLOOKUP(Table1[[#This Row],[Campaign_Name2]],Table3[],5,FALSE)</f>
        <v>200000</v>
      </c>
      <c r="T58" s="30">
        <f>IF(Table1[[#This Row],[Campaign_Name2]]="No Campaign", 0, Table1[[#This Row],[Budget]]/COUNTIF(Table1[Campaign_Name2],Table1[[#This Row],[Campaign_Name2]]))</f>
        <v>5714.2857142857147</v>
      </c>
    </row>
    <row r="59" spans="1:20" ht="14.25" customHeight="1" x14ac:dyDescent="0.3">
      <c r="A59" s="3" t="s">
        <v>169</v>
      </c>
      <c r="B59" s="3" t="s">
        <v>33</v>
      </c>
      <c r="C59" s="11">
        <v>45762</v>
      </c>
      <c r="D59" s="3" t="s">
        <v>16</v>
      </c>
      <c r="E59" s="3" t="s">
        <v>82</v>
      </c>
      <c r="F59" s="12">
        <v>103</v>
      </c>
      <c r="G59" s="12">
        <v>770</v>
      </c>
      <c r="H59" s="12">
        <v>19</v>
      </c>
      <c r="I59" s="12">
        <v>1030</v>
      </c>
      <c r="J59" s="12">
        <v>410</v>
      </c>
      <c r="K59" s="12">
        <v>262</v>
      </c>
      <c r="L59" s="4" t="s">
        <v>30</v>
      </c>
      <c r="M59" s="5" t="s">
        <v>38</v>
      </c>
      <c r="N59" s="31">
        <f t="shared" si="0"/>
        <v>892</v>
      </c>
      <c r="O59" s="32">
        <f>IFERROR((Table1[[#This Row],[Likes]]+Table1[[#This Row],[Shares]]+Table1[[#This Row],[Comments]])/Table1[[#This Row],[Impressions]], 0)</f>
        <v>0.86601941747572819</v>
      </c>
      <c r="P59" s="30" t="str" cm="1">
        <f t="array" ref="P59">IFERROR(INDEX('Campaign Metadata (2)'!$A$2:$A$10, MATCH(1, (C59&gt;='Campaign Metadata (2)'!$B$2:$B$10) * (C59&lt;='Campaign Metadata (2)'!$C$2:$C$10), 0)), "No Campaign")</f>
        <v>No Campaign</v>
      </c>
      <c r="Q59" s="33" t="e">
        <f>VLOOKUP(Table1[[#This Row],[Campaign_Name2]],Table3[#All],2,)</f>
        <v>#N/A</v>
      </c>
      <c r="R59" s="33" t="e">
        <f>VLOOKUP(Table1[[#This Row],[Campaign_Name2]],Table3[#All],3,FALSE)</f>
        <v>#N/A</v>
      </c>
      <c r="S59" s="30" t="e">
        <f>VLOOKUP(Table1[[#This Row],[Campaign_Name2]],Table3[],5,FALSE)</f>
        <v>#N/A</v>
      </c>
      <c r="T59" s="30">
        <f>IF(Table1[[#This Row],[Campaign_Name2]]="No Campaign", 0, Table1[[#This Row],[Budget]]/COUNTIF(Table1[Campaign_Name2],Table1[[#This Row],[Campaign_Name2]]))</f>
        <v>0</v>
      </c>
    </row>
    <row r="60" spans="1:20" ht="14.25" customHeight="1" x14ac:dyDescent="0.3">
      <c r="A60" s="3" t="s">
        <v>171</v>
      </c>
      <c r="B60" s="3" t="s">
        <v>33</v>
      </c>
      <c r="C60" s="11">
        <v>45465</v>
      </c>
      <c r="D60" s="3" t="s">
        <v>22</v>
      </c>
      <c r="E60" s="3" t="s">
        <v>113</v>
      </c>
      <c r="F60" s="12">
        <v>2180</v>
      </c>
      <c r="G60" s="12">
        <v>263</v>
      </c>
      <c r="H60" s="12">
        <v>387</v>
      </c>
      <c r="I60" s="12">
        <v>30520</v>
      </c>
      <c r="J60" s="12">
        <v>30059</v>
      </c>
      <c r="K60" s="12">
        <v>174</v>
      </c>
      <c r="L60" s="4" t="s">
        <v>37</v>
      </c>
      <c r="M60" s="5"/>
      <c r="N60" s="31">
        <f t="shared" si="0"/>
        <v>2830</v>
      </c>
      <c r="O60" s="32">
        <f>IFERROR((Table1[[#This Row],[Likes]]+Table1[[#This Row],[Shares]]+Table1[[#This Row],[Comments]])/Table1[[#This Row],[Impressions]], 0)</f>
        <v>9.2726081258191345E-2</v>
      </c>
      <c r="P60" s="30" t="str" cm="1">
        <f t="array" ref="P60">IFERROR(INDEX('Campaign Metadata (2)'!$A$2:$A$10, MATCH(1, (C60&gt;='Campaign Metadata (2)'!$B$2:$B$10) * (C60&lt;='Campaign Metadata (2)'!$C$2:$C$10), 0)), "No Campaign")</f>
        <v>SummerSplash</v>
      </c>
      <c r="Q60" s="33">
        <f>VLOOKUP(Table1[[#This Row],[Campaign_Name2]],Table3[#All],2,)</f>
        <v>45458</v>
      </c>
      <c r="R60" s="33">
        <f>VLOOKUP(Table1[[#This Row],[Campaign_Name2]],Table3[#All],3,FALSE)</f>
        <v>45488</v>
      </c>
      <c r="S60" s="30">
        <f>VLOOKUP(Table1[[#This Row],[Campaign_Name2]],Table3[],5,FALSE)</f>
        <v>150000</v>
      </c>
      <c r="T60" s="30">
        <f>IF(Table1[[#This Row],[Campaign_Name2]]="No Campaign", 0, Table1[[#This Row],[Budget]]/COUNTIF(Table1[Campaign_Name2],Table1[[#This Row],[Campaign_Name2]]))</f>
        <v>5555.5555555555557</v>
      </c>
    </row>
    <row r="61" spans="1:20" ht="14.25" customHeight="1" x14ac:dyDescent="0.3">
      <c r="A61" s="3" t="s">
        <v>173</v>
      </c>
      <c r="B61" s="3" t="s">
        <v>33</v>
      </c>
      <c r="C61" s="11">
        <v>45685</v>
      </c>
      <c r="D61" s="3" t="s">
        <v>74</v>
      </c>
      <c r="E61" s="3" t="s">
        <v>85</v>
      </c>
      <c r="F61" s="12">
        <v>904</v>
      </c>
      <c r="G61" s="12">
        <v>973</v>
      </c>
      <c r="H61" s="12">
        <v>63</v>
      </c>
      <c r="I61" s="12">
        <v>11752</v>
      </c>
      <c r="J61" s="12">
        <v>11580</v>
      </c>
      <c r="K61" s="12">
        <v>84</v>
      </c>
      <c r="L61" s="4" t="s">
        <v>175</v>
      </c>
      <c r="M61" s="5" t="s">
        <v>31</v>
      </c>
      <c r="N61" s="31">
        <f t="shared" si="0"/>
        <v>1940</v>
      </c>
      <c r="O61" s="32">
        <f>IFERROR((Table1[[#This Row],[Likes]]+Table1[[#This Row],[Shares]]+Table1[[#This Row],[Comments]])/Table1[[#This Row],[Impressions]], 0)</f>
        <v>0.1650782845473111</v>
      </c>
      <c r="P61" s="30" t="str" cm="1">
        <f t="array" ref="P61">IFERROR(INDEX('Campaign Metadata (2)'!$A$2:$A$10, MATCH(1, (C61&gt;='Campaign Metadata (2)'!$B$2:$B$10) * (C61&lt;='Campaign Metadata (2)'!$C$2:$C$10), 0)), "No Campaign")</f>
        <v>No Campaign</v>
      </c>
      <c r="Q61" s="33" t="e">
        <f>VLOOKUP(Table1[[#This Row],[Campaign_Name2]],Table3[#All],2,)</f>
        <v>#N/A</v>
      </c>
      <c r="R61" s="33" t="e">
        <f>VLOOKUP(Table1[[#This Row],[Campaign_Name2]],Table3[#All],3,FALSE)</f>
        <v>#N/A</v>
      </c>
      <c r="S61" s="30" t="e">
        <f>VLOOKUP(Table1[[#This Row],[Campaign_Name2]],Table3[],5,FALSE)</f>
        <v>#N/A</v>
      </c>
      <c r="T61" s="30">
        <f>IF(Table1[[#This Row],[Campaign_Name2]]="No Campaign", 0, Table1[[#This Row],[Budget]]/COUNTIF(Table1[Campaign_Name2],Table1[[#This Row],[Campaign_Name2]]))</f>
        <v>0</v>
      </c>
    </row>
    <row r="62" spans="1:20" ht="14.25" customHeight="1" x14ac:dyDescent="0.3">
      <c r="A62" s="3" t="s">
        <v>176</v>
      </c>
      <c r="B62" s="3" t="s">
        <v>14</v>
      </c>
      <c r="C62" s="11">
        <v>45540</v>
      </c>
      <c r="D62" s="3" t="s">
        <v>74</v>
      </c>
      <c r="E62" s="3" t="s">
        <v>145</v>
      </c>
      <c r="F62" s="12">
        <v>4886</v>
      </c>
      <c r="G62" s="12">
        <v>983</v>
      </c>
      <c r="H62" s="12">
        <v>409</v>
      </c>
      <c r="I62" s="12">
        <v>43974</v>
      </c>
      <c r="J62" s="12">
        <v>43239</v>
      </c>
      <c r="K62" s="12">
        <v>65</v>
      </c>
      <c r="L62" s="4" t="s">
        <v>30</v>
      </c>
      <c r="M62" s="5" t="s">
        <v>19</v>
      </c>
      <c r="N62" s="31">
        <f t="shared" si="0"/>
        <v>6278</v>
      </c>
      <c r="O62" s="32">
        <f>IFERROR((Table1[[#This Row],[Likes]]+Table1[[#This Row],[Shares]]+Table1[[#This Row],[Comments]])/Table1[[#This Row],[Impressions]], 0)</f>
        <v>0.14276618001546368</v>
      </c>
      <c r="P62" s="30" t="str" cm="1">
        <f t="array" ref="P62">IFERROR(INDEX('Campaign Metadata (2)'!$A$2:$A$10, MATCH(1, (C62&gt;='Campaign Metadata (2)'!$B$2:$B$10) * (C62&lt;='Campaign Metadata (2)'!$C$2:$C$10), 0)), "No Campaign")</f>
        <v>No Campaign</v>
      </c>
      <c r="Q62" s="33" t="e">
        <f>VLOOKUP(Table1[[#This Row],[Campaign_Name2]],Table3[#All],2,)</f>
        <v>#N/A</v>
      </c>
      <c r="R62" s="33" t="e">
        <f>VLOOKUP(Table1[[#This Row],[Campaign_Name2]],Table3[#All],3,FALSE)</f>
        <v>#N/A</v>
      </c>
      <c r="S62" s="30" t="e">
        <f>VLOOKUP(Table1[[#This Row],[Campaign_Name2]],Table3[],5,FALSE)</f>
        <v>#N/A</v>
      </c>
      <c r="T62" s="30">
        <f>IF(Table1[[#This Row],[Campaign_Name2]]="No Campaign", 0, Table1[[#This Row],[Budget]]/COUNTIF(Table1[Campaign_Name2],Table1[[#This Row],[Campaign_Name2]]))</f>
        <v>0</v>
      </c>
    </row>
    <row r="63" spans="1:20" ht="14.25" customHeight="1" x14ac:dyDescent="0.3">
      <c r="A63" s="3" t="s">
        <v>178</v>
      </c>
      <c r="B63" s="3" t="s">
        <v>14</v>
      </c>
      <c r="C63" s="11">
        <v>45618</v>
      </c>
      <c r="D63" s="3" t="s">
        <v>45</v>
      </c>
      <c r="E63" s="3" t="s">
        <v>49</v>
      </c>
      <c r="F63" s="12">
        <v>53</v>
      </c>
      <c r="G63" s="12">
        <v>81</v>
      </c>
      <c r="H63" s="12">
        <v>379</v>
      </c>
      <c r="I63" s="12">
        <v>954</v>
      </c>
      <c r="J63" s="12">
        <v>7</v>
      </c>
      <c r="K63" s="12">
        <v>148</v>
      </c>
      <c r="L63" s="4" t="s">
        <v>30</v>
      </c>
      <c r="M63" s="5" t="s">
        <v>31</v>
      </c>
      <c r="N63" s="31">
        <f t="shared" si="0"/>
        <v>513</v>
      </c>
      <c r="O63" s="32">
        <f>IFERROR((Table1[[#This Row],[Likes]]+Table1[[#This Row],[Shares]]+Table1[[#This Row],[Comments]])/Table1[[#This Row],[Impressions]], 0)</f>
        <v>0.53773584905660377</v>
      </c>
      <c r="P63" s="30" t="str" cm="1">
        <f t="array" ref="P63">IFERROR(INDEX('Campaign Metadata (2)'!$A$2:$A$10, MATCH(1, (C63&gt;='Campaign Metadata (2)'!$B$2:$B$10) * (C63&lt;='Campaign Metadata (2)'!$C$2:$C$10), 0)), "No Campaign")</f>
        <v>No Campaign</v>
      </c>
      <c r="Q63" s="33" t="e">
        <f>VLOOKUP(Table1[[#This Row],[Campaign_Name2]],Table3[#All],2,)</f>
        <v>#N/A</v>
      </c>
      <c r="R63" s="33" t="e">
        <f>VLOOKUP(Table1[[#This Row],[Campaign_Name2]],Table3[#All],3,FALSE)</f>
        <v>#N/A</v>
      </c>
      <c r="S63" s="30" t="e">
        <f>VLOOKUP(Table1[[#This Row],[Campaign_Name2]],Table3[],5,FALSE)</f>
        <v>#N/A</v>
      </c>
      <c r="T63" s="30">
        <f>IF(Table1[[#This Row],[Campaign_Name2]]="No Campaign", 0, Table1[[#This Row],[Budget]]/COUNTIF(Table1[Campaign_Name2],Table1[[#This Row],[Campaign_Name2]]))</f>
        <v>0</v>
      </c>
    </row>
    <row r="64" spans="1:20" ht="14.25" customHeight="1" x14ac:dyDescent="0.3">
      <c r="A64" s="3" t="s">
        <v>180</v>
      </c>
      <c r="B64" s="3" t="s">
        <v>14</v>
      </c>
      <c r="C64" s="11">
        <v>45504</v>
      </c>
      <c r="D64" s="3" t="s">
        <v>45</v>
      </c>
      <c r="E64" s="3" t="s">
        <v>49</v>
      </c>
      <c r="F64" s="12">
        <v>4507</v>
      </c>
      <c r="G64" s="12">
        <v>217</v>
      </c>
      <c r="H64" s="12">
        <v>13</v>
      </c>
      <c r="I64" s="12">
        <v>90140</v>
      </c>
      <c r="J64" s="12">
        <v>89591</v>
      </c>
      <c r="K64" s="12">
        <v>125</v>
      </c>
      <c r="L64" s="4" t="s">
        <v>62</v>
      </c>
      <c r="M64" s="5" t="s">
        <v>31</v>
      </c>
      <c r="N64" s="31">
        <f t="shared" si="0"/>
        <v>4737</v>
      </c>
      <c r="O64" s="32">
        <f>IFERROR((Table1[[#This Row],[Likes]]+Table1[[#This Row],[Shares]]+Table1[[#This Row],[Comments]])/Table1[[#This Row],[Impressions]], 0)</f>
        <v>5.2551586421122697E-2</v>
      </c>
      <c r="P64" s="30" t="str" cm="1">
        <f t="array" ref="P64">IFERROR(INDEX('Campaign Metadata (2)'!$A$2:$A$10, MATCH(1, (C64&gt;='Campaign Metadata (2)'!$B$2:$B$10) * (C64&lt;='Campaign Metadata (2)'!$C$2:$C$10), 0)), "No Campaign")</f>
        <v>No Campaign</v>
      </c>
      <c r="Q64" s="33" t="e">
        <f>VLOOKUP(Table1[[#This Row],[Campaign_Name2]],Table3[#All],2,)</f>
        <v>#N/A</v>
      </c>
      <c r="R64" s="33" t="e">
        <f>VLOOKUP(Table1[[#This Row],[Campaign_Name2]],Table3[#All],3,FALSE)</f>
        <v>#N/A</v>
      </c>
      <c r="S64" s="30" t="e">
        <f>VLOOKUP(Table1[[#This Row],[Campaign_Name2]],Table3[],5,FALSE)</f>
        <v>#N/A</v>
      </c>
      <c r="T64" s="30">
        <f>IF(Table1[[#This Row],[Campaign_Name2]]="No Campaign", 0, Table1[[#This Row],[Budget]]/COUNTIF(Table1[Campaign_Name2],Table1[[#This Row],[Campaign_Name2]]))</f>
        <v>0</v>
      </c>
    </row>
    <row r="65" spans="1:20" ht="14.25" customHeight="1" x14ac:dyDescent="0.3">
      <c r="A65" s="3" t="s">
        <v>181</v>
      </c>
      <c r="B65" s="3" t="s">
        <v>43</v>
      </c>
      <c r="C65" s="11">
        <v>45521</v>
      </c>
      <c r="D65" s="3" t="s">
        <v>52</v>
      </c>
      <c r="E65" s="3" t="s">
        <v>59</v>
      </c>
      <c r="F65" s="12">
        <v>2878</v>
      </c>
      <c r="G65" s="12">
        <v>248</v>
      </c>
      <c r="H65" s="12">
        <v>416</v>
      </c>
      <c r="I65" s="12">
        <v>43170</v>
      </c>
      <c r="J65" s="12">
        <v>42667</v>
      </c>
      <c r="K65" s="12">
        <v>75</v>
      </c>
      <c r="L65" s="4" t="s">
        <v>62</v>
      </c>
      <c r="M65" s="5" t="s">
        <v>31</v>
      </c>
      <c r="N65" s="31">
        <f t="shared" si="0"/>
        <v>3542</v>
      </c>
      <c r="O65" s="32">
        <f>IFERROR((Table1[[#This Row],[Likes]]+Table1[[#This Row],[Shares]]+Table1[[#This Row],[Comments]])/Table1[[#This Row],[Impressions]], 0)</f>
        <v>8.2047718322909427E-2</v>
      </c>
      <c r="P65" s="30" t="str" cm="1">
        <f t="array" ref="P65">IFERROR(INDEX('Campaign Metadata (2)'!$A$2:$A$10, MATCH(1, (C65&gt;='Campaign Metadata (2)'!$B$2:$B$10) * (C65&lt;='Campaign Metadata (2)'!$C$2:$C$10), 0)), "No Campaign")</f>
        <v>No Campaign</v>
      </c>
      <c r="Q65" s="33" t="e">
        <f>VLOOKUP(Table1[[#This Row],[Campaign_Name2]],Table3[#All],2,)</f>
        <v>#N/A</v>
      </c>
      <c r="R65" s="33" t="e">
        <f>VLOOKUP(Table1[[#This Row],[Campaign_Name2]],Table3[#All],3,FALSE)</f>
        <v>#N/A</v>
      </c>
      <c r="S65" s="30" t="e">
        <f>VLOOKUP(Table1[[#This Row],[Campaign_Name2]],Table3[],5,FALSE)</f>
        <v>#N/A</v>
      </c>
      <c r="T65" s="30">
        <f>IF(Table1[[#This Row],[Campaign_Name2]]="No Campaign", 0, Table1[[#This Row],[Budget]]/COUNTIF(Table1[Campaign_Name2],Table1[[#This Row],[Campaign_Name2]]))</f>
        <v>0</v>
      </c>
    </row>
    <row r="66" spans="1:20" ht="14.25" customHeight="1" x14ac:dyDescent="0.3">
      <c r="A66" s="3" t="s">
        <v>183</v>
      </c>
      <c r="B66" s="3" t="s">
        <v>33</v>
      </c>
      <c r="C66" s="11">
        <v>45744</v>
      </c>
      <c r="D66" s="3" t="s">
        <v>35</v>
      </c>
      <c r="E66" s="3" t="s">
        <v>36</v>
      </c>
      <c r="F66" s="12">
        <v>1881</v>
      </c>
      <c r="G66" s="12">
        <v>501</v>
      </c>
      <c r="H66" s="12">
        <v>99</v>
      </c>
      <c r="I66" s="12">
        <v>20691</v>
      </c>
      <c r="J66" s="12">
        <v>19987</v>
      </c>
      <c r="K66" s="12">
        <v>289</v>
      </c>
      <c r="L66" s="4" t="s">
        <v>37</v>
      </c>
      <c r="M66" s="5"/>
      <c r="N66" s="31">
        <f t="shared" ref="N66:N129" si="1">SUM(F66,G66,H66)</f>
        <v>2481</v>
      </c>
      <c r="O66" s="32">
        <f>IFERROR((Table1[[#This Row],[Likes]]+Table1[[#This Row],[Shares]]+Table1[[#This Row],[Comments]])/Table1[[#This Row],[Impressions]], 0)</f>
        <v>0.11990720603160794</v>
      </c>
      <c r="P66" s="30" t="str" cm="1">
        <f t="array" ref="P66">IFERROR(INDEX('Campaign Metadata (2)'!$A$2:$A$10, MATCH(1, (C66&gt;='Campaign Metadata (2)'!$B$2:$B$10) * (C66&lt;='Campaign Metadata (2)'!$C$2:$C$10), 0)), "No Campaign")</f>
        <v>DailyWellness</v>
      </c>
      <c r="Q66" s="33">
        <f>VLOOKUP(Table1[[#This Row],[Campaign_Name2]],Table3[#All],2,)</f>
        <v>45717</v>
      </c>
      <c r="R66" s="33">
        <f>VLOOKUP(Table1[[#This Row],[Campaign_Name2]],Table3[#All],3,FALSE)</f>
        <v>45747</v>
      </c>
      <c r="S66" s="30">
        <f>VLOOKUP(Table1[[#This Row],[Campaign_Name2]],Table3[],5,FALSE)</f>
        <v>180000</v>
      </c>
      <c r="T66" s="30">
        <f>IF(Table1[[#This Row],[Campaign_Name2]]="No Campaign", 0, Table1[[#This Row],[Budget]]/COUNTIF(Table1[Campaign_Name2],Table1[[#This Row],[Campaign_Name2]]))</f>
        <v>5625</v>
      </c>
    </row>
    <row r="67" spans="1:20" ht="14.25" customHeight="1" x14ac:dyDescent="0.3">
      <c r="A67" s="3" t="s">
        <v>185</v>
      </c>
      <c r="B67" s="3" t="s">
        <v>14</v>
      </c>
      <c r="C67" s="11">
        <v>45499</v>
      </c>
      <c r="D67" s="3" t="s">
        <v>45</v>
      </c>
      <c r="E67" s="3" t="s">
        <v>49</v>
      </c>
      <c r="F67" s="12">
        <v>432</v>
      </c>
      <c r="G67" s="12">
        <v>171</v>
      </c>
      <c r="H67" s="12">
        <v>280</v>
      </c>
      <c r="I67" s="12">
        <v>3024</v>
      </c>
      <c r="J67" s="12">
        <v>2285</v>
      </c>
      <c r="K67" s="12">
        <v>184</v>
      </c>
      <c r="L67" s="4" t="s">
        <v>37</v>
      </c>
      <c r="M67" s="5" t="s">
        <v>19</v>
      </c>
      <c r="N67" s="31">
        <f t="shared" si="1"/>
        <v>883</v>
      </c>
      <c r="O67" s="32">
        <f>IFERROR((Table1[[#This Row],[Likes]]+Table1[[#This Row],[Shares]]+Table1[[#This Row],[Comments]])/Table1[[#This Row],[Impressions]], 0)</f>
        <v>0.29199735449735448</v>
      </c>
      <c r="P67" s="30" t="str" cm="1">
        <f t="array" ref="P67">IFERROR(INDEX('Campaign Metadata (2)'!$A$2:$A$10, MATCH(1, (C67&gt;='Campaign Metadata (2)'!$B$2:$B$10) * (C67&lt;='Campaign Metadata (2)'!$C$2:$C$10), 0)), "No Campaign")</f>
        <v>No Campaign</v>
      </c>
      <c r="Q67" s="33" t="e">
        <f>VLOOKUP(Table1[[#This Row],[Campaign_Name2]],Table3[#All],2,)</f>
        <v>#N/A</v>
      </c>
      <c r="R67" s="33" t="e">
        <f>VLOOKUP(Table1[[#This Row],[Campaign_Name2]],Table3[#All],3,FALSE)</f>
        <v>#N/A</v>
      </c>
      <c r="S67" s="30" t="e">
        <f>VLOOKUP(Table1[[#This Row],[Campaign_Name2]],Table3[],5,FALSE)</f>
        <v>#N/A</v>
      </c>
      <c r="T67" s="30">
        <f>IF(Table1[[#This Row],[Campaign_Name2]]="No Campaign", 0, Table1[[#This Row],[Budget]]/COUNTIF(Table1[Campaign_Name2],Table1[[#This Row],[Campaign_Name2]]))</f>
        <v>0</v>
      </c>
    </row>
    <row r="68" spans="1:20" ht="14.25" customHeight="1" x14ac:dyDescent="0.3">
      <c r="A68" s="3" t="s">
        <v>187</v>
      </c>
      <c r="B68" s="3" t="s">
        <v>43</v>
      </c>
      <c r="C68" s="11">
        <v>45745</v>
      </c>
      <c r="D68" s="3" t="s">
        <v>45</v>
      </c>
      <c r="E68" s="3" t="s">
        <v>46</v>
      </c>
      <c r="F68" s="12">
        <v>4712</v>
      </c>
      <c r="G68" s="12">
        <v>568</v>
      </c>
      <c r="H68" s="12">
        <v>127</v>
      </c>
      <c r="I68" s="12">
        <v>84816</v>
      </c>
      <c r="J68" s="12">
        <v>84691</v>
      </c>
      <c r="K68" s="12">
        <v>100</v>
      </c>
      <c r="L68" s="4" t="s">
        <v>37</v>
      </c>
      <c r="M68" s="5" t="s">
        <v>31</v>
      </c>
      <c r="N68" s="31">
        <f t="shared" si="1"/>
        <v>5407</v>
      </c>
      <c r="O68" s="32">
        <f>IFERROR((Table1[[#This Row],[Likes]]+Table1[[#This Row],[Shares]]+Table1[[#This Row],[Comments]])/Table1[[#This Row],[Impressions]], 0)</f>
        <v>6.3749764195434822E-2</v>
      </c>
      <c r="P68" s="30" t="str" cm="1">
        <f t="array" ref="P68">IFERROR(INDEX('Campaign Metadata (2)'!$A$2:$A$10, MATCH(1, (C68&gt;='Campaign Metadata (2)'!$B$2:$B$10) * (C68&lt;='Campaign Metadata (2)'!$C$2:$C$10), 0)), "No Campaign")</f>
        <v>DailyWellness</v>
      </c>
      <c r="Q68" s="33">
        <f>VLOOKUP(Table1[[#This Row],[Campaign_Name2]],Table3[#All],2,)</f>
        <v>45717</v>
      </c>
      <c r="R68" s="33">
        <f>VLOOKUP(Table1[[#This Row],[Campaign_Name2]],Table3[#All],3,FALSE)</f>
        <v>45747</v>
      </c>
      <c r="S68" s="30">
        <f>VLOOKUP(Table1[[#This Row],[Campaign_Name2]],Table3[],5,FALSE)</f>
        <v>180000</v>
      </c>
      <c r="T68" s="30">
        <f>IF(Table1[[#This Row],[Campaign_Name2]]="No Campaign", 0, Table1[[#This Row],[Budget]]/COUNTIF(Table1[Campaign_Name2],Table1[[#This Row],[Campaign_Name2]]))</f>
        <v>5625</v>
      </c>
    </row>
    <row r="69" spans="1:20" ht="14.25" customHeight="1" x14ac:dyDescent="0.3">
      <c r="A69" s="3" t="s">
        <v>189</v>
      </c>
      <c r="B69" s="3" t="s">
        <v>33</v>
      </c>
      <c r="C69" s="11">
        <v>45634</v>
      </c>
      <c r="D69" s="3" t="s">
        <v>35</v>
      </c>
      <c r="E69" s="3" t="s">
        <v>36</v>
      </c>
      <c r="F69" s="12">
        <v>2610</v>
      </c>
      <c r="G69" s="12">
        <v>126</v>
      </c>
      <c r="H69" s="12">
        <v>288</v>
      </c>
      <c r="I69" s="12">
        <v>15660</v>
      </c>
      <c r="J69" s="12">
        <v>15145</v>
      </c>
      <c r="K69" s="12">
        <v>73</v>
      </c>
      <c r="L69" s="4" t="s">
        <v>37</v>
      </c>
      <c r="M69" s="5"/>
      <c r="N69" s="31">
        <f t="shared" si="1"/>
        <v>3024</v>
      </c>
      <c r="O69" s="32">
        <f>IFERROR((Table1[[#This Row],[Likes]]+Table1[[#This Row],[Shares]]+Table1[[#This Row],[Comments]])/Table1[[#This Row],[Impressions]], 0)</f>
        <v>0.19310344827586207</v>
      </c>
      <c r="P69" s="30" t="str" cm="1">
        <f t="array" ref="P69">IFERROR(INDEX('Campaign Metadata (2)'!$A$2:$A$10, MATCH(1, (C69&gt;='Campaign Metadata (2)'!$B$2:$B$10) * (C69&lt;='Campaign Metadata (2)'!$C$2:$C$10), 0)), "No Campaign")</f>
        <v>No Campaign</v>
      </c>
      <c r="Q69" s="33" t="e">
        <f>VLOOKUP(Table1[[#This Row],[Campaign_Name2]],Table3[#All],2,)</f>
        <v>#N/A</v>
      </c>
      <c r="R69" s="33" t="e">
        <f>VLOOKUP(Table1[[#This Row],[Campaign_Name2]],Table3[#All],3,FALSE)</f>
        <v>#N/A</v>
      </c>
      <c r="S69" s="30" t="e">
        <f>VLOOKUP(Table1[[#This Row],[Campaign_Name2]],Table3[],5,FALSE)</f>
        <v>#N/A</v>
      </c>
      <c r="T69" s="30">
        <f>IF(Table1[[#This Row],[Campaign_Name2]]="No Campaign", 0, Table1[[#This Row],[Budget]]/COUNTIF(Table1[Campaign_Name2],Table1[[#This Row],[Campaign_Name2]]))</f>
        <v>0</v>
      </c>
    </row>
    <row r="70" spans="1:20" ht="14.25" customHeight="1" x14ac:dyDescent="0.3">
      <c r="A70" s="3" t="s">
        <v>191</v>
      </c>
      <c r="B70" s="3" t="s">
        <v>14</v>
      </c>
      <c r="C70" s="11">
        <v>45724</v>
      </c>
      <c r="D70" s="3" t="s">
        <v>22</v>
      </c>
      <c r="E70" s="3" t="s">
        <v>23</v>
      </c>
      <c r="F70" s="12">
        <v>1292</v>
      </c>
      <c r="G70" s="12">
        <v>626</v>
      </c>
      <c r="H70" s="12">
        <v>496</v>
      </c>
      <c r="I70" s="12">
        <v>25840</v>
      </c>
      <c r="J70" s="12">
        <v>24916</v>
      </c>
      <c r="K70" s="12">
        <v>149</v>
      </c>
      <c r="L70" s="4" t="s">
        <v>62</v>
      </c>
      <c r="M70" s="5" t="s">
        <v>31</v>
      </c>
      <c r="N70" s="31">
        <f t="shared" si="1"/>
        <v>2414</v>
      </c>
      <c r="O70" s="32">
        <f>IFERROR((Table1[[#This Row],[Likes]]+Table1[[#This Row],[Shares]]+Table1[[#This Row],[Comments]])/Table1[[#This Row],[Impressions]], 0)</f>
        <v>9.3421052631578946E-2</v>
      </c>
      <c r="P70" s="30" t="str" cm="1">
        <f t="array" ref="P70">IFERROR(INDEX('Campaign Metadata (2)'!$A$2:$A$10, MATCH(1, (C70&gt;='Campaign Metadata (2)'!$B$2:$B$10) * (C70&lt;='Campaign Metadata (2)'!$C$2:$C$10), 0)), "No Campaign")</f>
        <v>DailyWellness</v>
      </c>
      <c r="Q70" s="33">
        <f>VLOOKUP(Table1[[#This Row],[Campaign_Name2]],Table3[#All],2,)</f>
        <v>45717</v>
      </c>
      <c r="R70" s="33">
        <f>VLOOKUP(Table1[[#This Row],[Campaign_Name2]],Table3[#All],3,FALSE)</f>
        <v>45747</v>
      </c>
      <c r="S70" s="30">
        <f>VLOOKUP(Table1[[#This Row],[Campaign_Name2]],Table3[],5,FALSE)</f>
        <v>180000</v>
      </c>
      <c r="T70" s="30">
        <f>IF(Table1[[#This Row],[Campaign_Name2]]="No Campaign", 0, Table1[[#This Row],[Budget]]/COUNTIF(Table1[Campaign_Name2],Table1[[#This Row],[Campaign_Name2]]))</f>
        <v>5625</v>
      </c>
    </row>
    <row r="71" spans="1:20" ht="14.25" customHeight="1" x14ac:dyDescent="0.3">
      <c r="A71" s="3" t="s">
        <v>192</v>
      </c>
      <c r="B71" s="3" t="s">
        <v>43</v>
      </c>
      <c r="C71" s="11">
        <v>45749</v>
      </c>
      <c r="D71" s="3" t="s">
        <v>74</v>
      </c>
      <c r="E71" s="3" t="s">
        <v>75</v>
      </c>
      <c r="F71" s="12">
        <v>199</v>
      </c>
      <c r="G71" s="12">
        <v>772</v>
      </c>
      <c r="H71" s="12">
        <v>400</v>
      </c>
      <c r="I71" s="12">
        <v>3582</v>
      </c>
      <c r="J71" s="12">
        <v>2988</v>
      </c>
      <c r="K71" s="12">
        <v>43</v>
      </c>
      <c r="L71" s="4" t="s">
        <v>30</v>
      </c>
      <c r="M71" s="5"/>
      <c r="N71" s="31">
        <f t="shared" si="1"/>
        <v>1371</v>
      </c>
      <c r="O71" s="32">
        <f>IFERROR((Table1[[#This Row],[Likes]]+Table1[[#This Row],[Shares]]+Table1[[#This Row],[Comments]])/Table1[[#This Row],[Impressions]], 0)</f>
        <v>0.38274706867671693</v>
      </c>
      <c r="P71" s="30" t="str" cm="1">
        <f t="array" ref="P71">IFERROR(INDEX('Campaign Metadata (2)'!$A$2:$A$10, MATCH(1, (C71&gt;='Campaign Metadata (2)'!$B$2:$B$10) * (C71&lt;='Campaign Metadata (2)'!$C$2:$C$10), 0)), "No Campaign")</f>
        <v>No Campaign</v>
      </c>
      <c r="Q71" s="33" t="e">
        <f>VLOOKUP(Table1[[#This Row],[Campaign_Name2]],Table3[#All],2,)</f>
        <v>#N/A</v>
      </c>
      <c r="R71" s="33" t="e">
        <f>VLOOKUP(Table1[[#This Row],[Campaign_Name2]],Table3[#All],3,FALSE)</f>
        <v>#N/A</v>
      </c>
      <c r="S71" s="30" t="e">
        <f>VLOOKUP(Table1[[#This Row],[Campaign_Name2]],Table3[],5,FALSE)</f>
        <v>#N/A</v>
      </c>
      <c r="T71" s="30">
        <f>IF(Table1[[#This Row],[Campaign_Name2]]="No Campaign", 0, Table1[[#This Row],[Budget]]/COUNTIF(Table1[Campaign_Name2],Table1[[#This Row],[Campaign_Name2]]))</f>
        <v>0</v>
      </c>
    </row>
    <row r="72" spans="1:20" ht="14.25" customHeight="1" x14ac:dyDescent="0.3">
      <c r="A72" s="3" t="s">
        <v>194</v>
      </c>
      <c r="B72" s="3" t="s">
        <v>27</v>
      </c>
      <c r="C72" s="11">
        <v>45537</v>
      </c>
      <c r="D72" s="3" t="s">
        <v>45</v>
      </c>
      <c r="E72" s="3" t="s">
        <v>68</v>
      </c>
      <c r="F72" s="12">
        <v>2551</v>
      </c>
      <c r="G72" s="12">
        <v>915</v>
      </c>
      <c r="H72" s="12">
        <v>205</v>
      </c>
      <c r="I72" s="12">
        <v>30612</v>
      </c>
      <c r="J72" s="12">
        <v>30360</v>
      </c>
      <c r="K72" s="12">
        <v>227</v>
      </c>
      <c r="L72" s="4" t="s">
        <v>30</v>
      </c>
      <c r="M72" s="5" t="s">
        <v>25</v>
      </c>
      <c r="N72" s="31">
        <f t="shared" si="1"/>
        <v>3671</v>
      </c>
      <c r="O72" s="32">
        <f>IFERROR((Table1[[#This Row],[Likes]]+Table1[[#This Row],[Shares]]+Table1[[#This Row],[Comments]])/Table1[[#This Row],[Impressions]], 0)</f>
        <v>0.1199202926956749</v>
      </c>
      <c r="P72" s="30" t="str" cm="1">
        <f t="array" ref="P72">IFERROR(INDEX('Campaign Metadata (2)'!$A$2:$A$10, MATCH(1, (C72&gt;='Campaign Metadata (2)'!$B$2:$B$10) * (C72&lt;='Campaign Metadata (2)'!$C$2:$C$10), 0)), "No Campaign")</f>
        <v>No Campaign</v>
      </c>
      <c r="Q72" s="33" t="e">
        <f>VLOOKUP(Table1[[#This Row],[Campaign_Name2]],Table3[#All],2,)</f>
        <v>#N/A</v>
      </c>
      <c r="R72" s="33" t="e">
        <f>VLOOKUP(Table1[[#This Row],[Campaign_Name2]],Table3[#All],3,FALSE)</f>
        <v>#N/A</v>
      </c>
      <c r="S72" s="30" t="e">
        <f>VLOOKUP(Table1[[#This Row],[Campaign_Name2]],Table3[],5,FALSE)</f>
        <v>#N/A</v>
      </c>
      <c r="T72" s="30">
        <f>IF(Table1[[#This Row],[Campaign_Name2]]="No Campaign", 0, Table1[[#This Row],[Budget]]/COUNTIF(Table1[Campaign_Name2],Table1[[#This Row],[Campaign_Name2]]))</f>
        <v>0</v>
      </c>
    </row>
    <row r="73" spans="1:20" ht="14.25" customHeight="1" x14ac:dyDescent="0.3">
      <c r="A73" s="3" t="s">
        <v>196</v>
      </c>
      <c r="B73" s="3" t="s">
        <v>27</v>
      </c>
      <c r="C73" s="11">
        <v>45719</v>
      </c>
      <c r="D73" s="3" t="s">
        <v>16</v>
      </c>
      <c r="E73" s="3" t="s">
        <v>29</v>
      </c>
      <c r="F73" s="12">
        <v>296</v>
      </c>
      <c r="G73" s="12">
        <v>60</v>
      </c>
      <c r="H73" s="12">
        <v>141</v>
      </c>
      <c r="I73" s="12">
        <v>5624</v>
      </c>
      <c r="J73" s="12">
        <v>5239</v>
      </c>
      <c r="K73" s="12">
        <v>88</v>
      </c>
      <c r="L73" s="4" t="s">
        <v>37</v>
      </c>
      <c r="M73" s="5" t="s">
        <v>25</v>
      </c>
      <c r="N73" s="31">
        <f t="shared" si="1"/>
        <v>497</v>
      </c>
      <c r="O73" s="32">
        <f>IFERROR((Table1[[#This Row],[Likes]]+Table1[[#This Row],[Shares]]+Table1[[#This Row],[Comments]])/Table1[[#This Row],[Impressions]], 0)</f>
        <v>8.837126600284495E-2</v>
      </c>
      <c r="P73" s="30" t="str" cm="1">
        <f t="array" ref="P73">IFERROR(INDEX('Campaign Metadata (2)'!$A$2:$A$10, MATCH(1, (C73&gt;='Campaign Metadata (2)'!$B$2:$B$10) * (C73&lt;='Campaign Metadata (2)'!$C$2:$C$10), 0)), "No Campaign")</f>
        <v>DailyWellness</v>
      </c>
      <c r="Q73" s="33">
        <f>VLOOKUP(Table1[[#This Row],[Campaign_Name2]],Table3[#All],2,)</f>
        <v>45717</v>
      </c>
      <c r="R73" s="33">
        <f>VLOOKUP(Table1[[#This Row],[Campaign_Name2]],Table3[#All],3,FALSE)</f>
        <v>45747</v>
      </c>
      <c r="S73" s="30">
        <f>VLOOKUP(Table1[[#This Row],[Campaign_Name2]],Table3[],5,FALSE)</f>
        <v>180000</v>
      </c>
      <c r="T73" s="30">
        <f>IF(Table1[[#This Row],[Campaign_Name2]]="No Campaign", 0, Table1[[#This Row],[Budget]]/COUNTIF(Table1[Campaign_Name2],Table1[[#This Row],[Campaign_Name2]]))</f>
        <v>5625</v>
      </c>
    </row>
    <row r="74" spans="1:20" ht="14.25" customHeight="1" x14ac:dyDescent="0.3">
      <c r="A74" s="3" t="s">
        <v>198</v>
      </c>
      <c r="B74" s="3" t="s">
        <v>43</v>
      </c>
      <c r="C74" s="11">
        <v>45583</v>
      </c>
      <c r="D74" s="3" t="s">
        <v>35</v>
      </c>
      <c r="E74" s="3" t="s">
        <v>71</v>
      </c>
      <c r="F74" s="12">
        <v>4126</v>
      </c>
      <c r="G74" s="12">
        <v>426</v>
      </c>
      <c r="H74" s="12">
        <v>486</v>
      </c>
      <c r="I74" s="12">
        <v>78394</v>
      </c>
      <c r="J74" s="12">
        <v>77798</v>
      </c>
      <c r="K74" s="12">
        <v>88</v>
      </c>
      <c r="L74" s="4" t="s">
        <v>62</v>
      </c>
      <c r="M74" s="5" t="s">
        <v>38</v>
      </c>
      <c r="N74" s="31">
        <f t="shared" si="1"/>
        <v>5038</v>
      </c>
      <c r="O74" s="32">
        <f>IFERROR((Table1[[#This Row],[Likes]]+Table1[[#This Row],[Shares]]+Table1[[#This Row],[Comments]])/Table1[[#This Row],[Impressions]], 0)</f>
        <v>6.4265122330790625E-2</v>
      </c>
      <c r="P74" s="30" t="str" cm="1">
        <f t="array" ref="P74">IFERROR(INDEX('Campaign Metadata (2)'!$A$2:$A$10, MATCH(1, (C74&gt;='Campaign Metadata (2)'!$B$2:$B$10) * (C74&lt;='Campaign Metadata (2)'!$C$2:$C$10), 0)), "No Campaign")</f>
        <v>FestiveRadiance</v>
      </c>
      <c r="Q74" s="33">
        <f>VLOOKUP(Table1[[#This Row],[Campaign_Name2]],Table3[#All],2,)</f>
        <v>45566</v>
      </c>
      <c r="R74" s="33">
        <f>VLOOKUP(Table1[[#This Row],[Campaign_Name2]],Table3[#All],3,FALSE)</f>
        <v>45596</v>
      </c>
      <c r="S74" s="30">
        <f>VLOOKUP(Table1[[#This Row],[Campaign_Name2]],Table3[],5,FALSE)</f>
        <v>200000</v>
      </c>
      <c r="T74" s="30">
        <f>IF(Table1[[#This Row],[Campaign_Name2]]="No Campaign", 0, Table1[[#This Row],[Budget]]/COUNTIF(Table1[Campaign_Name2],Table1[[#This Row],[Campaign_Name2]]))</f>
        <v>5714.2857142857147</v>
      </c>
    </row>
    <row r="75" spans="1:20" ht="14.25" customHeight="1" x14ac:dyDescent="0.3">
      <c r="A75" s="3" t="s">
        <v>200</v>
      </c>
      <c r="B75" s="3" t="s">
        <v>27</v>
      </c>
      <c r="C75" s="11">
        <v>45593</v>
      </c>
      <c r="D75" s="3" t="s">
        <v>16</v>
      </c>
      <c r="E75" s="3" t="s">
        <v>29</v>
      </c>
      <c r="F75" s="12">
        <v>1855</v>
      </c>
      <c r="G75" s="12">
        <v>200</v>
      </c>
      <c r="H75" s="12">
        <v>174</v>
      </c>
      <c r="I75" s="12">
        <v>16695</v>
      </c>
      <c r="J75" s="12">
        <v>16330</v>
      </c>
      <c r="K75" s="12">
        <v>123</v>
      </c>
      <c r="L75" s="4" t="s">
        <v>30</v>
      </c>
      <c r="M75" s="5" t="s">
        <v>31</v>
      </c>
      <c r="N75" s="31">
        <f t="shared" si="1"/>
        <v>2229</v>
      </c>
      <c r="O75" s="32">
        <f>IFERROR((Table1[[#This Row],[Likes]]+Table1[[#This Row],[Shares]]+Table1[[#This Row],[Comments]])/Table1[[#This Row],[Impressions]], 0)</f>
        <v>0.13351302785265048</v>
      </c>
      <c r="P75" s="30" t="str" cm="1">
        <f t="array" ref="P75">IFERROR(INDEX('Campaign Metadata (2)'!$A$2:$A$10, MATCH(1, (C75&gt;='Campaign Metadata (2)'!$B$2:$B$10) * (C75&lt;='Campaign Metadata (2)'!$C$2:$C$10), 0)), "No Campaign")</f>
        <v>FestiveRadiance</v>
      </c>
      <c r="Q75" s="33">
        <f>VLOOKUP(Table1[[#This Row],[Campaign_Name2]],Table3[#All],2,)</f>
        <v>45566</v>
      </c>
      <c r="R75" s="33">
        <f>VLOOKUP(Table1[[#This Row],[Campaign_Name2]],Table3[#All],3,FALSE)</f>
        <v>45596</v>
      </c>
      <c r="S75" s="30">
        <f>VLOOKUP(Table1[[#This Row],[Campaign_Name2]],Table3[],5,FALSE)</f>
        <v>200000</v>
      </c>
      <c r="T75" s="30">
        <f>IF(Table1[[#This Row],[Campaign_Name2]]="No Campaign", 0, Table1[[#This Row],[Budget]]/COUNTIF(Table1[Campaign_Name2],Table1[[#This Row],[Campaign_Name2]]))</f>
        <v>5714.2857142857147</v>
      </c>
    </row>
    <row r="76" spans="1:20" ht="14.25" customHeight="1" x14ac:dyDescent="0.3">
      <c r="A76" s="3" t="s">
        <v>202</v>
      </c>
      <c r="B76" s="3" t="s">
        <v>33</v>
      </c>
      <c r="C76" s="11">
        <v>45505</v>
      </c>
      <c r="D76" s="3" t="s">
        <v>16</v>
      </c>
      <c r="E76" s="3" t="s">
        <v>82</v>
      </c>
      <c r="F76" s="12">
        <v>1674</v>
      </c>
      <c r="G76" s="12">
        <v>929</v>
      </c>
      <c r="H76" s="12">
        <v>37</v>
      </c>
      <c r="I76" s="12">
        <v>21762</v>
      </c>
      <c r="J76" s="12">
        <v>20998</v>
      </c>
      <c r="K76" s="12">
        <v>255</v>
      </c>
      <c r="L76" s="4" t="s">
        <v>30</v>
      </c>
      <c r="M76" s="5" t="s">
        <v>38</v>
      </c>
      <c r="N76" s="31">
        <f t="shared" si="1"/>
        <v>2640</v>
      </c>
      <c r="O76" s="32">
        <f>IFERROR((Table1[[#This Row],[Likes]]+Table1[[#This Row],[Shares]]+Table1[[#This Row],[Comments]])/Table1[[#This Row],[Impressions]], 0)</f>
        <v>0.12131237937689551</v>
      </c>
      <c r="P76" s="30" t="str" cm="1">
        <f t="array" ref="P76">IFERROR(INDEX('Campaign Metadata (2)'!$A$2:$A$10, MATCH(1, (C76&gt;='Campaign Metadata (2)'!$B$2:$B$10) * (C76&lt;='Campaign Metadata (2)'!$C$2:$C$10), 0)), "No Campaign")</f>
        <v>No Campaign</v>
      </c>
      <c r="Q76" s="33" t="e">
        <f>VLOOKUP(Table1[[#This Row],[Campaign_Name2]],Table3[#All],2,)</f>
        <v>#N/A</v>
      </c>
      <c r="R76" s="33" t="e">
        <f>VLOOKUP(Table1[[#This Row],[Campaign_Name2]],Table3[#All],3,FALSE)</f>
        <v>#N/A</v>
      </c>
      <c r="S76" s="30" t="e">
        <f>VLOOKUP(Table1[[#This Row],[Campaign_Name2]],Table3[],5,FALSE)</f>
        <v>#N/A</v>
      </c>
      <c r="T76" s="30">
        <f>IF(Table1[[#This Row],[Campaign_Name2]]="No Campaign", 0, Table1[[#This Row],[Budget]]/COUNTIF(Table1[Campaign_Name2],Table1[[#This Row],[Campaign_Name2]]))</f>
        <v>0</v>
      </c>
    </row>
    <row r="77" spans="1:20" ht="14.25" customHeight="1" x14ac:dyDescent="0.3">
      <c r="A77" s="3" t="s">
        <v>204</v>
      </c>
      <c r="B77" s="3" t="s">
        <v>14</v>
      </c>
      <c r="C77" s="11">
        <v>45603</v>
      </c>
      <c r="D77" s="3" t="s">
        <v>35</v>
      </c>
      <c r="E77" s="3" t="s">
        <v>149</v>
      </c>
      <c r="F77" s="12">
        <v>1121</v>
      </c>
      <c r="G77" s="12">
        <v>135</v>
      </c>
      <c r="H77" s="12">
        <v>18</v>
      </c>
      <c r="I77" s="12">
        <v>15694</v>
      </c>
      <c r="J77" s="12">
        <v>14957</v>
      </c>
      <c r="K77" s="12">
        <v>99</v>
      </c>
      <c r="L77" s="4" t="s">
        <v>30</v>
      </c>
      <c r="M77" s="5" t="s">
        <v>38</v>
      </c>
      <c r="N77" s="31">
        <f t="shared" si="1"/>
        <v>1274</v>
      </c>
      <c r="O77" s="32">
        <f>IFERROR((Table1[[#This Row],[Likes]]+Table1[[#This Row],[Shares]]+Table1[[#This Row],[Comments]])/Table1[[#This Row],[Impressions]], 0)</f>
        <v>8.1177520071364848E-2</v>
      </c>
      <c r="P77" s="30" t="str" cm="1">
        <f t="array" ref="P77">IFERROR(INDEX('Campaign Metadata (2)'!$A$2:$A$10, MATCH(1, (C77&gt;='Campaign Metadata (2)'!$B$2:$B$10) * (C77&lt;='Campaign Metadata (2)'!$C$2:$C$10), 0)), "No Campaign")</f>
        <v>No Campaign</v>
      </c>
      <c r="Q77" s="33" t="e">
        <f>VLOOKUP(Table1[[#This Row],[Campaign_Name2]],Table3[#All],2,)</f>
        <v>#N/A</v>
      </c>
      <c r="R77" s="33" t="e">
        <f>VLOOKUP(Table1[[#This Row],[Campaign_Name2]],Table3[#All],3,FALSE)</f>
        <v>#N/A</v>
      </c>
      <c r="S77" s="30" t="e">
        <f>VLOOKUP(Table1[[#This Row],[Campaign_Name2]],Table3[],5,FALSE)</f>
        <v>#N/A</v>
      </c>
      <c r="T77" s="30">
        <f>IF(Table1[[#This Row],[Campaign_Name2]]="No Campaign", 0, Table1[[#This Row],[Budget]]/COUNTIF(Table1[Campaign_Name2],Table1[[#This Row],[Campaign_Name2]]))</f>
        <v>0</v>
      </c>
    </row>
    <row r="78" spans="1:20" ht="14.25" customHeight="1" x14ac:dyDescent="0.3">
      <c r="A78" s="3" t="s">
        <v>206</v>
      </c>
      <c r="B78" s="3" t="s">
        <v>43</v>
      </c>
      <c r="C78" s="11">
        <v>45720</v>
      </c>
      <c r="D78" s="3" t="s">
        <v>35</v>
      </c>
      <c r="E78" s="3" t="s">
        <v>71</v>
      </c>
      <c r="F78" s="12">
        <v>1249</v>
      </c>
      <c r="G78" s="12">
        <v>116</v>
      </c>
      <c r="H78" s="12">
        <v>420</v>
      </c>
      <c r="I78" s="12">
        <v>8743</v>
      </c>
      <c r="J78" s="12">
        <v>8538</v>
      </c>
      <c r="K78" s="12">
        <v>63</v>
      </c>
      <c r="L78" s="4" t="s">
        <v>30</v>
      </c>
      <c r="M78" s="5"/>
      <c r="N78" s="31">
        <f t="shared" si="1"/>
        <v>1785</v>
      </c>
      <c r="O78" s="32">
        <f>IFERROR((Table1[[#This Row],[Likes]]+Table1[[#This Row],[Shares]]+Table1[[#This Row],[Comments]])/Table1[[#This Row],[Impressions]], 0)</f>
        <v>0.20416333066453163</v>
      </c>
      <c r="P78" s="30" t="str" cm="1">
        <f t="array" ref="P78">IFERROR(INDEX('Campaign Metadata (2)'!$A$2:$A$10, MATCH(1, (C78&gt;='Campaign Metadata (2)'!$B$2:$B$10) * (C78&lt;='Campaign Metadata (2)'!$C$2:$C$10), 0)), "No Campaign")</f>
        <v>DailyWellness</v>
      </c>
      <c r="Q78" s="33">
        <f>VLOOKUP(Table1[[#This Row],[Campaign_Name2]],Table3[#All],2,)</f>
        <v>45717</v>
      </c>
      <c r="R78" s="33">
        <f>VLOOKUP(Table1[[#This Row],[Campaign_Name2]],Table3[#All],3,FALSE)</f>
        <v>45747</v>
      </c>
      <c r="S78" s="30">
        <f>VLOOKUP(Table1[[#This Row],[Campaign_Name2]],Table3[],5,FALSE)</f>
        <v>180000</v>
      </c>
      <c r="T78" s="30">
        <f>IF(Table1[[#This Row],[Campaign_Name2]]="No Campaign", 0, Table1[[#This Row],[Budget]]/COUNTIF(Table1[Campaign_Name2],Table1[[#This Row],[Campaign_Name2]]))</f>
        <v>5625</v>
      </c>
    </row>
    <row r="79" spans="1:20" ht="14.25" customHeight="1" x14ac:dyDescent="0.3">
      <c r="A79" s="3" t="s">
        <v>207</v>
      </c>
      <c r="B79" s="3" t="s">
        <v>14</v>
      </c>
      <c r="C79" s="11">
        <v>45460</v>
      </c>
      <c r="D79" s="3" t="s">
        <v>52</v>
      </c>
      <c r="E79" s="3" t="s">
        <v>132</v>
      </c>
      <c r="F79" s="12">
        <v>954</v>
      </c>
      <c r="G79" s="12">
        <v>324</v>
      </c>
      <c r="H79" s="12">
        <v>288</v>
      </c>
      <c r="I79" s="12">
        <v>19080</v>
      </c>
      <c r="J79" s="12">
        <v>18859</v>
      </c>
      <c r="K79" s="12">
        <v>21</v>
      </c>
      <c r="L79" s="4" t="s">
        <v>62</v>
      </c>
      <c r="M79" s="5" t="s">
        <v>38</v>
      </c>
      <c r="N79" s="31">
        <f t="shared" si="1"/>
        <v>1566</v>
      </c>
      <c r="O79" s="32">
        <f>IFERROR((Table1[[#This Row],[Likes]]+Table1[[#This Row],[Shares]]+Table1[[#This Row],[Comments]])/Table1[[#This Row],[Impressions]], 0)</f>
        <v>8.2075471698113203E-2</v>
      </c>
      <c r="P79" s="30" t="str" cm="1">
        <f t="array" ref="P79">IFERROR(INDEX('Campaign Metadata (2)'!$A$2:$A$10, MATCH(1, (C79&gt;='Campaign Metadata (2)'!$B$2:$B$10) * (C79&lt;='Campaign Metadata (2)'!$C$2:$C$10), 0)), "No Campaign")</f>
        <v>SummerSplash</v>
      </c>
      <c r="Q79" s="33">
        <f>VLOOKUP(Table1[[#This Row],[Campaign_Name2]],Table3[#All],2,)</f>
        <v>45458</v>
      </c>
      <c r="R79" s="33">
        <f>VLOOKUP(Table1[[#This Row],[Campaign_Name2]],Table3[#All],3,FALSE)</f>
        <v>45488</v>
      </c>
      <c r="S79" s="30">
        <f>VLOOKUP(Table1[[#This Row],[Campaign_Name2]],Table3[],5,FALSE)</f>
        <v>150000</v>
      </c>
      <c r="T79" s="30">
        <f>IF(Table1[[#This Row],[Campaign_Name2]]="No Campaign", 0, Table1[[#This Row],[Budget]]/COUNTIF(Table1[Campaign_Name2],Table1[[#This Row],[Campaign_Name2]]))</f>
        <v>5555.5555555555557</v>
      </c>
    </row>
    <row r="80" spans="1:20" ht="14.25" customHeight="1" x14ac:dyDescent="0.3">
      <c r="A80" s="3" t="s">
        <v>208</v>
      </c>
      <c r="B80" s="3" t="s">
        <v>33</v>
      </c>
      <c r="C80" s="11">
        <v>45574</v>
      </c>
      <c r="D80" s="3" t="s">
        <v>45</v>
      </c>
      <c r="E80" s="3" t="s">
        <v>88</v>
      </c>
      <c r="F80" s="12">
        <v>3068</v>
      </c>
      <c r="G80" s="12">
        <v>137</v>
      </c>
      <c r="H80" s="12">
        <v>329</v>
      </c>
      <c r="I80" s="12">
        <v>39884</v>
      </c>
      <c r="J80" s="12">
        <v>39404</v>
      </c>
      <c r="K80" s="12">
        <v>266</v>
      </c>
      <c r="L80" s="4" t="s">
        <v>37</v>
      </c>
      <c r="M80" s="5" t="s">
        <v>25</v>
      </c>
      <c r="N80" s="31">
        <f t="shared" si="1"/>
        <v>3534</v>
      </c>
      <c r="O80" s="32">
        <f>IFERROR((Table1[[#This Row],[Likes]]+Table1[[#This Row],[Shares]]+Table1[[#This Row],[Comments]])/Table1[[#This Row],[Impressions]], 0)</f>
        <v>8.860696018453515E-2</v>
      </c>
      <c r="P80" s="30" t="str" cm="1">
        <f t="array" ref="P80">IFERROR(INDEX('Campaign Metadata (2)'!$A$2:$A$10, MATCH(1, (C80&gt;='Campaign Metadata (2)'!$B$2:$B$10) * (C80&lt;='Campaign Metadata (2)'!$C$2:$C$10), 0)), "No Campaign")</f>
        <v>FestiveRadiance</v>
      </c>
      <c r="Q80" s="33">
        <f>VLOOKUP(Table1[[#This Row],[Campaign_Name2]],Table3[#All],2,)</f>
        <v>45566</v>
      </c>
      <c r="R80" s="33">
        <f>VLOOKUP(Table1[[#This Row],[Campaign_Name2]],Table3[#All],3,FALSE)</f>
        <v>45596</v>
      </c>
      <c r="S80" s="30">
        <f>VLOOKUP(Table1[[#This Row],[Campaign_Name2]],Table3[],5,FALSE)</f>
        <v>200000</v>
      </c>
      <c r="T80" s="30">
        <f>IF(Table1[[#This Row],[Campaign_Name2]]="No Campaign", 0, Table1[[#This Row],[Budget]]/COUNTIF(Table1[Campaign_Name2],Table1[[#This Row],[Campaign_Name2]]))</f>
        <v>5714.2857142857147</v>
      </c>
    </row>
    <row r="81" spans="1:20" ht="14.25" customHeight="1" x14ac:dyDescent="0.3">
      <c r="A81" s="3" t="s">
        <v>210</v>
      </c>
      <c r="B81" s="3" t="s">
        <v>33</v>
      </c>
      <c r="C81" s="11">
        <v>45456</v>
      </c>
      <c r="D81" s="3" t="s">
        <v>35</v>
      </c>
      <c r="E81" s="3" t="s">
        <v>36</v>
      </c>
      <c r="F81" s="12">
        <v>2103</v>
      </c>
      <c r="G81" s="12">
        <v>892</v>
      </c>
      <c r="H81" s="12">
        <v>103</v>
      </c>
      <c r="I81" s="12">
        <v>39957</v>
      </c>
      <c r="J81" s="12">
        <v>39466</v>
      </c>
      <c r="K81" s="12">
        <v>28</v>
      </c>
      <c r="L81" s="4" t="s">
        <v>62</v>
      </c>
      <c r="M81" s="5"/>
      <c r="N81" s="31">
        <f t="shared" si="1"/>
        <v>3098</v>
      </c>
      <c r="O81" s="32">
        <f>IFERROR((Table1[[#This Row],[Likes]]+Table1[[#This Row],[Shares]]+Table1[[#This Row],[Comments]])/Table1[[#This Row],[Impressions]], 0)</f>
        <v>7.7533348349475686E-2</v>
      </c>
      <c r="P81" s="30" t="str" cm="1">
        <f t="array" ref="P81">IFERROR(INDEX('Campaign Metadata (2)'!$A$2:$A$10, MATCH(1, (C81&gt;='Campaign Metadata (2)'!$B$2:$B$10) * (C81&lt;='Campaign Metadata (2)'!$C$2:$C$10), 0)), "No Campaign")</f>
        <v>No Campaign</v>
      </c>
      <c r="Q81" s="33" t="e">
        <f>VLOOKUP(Table1[[#This Row],[Campaign_Name2]],Table3[#All],2,)</f>
        <v>#N/A</v>
      </c>
      <c r="R81" s="33" t="e">
        <f>VLOOKUP(Table1[[#This Row],[Campaign_Name2]],Table3[#All],3,FALSE)</f>
        <v>#N/A</v>
      </c>
      <c r="S81" s="30" t="e">
        <f>VLOOKUP(Table1[[#This Row],[Campaign_Name2]],Table3[],5,FALSE)</f>
        <v>#N/A</v>
      </c>
      <c r="T81" s="30">
        <f>IF(Table1[[#This Row],[Campaign_Name2]]="No Campaign", 0, Table1[[#This Row],[Budget]]/COUNTIF(Table1[Campaign_Name2],Table1[[#This Row],[Campaign_Name2]]))</f>
        <v>0</v>
      </c>
    </row>
    <row r="82" spans="1:20" ht="14.25" customHeight="1" x14ac:dyDescent="0.3">
      <c r="A82" s="3" t="s">
        <v>211</v>
      </c>
      <c r="B82" s="3" t="s">
        <v>33</v>
      </c>
      <c r="C82" s="11">
        <v>45584</v>
      </c>
      <c r="D82" s="3" t="s">
        <v>35</v>
      </c>
      <c r="E82" s="3" t="s">
        <v>36</v>
      </c>
      <c r="F82" s="12">
        <v>1816</v>
      </c>
      <c r="G82" s="12">
        <v>29</v>
      </c>
      <c r="H82" s="12">
        <v>41</v>
      </c>
      <c r="I82" s="12">
        <v>19976</v>
      </c>
      <c r="J82" s="12">
        <v>19262</v>
      </c>
      <c r="K82" s="12">
        <v>283</v>
      </c>
      <c r="L82" s="4" t="s">
        <v>30</v>
      </c>
      <c r="M82" s="5" t="s">
        <v>31</v>
      </c>
      <c r="N82" s="31">
        <f t="shared" si="1"/>
        <v>1886</v>
      </c>
      <c r="O82" s="32">
        <f>IFERROR((Table1[[#This Row],[Likes]]+Table1[[#This Row],[Shares]]+Table1[[#This Row],[Comments]])/Table1[[#This Row],[Impressions]], 0)</f>
        <v>9.4413295955146179E-2</v>
      </c>
      <c r="P82" s="30" t="str" cm="1">
        <f t="array" ref="P82">IFERROR(INDEX('Campaign Metadata (2)'!$A$2:$A$10, MATCH(1, (C82&gt;='Campaign Metadata (2)'!$B$2:$B$10) * (C82&lt;='Campaign Metadata (2)'!$C$2:$C$10), 0)), "No Campaign")</f>
        <v>FestiveRadiance</v>
      </c>
      <c r="Q82" s="33">
        <f>VLOOKUP(Table1[[#This Row],[Campaign_Name2]],Table3[#All],2,)</f>
        <v>45566</v>
      </c>
      <c r="R82" s="33">
        <f>VLOOKUP(Table1[[#This Row],[Campaign_Name2]],Table3[#All],3,FALSE)</f>
        <v>45596</v>
      </c>
      <c r="S82" s="30">
        <f>VLOOKUP(Table1[[#This Row],[Campaign_Name2]],Table3[],5,FALSE)</f>
        <v>200000</v>
      </c>
      <c r="T82" s="30">
        <f>IF(Table1[[#This Row],[Campaign_Name2]]="No Campaign", 0, Table1[[#This Row],[Budget]]/COUNTIF(Table1[Campaign_Name2],Table1[[#This Row],[Campaign_Name2]]))</f>
        <v>5714.2857142857147</v>
      </c>
    </row>
    <row r="83" spans="1:20" ht="14.25" customHeight="1" x14ac:dyDescent="0.3">
      <c r="A83" s="3" t="s">
        <v>213</v>
      </c>
      <c r="B83" s="3" t="s">
        <v>33</v>
      </c>
      <c r="C83" s="11">
        <v>45497</v>
      </c>
      <c r="D83" s="3" t="s">
        <v>52</v>
      </c>
      <c r="E83" s="3" t="s">
        <v>215</v>
      </c>
      <c r="F83" s="12">
        <v>725</v>
      </c>
      <c r="G83" s="12">
        <v>88</v>
      </c>
      <c r="H83" s="12">
        <v>428</v>
      </c>
      <c r="I83" s="12">
        <v>14500</v>
      </c>
      <c r="J83" s="12">
        <v>13637</v>
      </c>
      <c r="K83" s="12">
        <v>200</v>
      </c>
      <c r="L83" s="4" t="s">
        <v>216</v>
      </c>
      <c r="M83" s="5" t="s">
        <v>31</v>
      </c>
      <c r="N83" s="31">
        <f t="shared" si="1"/>
        <v>1241</v>
      </c>
      <c r="O83" s="32">
        <f>IFERROR((Table1[[#This Row],[Likes]]+Table1[[#This Row],[Shares]]+Table1[[#This Row],[Comments]])/Table1[[#This Row],[Impressions]], 0)</f>
        <v>8.558620689655172E-2</v>
      </c>
      <c r="P83" s="30" t="str" cm="1">
        <f t="array" ref="P83">IFERROR(INDEX('Campaign Metadata (2)'!$A$2:$A$10, MATCH(1, (C83&gt;='Campaign Metadata (2)'!$B$2:$B$10) * (C83&lt;='Campaign Metadata (2)'!$C$2:$C$10), 0)), "No Campaign")</f>
        <v>No Campaign</v>
      </c>
      <c r="Q83" s="33" t="e">
        <f>VLOOKUP(Table1[[#This Row],[Campaign_Name2]],Table3[#All],2,)</f>
        <v>#N/A</v>
      </c>
      <c r="R83" s="33" t="e">
        <f>VLOOKUP(Table1[[#This Row],[Campaign_Name2]],Table3[#All],3,FALSE)</f>
        <v>#N/A</v>
      </c>
      <c r="S83" s="30" t="e">
        <f>VLOOKUP(Table1[[#This Row],[Campaign_Name2]],Table3[],5,FALSE)</f>
        <v>#N/A</v>
      </c>
      <c r="T83" s="30">
        <f>IF(Table1[[#This Row],[Campaign_Name2]]="No Campaign", 0, Table1[[#This Row],[Budget]]/COUNTIF(Table1[Campaign_Name2],Table1[[#This Row],[Campaign_Name2]]))</f>
        <v>0</v>
      </c>
    </row>
    <row r="84" spans="1:20" ht="14.25" customHeight="1" x14ac:dyDescent="0.3">
      <c r="A84" s="3" t="s">
        <v>217</v>
      </c>
      <c r="B84" s="3" t="s">
        <v>27</v>
      </c>
      <c r="C84" s="11">
        <v>45580</v>
      </c>
      <c r="D84" s="3" t="s">
        <v>74</v>
      </c>
      <c r="E84" s="3" t="s">
        <v>219</v>
      </c>
      <c r="F84" s="12">
        <v>1094</v>
      </c>
      <c r="G84" s="12">
        <v>472</v>
      </c>
      <c r="H84" s="12">
        <v>21</v>
      </c>
      <c r="I84" s="12">
        <v>9846</v>
      </c>
      <c r="J84" s="12">
        <v>9609</v>
      </c>
      <c r="K84" s="12">
        <v>112</v>
      </c>
      <c r="L84" s="4" t="s">
        <v>37</v>
      </c>
      <c r="M84" s="5"/>
      <c r="N84" s="31">
        <f t="shared" si="1"/>
        <v>1587</v>
      </c>
      <c r="O84" s="32">
        <f>IFERROR((Table1[[#This Row],[Likes]]+Table1[[#This Row],[Shares]]+Table1[[#This Row],[Comments]])/Table1[[#This Row],[Impressions]], 0)</f>
        <v>0.16118220597196831</v>
      </c>
      <c r="P84" s="30" t="str" cm="1">
        <f t="array" ref="P84">IFERROR(INDEX('Campaign Metadata (2)'!$A$2:$A$10, MATCH(1, (C84&gt;='Campaign Metadata (2)'!$B$2:$B$10) * (C84&lt;='Campaign Metadata (2)'!$C$2:$C$10), 0)), "No Campaign")</f>
        <v>FestiveRadiance</v>
      </c>
      <c r="Q84" s="33">
        <f>VLOOKUP(Table1[[#This Row],[Campaign_Name2]],Table3[#All],2,)</f>
        <v>45566</v>
      </c>
      <c r="R84" s="33">
        <f>VLOOKUP(Table1[[#This Row],[Campaign_Name2]],Table3[#All],3,FALSE)</f>
        <v>45596</v>
      </c>
      <c r="S84" s="30">
        <f>VLOOKUP(Table1[[#This Row],[Campaign_Name2]],Table3[],5,FALSE)</f>
        <v>200000</v>
      </c>
      <c r="T84" s="30">
        <f>IF(Table1[[#This Row],[Campaign_Name2]]="No Campaign", 0, Table1[[#This Row],[Budget]]/COUNTIF(Table1[Campaign_Name2],Table1[[#This Row],[Campaign_Name2]]))</f>
        <v>5714.2857142857147</v>
      </c>
    </row>
    <row r="85" spans="1:20" ht="14.25" customHeight="1" x14ac:dyDescent="0.3">
      <c r="A85" s="3" t="s">
        <v>220</v>
      </c>
      <c r="B85" s="3" t="s">
        <v>43</v>
      </c>
      <c r="C85" s="11">
        <v>45635</v>
      </c>
      <c r="D85" s="3" t="s">
        <v>52</v>
      </c>
      <c r="E85" s="3" t="s">
        <v>59</v>
      </c>
      <c r="F85" s="12">
        <v>1841</v>
      </c>
      <c r="G85" s="12">
        <v>851</v>
      </c>
      <c r="H85" s="12">
        <v>342</v>
      </c>
      <c r="I85" s="12">
        <v>34979</v>
      </c>
      <c r="J85" s="12">
        <v>34154</v>
      </c>
      <c r="K85" s="12">
        <v>255</v>
      </c>
      <c r="L85" s="4" t="s">
        <v>62</v>
      </c>
      <c r="M85" s="5" t="s">
        <v>38</v>
      </c>
      <c r="N85" s="31">
        <f t="shared" si="1"/>
        <v>3034</v>
      </c>
      <c r="O85" s="32">
        <f>IFERROR((Table1[[#This Row],[Likes]]+Table1[[#This Row],[Shares]]+Table1[[#This Row],[Comments]])/Table1[[#This Row],[Impressions]], 0)</f>
        <v>8.6737756939878216E-2</v>
      </c>
      <c r="P85" s="30" t="str" cm="1">
        <f t="array" ref="P85">IFERROR(INDEX('Campaign Metadata (2)'!$A$2:$A$10, MATCH(1, (C85&gt;='Campaign Metadata (2)'!$B$2:$B$10) * (C85&lt;='Campaign Metadata (2)'!$C$2:$C$10), 0)), "No Campaign")</f>
        <v>No Campaign</v>
      </c>
      <c r="Q85" s="33" t="e">
        <f>VLOOKUP(Table1[[#This Row],[Campaign_Name2]],Table3[#All],2,)</f>
        <v>#N/A</v>
      </c>
      <c r="R85" s="33" t="e">
        <f>VLOOKUP(Table1[[#This Row],[Campaign_Name2]],Table3[#All],3,FALSE)</f>
        <v>#N/A</v>
      </c>
      <c r="S85" s="30" t="e">
        <f>VLOOKUP(Table1[[#This Row],[Campaign_Name2]],Table3[],5,FALSE)</f>
        <v>#N/A</v>
      </c>
      <c r="T85" s="30">
        <f>IF(Table1[[#This Row],[Campaign_Name2]]="No Campaign", 0, Table1[[#This Row],[Budget]]/COUNTIF(Table1[Campaign_Name2],Table1[[#This Row],[Campaign_Name2]]))</f>
        <v>0</v>
      </c>
    </row>
    <row r="86" spans="1:20" ht="14.25" customHeight="1" x14ac:dyDescent="0.3">
      <c r="A86" s="3" t="s">
        <v>222</v>
      </c>
      <c r="B86" s="3" t="s">
        <v>33</v>
      </c>
      <c r="C86" s="11">
        <v>45766</v>
      </c>
      <c r="D86" s="3" t="s">
        <v>52</v>
      </c>
      <c r="E86" s="3" t="s">
        <v>215</v>
      </c>
      <c r="F86" s="12">
        <v>4177</v>
      </c>
      <c r="G86" s="12">
        <v>569</v>
      </c>
      <c r="H86" s="12">
        <v>55</v>
      </c>
      <c r="I86" s="12">
        <v>25062</v>
      </c>
      <c r="J86" s="12">
        <v>24847</v>
      </c>
      <c r="K86" s="12">
        <v>230</v>
      </c>
      <c r="L86" s="4" t="s">
        <v>62</v>
      </c>
      <c r="M86" s="5" t="s">
        <v>19</v>
      </c>
      <c r="N86" s="31">
        <f t="shared" si="1"/>
        <v>4801</v>
      </c>
      <c r="O86" s="32">
        <f>IFERROR((Table1[[#This Row],[Likes]]+Table1[[#This Row],[Shares]]+Table1[[#This Row],[Comments]])/Table1[[#This Row],[Impressions]], 0)</f>
        <v>0.19156491900087783</v>
      </c>
      <c r="P86" s="30" t="str" cm="1">
        <f t="array" ref="P86">IFERROR(INDEX('Campaign Metadata (2)'!$A$2:$A$10, MATCH(1, (C86&gt;='Campaign Metadata (2)'!$B$2:$B$10) * (C86&lt;='Campaign Metadata (2)'!$C$2:$C$10), 0)), "No Campaign")</f>
        <v>No Campaign</v>
      </c>
      <c r="Q86" s="33" t="e">
        <f>VLOOKUP(Table1[[#This Row],[Campaign_Name2]],Table3[#All],2,)</f>
        <v>#N/A</v>
      </c>
      <c r="R86" s="33" t="e">
        <f>VLOOKUP(Table1[[#This Row],[Campaign_Name2]],Table3[#All],3,FALSE)</f>
        <v>#N/A</v>
      </c>
      <c r="S86" s="30" t="e">
        <f>VLOOKUP(Table1[[#This Row],[Campaign_Name2]],Table3[],5,FALSE)</f>
        <v>#N/A</v>
      </c>
      <c r="T86" s="30">
        <f>IF(Table1[[#This Row],[Campaign_Name2]]="No Campaign", 0, Table1[[#This Row],[Budget]]/COUNTIF(Table1[Campaign_Name2],Table1[[#This Row],[Campaign_Name2]]))</f>
        <v>0</v>
      </c>
    </row>
    <row r="87" spans="1:20" ht="14.25" customHeight="1" x14ac:dyDescent="0.3">
      <c r="A87" s="3" t="s">
        <v>223</v>
      </c>
      <c r="B87" s="3" t="s">
        <v>27</v>
      </c>
      <c r="C87" s="11">
        <v>45684</v>
      </c>
      <c r="D87" s="3" t="s">
        <v>22</v>
      </c>
      <c r="E87" s="3" t="s">
        <v>104</v>
      </c>
      <c r="F87" s="12">
        <v>3428</v>
      </c>
      <c r="G87" s="12">
        <v>305</v>
      </c>
      <c r="H87" s="12">
        <v>85</v>
      </c>
      <c r="I87" s="12">
        <v>58276</v>
      </c>
      <c r="J87" s="12">
        <v>58052</v>
      </c>
      <c r="K87" s="12">
        <v>242</v>
      </c>
      <c r="L87" s="4" t="s">
        <v>160</v>
      </c>
      <c r="M87" s="5" t="s">
        <v>38</v>
      </c>
      <c r="N87" s="31">
        <f t="shared" si="1"/>
        <v>3818</v>
      </c>
      <c r="O87" s="32">
        <f>IFERROR((Table1[[#This Row],[Likes]]+Table1[[#This Row],[Shares]]+Table1[[#This Row],[Comments]])/Table1[[#This Row],[Impressions]], 0)</f>
        <v>6.5515821264328367E-2</v>
      </c>
      <c r="P87" s="30" t="str" cm="1">
        <f t="array" ref="P87">IFERROR(INDEX('Campaign Metadata (2)'!$A$2:$A$10, MATCH(1, (C87&gt;='Campaign Metadata (2)'!$B$2:$B$10) * (C87&lt;='Campaign Metadata (2)'!$C$2:$C$10), 0)), "No Campaign")</f>
        <v>No Campaign</v>
      </c>
      <c r="Q87" s="33" t="e">
        <f>VLOOKUP(Table1[[#This Row],[Campaign_Name2]],Table3[#All],2,)</f>
        <v>#N/A</v>
      </c>
      <c r="R87" s="33" t="e">
        <f>VLOOKUP(Table1[[#This Row],[Campaign_Name2]],Table3[#All],3,FALSE)</f>
        <v>#N/A</v>
      </c>
      <c r="S87" s="30" t="e">
        <f>VLOOKUP(Table1[[#This Row],[Campaign_Name2]],Table3[],5,FALSE)</f>
        <v>#N/A</v>
      </c>
      <c r="T87" s="30">
        <f>IF(Table1[[#This Row],[Campaign_Name2]]="No Campaign", 0, Table1[[#This Row],[Budget]]/COUNTIF(Table1[Campaign_Name2],Table1[[#This Row],[Campaign_Name2]]))</f>
        <v>0</v>
      </c>
    </row>
    <row r="88" spans="1:20" ht="14.25" customHeight="1" x14ac:dyDescent="0.3">
      <c r="A88" s="3" t="s">
        <v>225</v>
      </c>
      <c r="B88" s="3" t="s">
        <v>14</v>
      </c>
      <c r="C88" s="11">
        <v>45449</v>
      </c>
      <c r="D88" s="3" t="s">
        <v>74</v>
      </c>
      <c r="E88" s="3" t="s">
        <v>145</v>
      </c>
      <c r="F88" s="12">
        <v>1436</v>
      </c>
      <c r="G88" s="12">
        <v>765</v>
      </c>
      <c r="H88" s="12">
        <v>496</v>
      </c>
      <c r="I88" s="12">
        <v>12924</v>
      </c>
      <c r="J88" s="12">
        <v>12701</v>
      </c>
      <c r="K88" s="12">
        <v>197</v>
      </c>
      <c r="L88" s="4" t="s">
        <v>62</v>
      </c>
      <c r="M88" s="5" t="s">
        <v>31</v>
      </c>
      <c r="N88" s="31">
        <f t="shared" si="1"/>
        <v>2697</v>
      </c>
      <c r="O88" s="32">
        <f>IFERROR((Table1[[#This Row],[Likes]]+Table1[[#This Row],[Shares]]+Table1[[#This Row],[Comments]])/Table1[[#This Row],[Impressions]], 0)</f>
        <v>0.20868152274837512</v>
      </c>
      <c r="P88" s="30" t="str" cm="1">
        <f t="array" ref="P88">IFERROR(INDEX('Campaign Metadata (2)'!$A$2:$A$10, MATCH(1, (C88&gt;='Campaign Metadata (2)'!$B$2:$B$10) * (C88&lt;='Campaign Metadata (2)'!$C$2:$C$10), 0)), "No Campaign")</f>
        <v>No Campaign</v>
      </c>
      <c r="Q88" s="33" t="e">
        <f>VLOOKUP(Table1[[#This Row],[Campaign_Name2]],Table3[#All],2,)</f>
        <v>#N/A</v>
      </c>
      <c r="R88" s="33" t="e">
        <f>VLOOKUP(Table1[[#This Row],[Campaign_Name2]],Table3[#All],3,FALSE)</f>
        <v>#N/A</v>
      </c>
      <c r="S88" s="30" t="e">
        <f>VLOOKUP(Table1[[#This Row],[Campaign_Name2]],Table3[],5,FALSE)</f>
        <v>#N/A</v>
      </c>
      <c r="T88" s="30">
        <f>IF(Table1[[#This Row],[Campaign_Name2]]="No Campaign", 0, Table1[[#This Row],[Budget]]/COUNTIF(Table1[Campaign_Name2],Table1[[#This Row],[Campaign_Name2]]))</f>
        <v>0</v>
      </c>
    </row>
    <row r="89" spans="1:20" ht="14.25" customHeight="1" x14ac:dyDescent="0.3">
      <c r="A89" s="3" t="s">
        <v>227</v>
      </c>
      <c r="B89" s="3" t="s">
        <v>43</v>
      </c>
      <c r="C89" s="11">
        <v>45480</v>
      </c>
      <c r="D89" s="3" t="s">
        <v>35</v>
      </c>
      <c r="E89" s="3" t="s">
        <v>71</v>
      </c>
      <c r="F89" s="12">
        <v>302</v>
      </c>
      <c r="G89" s="12">
        <v>47</v>
      </c>
      <c r="H89" s="12">
        <v>430</v>
      </c>
      <c r="I89" s="12">
        <v>5738</v>
      </c>
      <c r="J89" s="12">
        <v>4890</v>
      </c>
      <c r="K89" s="12">
        <v>25</v>
      </c>
      <c r="L89" s="4" t="s">
        <v>30</v>
      </c>
      <c r="M89" s="5" t="s">
        <v>38</v>
      </c>
      <c r="N89" s="31">
        <f t="shared" si="1"/>
        <v>779</v>
      </c>
      <c r="O89" s="32">
        <f>IFERROR((Table1[[#This Row],[Likes]]+Table1[[#This Row],[Shares]]+Table1[[#This Row],[Comments]])/Table1[[#This Row],[Impressions]], 0)</f>
        <v>0.13576158940397351</v>
      </c>
      <c r="P89" s="30" t="str" cm="1">
        <f t="array" ref="P89">IFERROR(INDEX('Campaign Metadata (2)'!$A$2:$A$10, MATCH(1, (C89&gt;='Campaign Metadata (2)'!$B$2:$B$10) * (C89&lt;='Campaign Metadata (2)'!$C$2:$C$10), 0)), "No Campaign")</f>
        <v>SummerSplash</v>
      </c>
      <c r="Q89" s="33">
        <f>VLOOKUP(Table1[[#This Row],[Campaign_Name2]],Table3[#All],2,)</f>
        <v>45458</v>
      </c>
      <c r="R89" s="33">
        <f>VLOOKUP(Table1[[#This Row],[Campaign_Name2]],Table3[#All],3,FALSE)</f>
        <v>45488</v>
      </c>
      <c r="S89" s="30">
        <f>VLOOKUP(Table1[[#This Row],[Campaign_Name2]],Table3[],5,FALSE)</f>
        <v>150000</v>
      </c>
      <c r="T89" s="30">
        <f>IF(Table1[[#This Row],[Campaign_Name2]]="No Campaign", 0, Table1[[#This Row],[Budget]]/COUNTIF(Table1[Campaign_Name2],Table1[[#This Row],[Campaign_Name2]]))</f>
        <v>5555.5555555555557</v>
      </c>
    </row>
    <row r="90" spans="1:20" ht="14.25" customHeight="1" x14ac:dyDescent="0.3">
      <c r="A90" s="3" t="s">
        <v>229</v>
      </c>
      <c r="B90" s="3" t="s">
        <v>14</v>
      </c>
      <c r="C90" s="11">
        <v>45667</v>
      </c>
      <c r="D90" s="3" t="s">
        <v>52</v>
      </c>
      <c r="E90" s="3" t="s">
        <v>132</v>
      </c>
      <c r="F90" s="12">
        <v>2214</v>
      </c>
      <c r="G90" s="12">
        <v>249</v>
      </c>
      <c r="H90" s="12">
        <v>152</v>
      </c>
      <c r="I90" s="12">
        <v>15498</v>
      </c>
      <c r="J90" s="12">
        <v>14800</v>
      </c>
      <c r="K90" s="12">
        <v>180</v>
      </c>
      <c r="L90" s="4" t="s">
        <v>37</v>
      </c>
      <c r="M90" s="5"/>
      <c r="N90" s="31">
        <f t="shared" si="1"/>
        <v>2615</v>
      </c>
      <c r="O90" s="32">
        <f>IFERROR((Table1[[#This Row],[Likes]]+Table1[[#This Row],[Shares]]+Table1[[#This Row],[Comments]])/Table1[[#This Row],[Impressions]], 0)</f>
        <v>0.16873144921925409</v>
      </c>
      <c r="P90" s="30" t="str" cm="1">
        <f t="array" ref="P90">IFERROR(INDEX('Campaign Metadata (2)'!$A$2:$A$10, MATCH(1, (C90&gt;='Campaign Metadata (2)'!$B$2:$B$10) * (C90&lt;='Campaign Metadata (2)'!$C$2:$C$10), 0)), "No Campaign")</f>
        <v>NewYearRefresh</v>
      </c>
      <c r="Q90" s="33">
        <f>VLOOKUP(Table1[[#This Row],[Campaign_Name2]],Table3[#All],2,)</f>
        <v>45651</v>
      </c>
      <c r="R90" s="33">
        <f>VLOOKUP(Table1[[#This Row],[Campaign_Name2]],Table3[#All],3,FALSE)</f>
        <v>45667</v>
      </c>
      <c r="S90" s="30">
        <f>VLOOKUP(Table1[[#This Row],[Campaign_Name2]],Table3[],5,FALSE)</f>
        <v>250000</v>
      </c>
      <c r="T90" s="30">
        <f>IF(Table1[[#This Row],[Campaign_Name2]]="No Campaign", 0, Table1[[#This Row],[Budget]]/COUNTIF(Table1[Campaign_Name2],Table1[[#This Row],[Campaign_Name2]]))</f>
        <v>25000</v>
      </c>
    </row>
    <row r="91" spans="1:20" ht="14.25" customHeight="1" x14ac:dyDescent="0.3">
      <c r="A91" s="3" t="s">
        <v>231</v>
      </c>
      <c r="B91" s="3" t="s">
        <v>33</v>
      </c>
      <c r="C91" s="11">
        <v>45446</v>
      </c>
      <c r="D91" s="3" t="s">
        <v>52</v>
      </c>
      <c r="E91" s="3" t="s">
        <v>215</v>
      </c>
      <c r="F91" s="12">
        <v>3861</v>
      </c>
      <c r="G91" s="12">
        <v>960</v>
      </c>
      <c r="H91" s="12">
        <v>101</v>
      </c>
      <c r="I91" s="12">
        <v>69498</v>
      </c>
      <c r="J91" s="12">
        <v>68817</v>
      </c>
      <c r="K91" s="12">
        <v>297</v>
      </c>
      <c r="L91" s="4" t="s">
        <v>30</v>
      </c>
      <c r="M91" s="5" t="s">
        <v>38</v>
      </c>
      <c r="N91" s="31">
        <f t="shared" si="1"/>
        <v>4922</v>
      </c>
      <c r="O91" s="32">
        <f>IFERROR((Table1[[#This Row],[Likes]]+Table1[[#This Row],[Shares]]+Table1[[#This Row],[Comments]])/Table1[[#This Row],[Impressions]], 0)</f>
        <v>7.0822181933293038E-2</v>
      </c>
      <c r="P91" s="30" t="str" cm="1">
        <f t="array" ref="P91">IFERROR(INDEX('Campaign Metadata (2)'!$A$2:$A$10, MATCH(1, (C91&gt;='Campaign Metadata (2)'!$B$2:$B$10) * (C91&lt;='Campaign Metadata (2)'!$C$2:$C$10), 0)), "No Campaign")</f>
        <v>No Campaign</v>
      </c>
      <c r="Q91" s="33" t="e">
        <f>VLOOKUP(Table1[[#This Row],[Campaign_Name2]],Table3[#All],2,)</f>
        <v>#N/A</v>
      </c>
      <c r="R91" s="33" t="e">
        <f>VLOOKUP(Table1[[#This Row],[Campaign_Name2]],Table3[#All],3,FALSE)</f>
        <v>#N/A</v>
      </c>
      <c r="S91" s="30" t="e">
        <f>VLOOKUP(Table1[[#This Row],[Campaign_Name2]],Table3[],5,FALSE)</f>
        <v>#N/A</v>
      </c>
      <c r="T91" s="30">
        <f>IF(Table1[[#This Row],[Campaign_Name2]]="No Campaign", 0, Table1[[#This Row],[Budget]]/COUNTIF(Table1[Campaign_Name2],Table1[[#This Row],[Campaign_Name2]]))</f>
        <v>0</v>
      </c>
    </row>
    <row r="92" spans="1:20" ht="14.25" customHeight="1" x14ac:dyDescent="0.3">
      <c r="A92" s="3" t="s">
        <v>233</v>
      </c>
      <c r="B92" s="3" t="s">
        <v>43</v>
      </c>
      <c r="C92" s="11">
        <v>45740</v>
      </c>
      <c r="D92" s="3" t="s">
        <v>52</v>
      </c>
      <c r="E92" s="3" t="s">
        <v>59</v>
      </c>
      <c r="F92" s="12">
        <v>1263</v>
      </c>
      <c r="G92" s="12">
        <v>397</v>
      </c>
      <c r="H92" s="12">
        <v>357</v>
      </c>
      <c r="I92" s="12">
        <v>25260</v>
      </c>
      <c r="J92" s="12">
        <v>24615</v>
      </c>
      <c r="K92" s="12">
        <v>137</v>
      </c>
      <c r="L92" s="4" t="s">
        <v>37</v>
      </c>
      <c r="M92" s="5" t="s">
        <v>38</v>
      </c>
      <c r="N92" s="31">
        <f t="shared" si="1"/>
        <v>2017</v>
      </c>
      <c r="O92" s="32">
        <f>IFERROR((Table1[[#This Row],[Likes]]+Table1[[#This Row],[Shares]]+Table1[[#This Row],[Comments]])/Table1[[#This Row],[Impressions]], 0)</f>
        <v>7.984956452889945E-2</v>
      </c>
      <c r="P92" s="30" t="str" cm="1">
        <f t="array" ref="P92">IFERROR(INDEX('Campaign Metadata (2)'!$A$2:$A$10, MATCH(1, (C92&gt;='Campaign Metadata (2)'!$B$2:$B$10) * (C92&lt;='Campaign Metadata (2)'!$C$2:$C$10), 0)), "No Campaign")</f>
        <v>DailyWellness</v>
      </c>
      <c r="Q92" s="33">
        <f>VLOOKUP(Table1[[#This Row],[Campaign_Name2]],Table3[#All],2,)</f>
        <v>45717</v>
      </c>
      <c r="R92" s="33">
        <f>VLOOKUP(Table1[[#This Row],[Campaign_Name2]],Table3[#All],3,FALSE)</f>
        <v>45747</v>
      </c>
      <c r="S92" s="30">
        <f>VLOOKUP(Table1[[#This Row],[Campaign_Name2]],Table3[],5,FALSE)</f>
        <v>180000</v>
      </c>
      <c r="T92" s="30">
        <f>IF(Table1[[#This Row],[Campaign_Name2]]="No Campaign", 0, Table1[[#This Row],[Budget]]/COUNTIF(Table1[Campaign_Name2],Table1[[#This Row],[Campaign_Name2]]))</f>
        <v>5625</v>
      </c>
    </row>
    <row r="93" spans="1:20" ht="14.25" customHeight="1" x14ac:dyDescent="0.3">
      <c r="A93" s="3" t="s">
        <v>235</v>
      </c>
      <c r="B93" s="3" t="s">
        <v>14</v>
      </c>
      <c r="C93" s="11">
        <v>45586</v>
      </c>
      <c r="D93" s="3" t="s">
        <v>35</v>
      </c>
      <c r="E93" s="3" t="s">
        <v>149</v>
      </c>
      <c r="F93" s="12">
        <v>3801</v>
      </c>
      <c r="G93" s="12">
        <v>967</v>
      </c>
      <c r="H93" s="12">
        <v>401</v>
      </c>
      <c r="I93" s="12">
        <v>38010</v>
      </c>
      <c r="J93" s="12">
        <v>37625</v>
      </c>
      <c r="K93" s="12">
        <v>236</v>
      </c>
      <c r="L93" s="4" t="s">
        <v>62</v>
      </c>
      <c r="M93" s="5" t="s">
        <v>31</v>
      </c>
      <c r="N93" s="31">
        <f t="shared" si="1"/>
        <v>5169</v>
      </c>
      <c r="O93" s="32">
        <f>IFERROR((Table1[[#This Row],[Likes]]+Table1[[#This Row],[Shares]]+Table1[[#This Row],[Comments]])/Table1[[#This Row],[Impressions]], 0)</f>
        <v>0.13599052880820836</v>
      </c>
      <c r="P93" s="30" t="str" cm="1">
        <f t="array" ref="P93">IFERROR(INDEX('Campaign Metadata (2)'!$A$2:$A$10, MATCH(1, (C93&gt;='Campaign Metadata (2)'!$B$2:$B$10) * (C93&lt;='Campaign Metadata (2)'!$C$2:$C$10), 0)), "No Campaign")</f>
        <v>FestiveRadiance</v>
      </c>
      <c r="Q93" s="33">
        <f>VLOOKUP(Table1[[#This Row],[Campaign_Name2]],Table3[#All],2,)</f>
        <v>45566</v>
      </c>
      <c r="R93" s="33">
        <f>VLOOKUP(Table1[[#This Row],[Campaign_Name2]],Table3[#All],3,FALSE)</f>
        <v>45596</v>
      </c>
      <c r="S93" s="30">
        <f>VLOOKUP(Table1[[#This Row],[Campaign_Name2]],Table3[],5,FALSE)</f>
        <v>200000</v>
      </c>
      <c r="T93" s="30">
        <f>IF(Table1[[#This Row],[Campaign_Name2]]="No Campaign", 0, Table1[[#This Row],[Budget]]/COUNTIF(Table1[Campaign_Name2],Table1[[#This Row],[Campaign_Name2]]))</f>
        <v>5714.2857142857147</v>
      </c>
    </row>
    <row r="94" spans="1:20" ht="14.25" customHeight="1" x14ac:dyDescent="0.3">
      <c r="A94" s="3" t="s">
        <v>236</v>
      </c>
      <c r="B94" s="3" t="s">
        <v>33</v>
      </c>
      <c r="C94" s="11">
        <v>45637</v>
      </c>
      <c r="D94" s="3" t="s">
        <v>74</v>
      </c>
      <c r="E94" s="3" t="s">
        <v>85</v>
      </c>
      <c r="F94" s="12">
        <v>1431</v>
      </c>
      <c r="G94" s="12">
        <v>951</v>
      </c>
      <c r="H94" s="12">
        <v>26</v>
      </c>
      <c r="I94" s="12">
        <v>8586</v>
      </c>
      <c r="J94" s="12">
        <v>8396</v>
      </c>
      <c r="K94" s="12">
        <v>150</v>
      </c>
      <c r="L94" s="4" t="s">
        <v>37</v>
      </c>
      <c r="M94" s="5" t="s">
        <v>31</v>
      </c>
      <c r="N94" s="31">
        <f t="shared" si="1"/>
        <v>2408</v>
      </c>
      <c r="O94" s="32">
        <f>IFERROR((Table1[[#This Row],[Likes]]+Table1[[#This Row],[Shares]]+Table1[[#This Row],[Comments]])/Table1[[#This Row],[Impressions]], 0)</f>
        <v>0.28045655718611695</v>
      </c>
      <c r="P94" s="30" t="str" cm="1">
        <f t="array" ref="P94">IFERROR(INDEX('Campaign Metadata (2)'!$A$2:$A$10, MATCH(1, (C94&gt;='Campaign Metadata (2)'!$B$2:$B$10) * (C94&lt;='Campaign Metadata (2)'!$C$2:$C$10), 0)), "No Campaign")</f>
        <v>No Campaign</v>
      </c>
      <c r="Q94" s="33" t="e">
        <f>VLOOKUP(Table1[[#This Row],[Campaign_Name2]],Table3[#All],2,)</f>
        <v>#N/A</v>
      </c>
      <c r="R94" s="33" t="e">
        <f>VLOOKUP(Table1[[#This Row],[Campaign_Name2]],Table3[#All],3,FALSE)</f>
        <v>#N/A</v>
      </c>
      <c r="S94" s="30" t="e">
        <f>VLOOKUP(Table1[[#This Row],[Campaign_Name2]],Table3[],5,FALSE)</f>
        <v>#N/A</v>
      </c>
      <c r="T94" s="30">
        <f>IF(Table1[[#This Row],[Campaign_Name2]]="No Campaign", 0, Table1[[#This Row],[Budget]]/COUNTIF(Table1[Campaign_Name2],Table1[[#This Row],[Campaign_Name2]]))</f>
        <v>0</v>
      </c>
    </row>
    <row r="95" spans="1:20" ht="14.25" customHeight="1" x14ac:dyDescent="0.3">
      <c r="A95" s="3" t="s">
        <v>238</v>
      </c>
      <c r="B95" s="3" t="s">
        <v>33</v>
      </c>
      <c r="C95" s="11">
        <v>45603</v>
      </c>
      <c r="D95" s="3" t="s">
        <v>52</v>
      </c>
      <c r="E95" s="3" t="s">
        <v>215</v>
      </c>
      <c r="F95" s="12">
        <v>2647</v>
      </c>
      <c r="G95" s="12">
        <v>304</v>
      </c>
      <c r="H95" s="12">
        <v>170</v>
      </c>
      <c r="I95" s="12">
        <v>18529</v>
      </c>
      <c r="J95" s="12">
        <v>17841</v>
      </c>
      <c r="K95" s="12">
        <v>46</v>
      </c>
      <c r="L95" s="4" t="s">
        <v>62</v>
      </c>
      <c r="M95" s="5" t="s">
        <v>31</v>
      </c>
      <c r="N95" s="31">
        <f t="shared" si="1"/>
        <v>3121</v>
      </c>
      <c r="O95" s="32">
        <f>IFERROR((Table1[[#This Row],[Likes]]+Table1[[#This Row],[Shares]]+Table1[[#This Row],[Comments]])/Table1[[#This Row],[Impressions]], 0)</f>
        <v>0.16843866371633656</v>
      </c>
      <c r="P95" s="30" t="str" cm="1">
        <f t="array" ref="P95">IFERROR(INDEX('Campaign Metadata (2)'!$A$2:$A$10, MATCH(1, (C95&gt;='Campaign Metadata (2)'!$B$2:$B$10) * (C95&lt;='Campaign Metadata (2)'!$C$2:$C$10), 0)), "No Campaign")</f>
        <v>No Campaign</v>
      </c>
      <c r="Q95" s="33" t="e">
        <f>VLOOKUP(Table1[[#This Row],[Campaign_Name2]],Table3[#All],2,)</f>
        <v>#N/A</v>
      </c>
      <c r="R95" s="33" t="e">
        <f>VLOOKUP(Table1[[#This Row],[Campaign_Name2]],Table3[#All],3,FALSE)</f>
        <v>#N/A</v>
      </c>
      <c r="S95" s="30" t="e">
        <f>VLOOKUP(Table1[[#This Row],[Campaign_Name2]],Table3[],5,FALSE)</f>
        <v>#N/A</v>
      </c>
      <c r="T95" s="30">
        <f>IF(Table1[[#This Row],[Campaign_Name2]]="No Campaign", 0, Table1[[#This Row],[Budget]]/COUNTIF(Table1[Campaign_Name2],Table1[[#This Row],[Campaign_Name2]]))</f>
        <v>0</v>
      </c>
    </row>
    <row r="96" spans="1:20" ht="14.25" customHeight="1" x14ac:dyDescent="0.3">
      <c r="A96" s="3" t="s">
        <v>239</v>
      </c>
      <c r="B96" s="3" t="s">
        <v>33</v>
      </c>
      <c r="C96" s="11">
        <v>45604</v>
      </c>
      <c r="D96" s="3" t="s">
        <v>22</v>
      </c>
      <c r="E96" s="3" t="s">
        <v>113</v>
      </c>
      <c r="F96" s="12">
        <v>3182</v>
      </c>
      <c r="G96" s="12">
        <v>559</v>
      </c>
      <c r="H96" s="12">
        <v>160</v>
      </c>
      <c r="I96" s="12">
        <v>57276</v>
      </c>
      <c r="J96" s="12">
        <v>56890</v>
      </c>
      <c r="K96" s="12">
        <v>163</v>
      </c>
      <c r="L96" s="4" t="s">
        <v>62</v>
      </c>
      <c r="M96" s="5" t="s">
        <v>38</v>
      </c>
      <c r="N96" s="31">
        <f t="shared" si="1"/>
        <v>3901</v>
      </c>
      <c r="O96" s="32">
        <f>IFERROR((Table1[[#This Row],[Likes]]+Table1[[#This Row],[Shares]]+Table1[[#This Row],[Comments]])/Table1[[#This Row],[Impressions]], 0)</f>
        <v>6.8108806480899509E-2</v>
      </c>
      <c r="P96" s="30" t="str" cm="1">
        <f t="array" ref="P96">IFERROR(INDEX('Campaign Metadata (2)'!$A$2:$A$10, MATCH(1, (C96&gt;='Campaign Metadata (2)'!$B$2:$B$10) * (C96&lt;='Campaign Metadata (2)'!$C$2:$C$10), 0)), "No Campaign")</f>
        <v>No Campaign</v>
      </c>
      <c r="Q96" s="33" t="e">
        <f>VLOOKUP(Table1[[#This Row],[Campaign_Name2]],Table3[#All],2,)</f>
        <v>#N/A</v>
      </c>
      <c r="R96" s="33" t="e">
        <f>VLOOKUP(Table1[[#This Row],[Campaign_Name2]],Table3[#All],3,FALSE)</f>
        <v>#N/A</v>
      </c>
      <c r="S96" s="30" t="e">
        <f>VLOOKUP(Table1[[#This Row],[Campaign_Name2]],Table3[],5,FALSE)</f>
        <v>#N/A</v>
      </c>
      <c r="T96" s="30">
        <f>IF(Table1[[#This Row],[Campaign_Name2]]="No Campaign", 0, Table1[[#This Row],[Budget]]/COUNTIF(Table1[Campaign_Name2],Table1[[#This Row],[Campaign_Name2]]))</f>
        <v>0</v>
      </c>
    </row>
    <row r="97" spans="1:20" ht="14.25" customHeight="1" x14ac:dyDescent="0.3">
      <c r="A97" s="3" t="s">
        <v>241</v>
      </c>
      <c r="B97" s="3" t="s">
        <v>14</v>
      </c>
      <c r="C97" s="11">
        <v>45545</v>
      </c>
      <c r="D97" s="3" t="s">
        <v>52</v>
      </c>
      <c r="E97" s="3" t="s">
        <v>132</v>
      </c>
      <c r="F97" s="12">
        <v>1238</v>
      </c>
      <c r="G97" s="12">
        <v>366</v>
      </c>
      <c r="H97" s="12">
        <v>444</v>
      </c>
      <c r="I97" s="12">
        <v>19808</v>
      </c>
      <c r="J97" s="12">
        <v>19334</v>
      </c>
      <c r="K97" s="12">
        <v>123</v>
      </c>
      <c r="L97" s="4" t="s">
        <v>62</v>
      </c>
      <c r="M97" s="5"/>
      <c r="N97" s="31">
        <f t="shared" si="1"/>
        <v>2048</v>
      </c>
      <c r="O97" s="32">
        <f>IFERROR((Table1[[#This Row],[Likes]]+Table1[[#This Row],[Shares]]+Table1[[#This Row],[Comments]])/Table1[[#This Row],[Impressions]], 0)</f>
        <v>0.10339256865912763</v>
      </c>
      <c r="P97" s="30" t="str" cm="1">
        <f t="array" ref="P97">IFERROR(INDEX('Campaign Metadata (2)'!$A$2:$A$10, MATCH(1, (C97&gt;='Campaign Metadata (2)'!$B$2:$B$10) * (C97&lt;='Campaign Metadata (2)'!$C$2:$C$10), 0)), "No Campaign")</f>
        <v>No Campaign</v>
      </c>
      <c r="Q97" s="33" t="e">
        <f>VLOOKUP(Table1[[#This Row],[Campaign_Name2]],Table3[#All],2,)</f>
        <v>#N/A</v>
      </c>
      <c r="R97" s="33" t="e">
        <f>VLOOKUP(Table1[[#This Row],[Campaign_Name2]],Table3[#All],3,FALSE)</f>
        <v>#N/A</v>
      </c>
      <c r="S97" s="30" t="e">
        <f>VLOOKUP(Table1[[#This Row],[Campaign_Name2]],Table3[],5,FALSE)</f>
        <v>#N/A</v>
      </c>
      <c r="T97" s="30">
        <f>IF(Table1[[#This Row],[Campaign_Name2]]="No Campaign", 0, Table1[[#This Row],[Budget]]/COUNTIF(Table1[Campaign_Name2],Table1[[#This Row],[Campaign_Name2]]))</f>
        <v>0</v>
      </c>
    </row>
    <row r="98" spans="1:20" ht="14.25" customHeight="1" x14ac:dyDescent="0.3">
      <c r="A98" s="3" t="s">
        <v>243</v>
      </c>
      <c r="B98" s="3" t="s">
        <v>33</v>
      </c>
      <c r="C98" s="11">
        <v>45517</v>
      </c>
      <c r="D98" s="3" t="s">
        <v>52</v>
      </c>
      <c r="E98" s="3" t="s">
        <v>215</v>
      </c>
      <c r="F98" s="12">
        <v>4739</v>
      </c>
      <c r="G98" s="12">
        <v>527</v>
      </c>
      <c r="H98" s="12">
        <v>135</v>
      </c>
      <c r="I98" s="12">
        <v>61607</v>
      </c>
      <c r="J98" s="12">
        <v>61333</v>
      </c>
      <c r="K98" s="12">
        <v>36</v>
      </c>
      <c r="L98" s="4" t="s">
        <v>95</v>
      </c>
      <c r="M98" s="5" t="s">
        <v>25</v>
      </c>
      <c r="N98" s="31">
        <f t="shared" si="1"/>
        <v>5401</v>
      </c>
      <c r="O98" s="32">
        <f>IFERROR((Table1[[#This Row],[Likes]]+Table1[[#This Row],[Shares]]+Table1[[#This Row],[Comments]])/Table1[[#This Row],[Impressions]], 0)</f>
        <v>8.7668609086629767E-2</v>
      </c>
      <c r="P98" s="30" t="str" cm="1">
        <f t="array" ref="P98">IFERROR(INDEX('Campaign Metadata (2)'!$A$2:$A$10, MATCH(1, (C98&gt;='Campaign Metadata (2)'!$B$2:$B$10) * (C98&lt;='Campaign Metadata (2)'!$C$2:$C$10), 0)), "No Campaign")</f>
        <v>No Campaign</v>
      </c>
      <c r="Q98" s="33" t="e">
        <f>VLOOKUP(Table1[[#This Row],[Campaign_Name2]],Table3[#All],2,)</f>
        <v>#N/A</v>
      </c>
      <c r="R98" s="33" t="e">
        <f>VLOOKUP(Table1[[#This Row],[Campaign_Name2]],Table3[#All],3,FALSE)</f>
        <v>#N/A</v>
      </c>
      <c r="S98" s="30" t="e">
        <f>VLOOKUP(Table1[[#This Row],[Campaign_Name2]],Table3[],5,FALSE)</f>
        <v>#N/A</v>
      </c>
      <c r="T98" s="30">
        <f>IF(Table1[[#This Row],[Campaign_Name2]]="No Campaign", 0, Table1[[#This Row],[Budget]]/COUNTIF(Table1[Campaign_Name2],Table1[[#This Row],[Campaign_Name2]]))</f>
        <v>0</v>
      </c>
    </row>
    <row r="99" spans="1:20" ht="14.25" customHeight="1" x14ac:dyDescent="0.3">
      <c r="A99" s="3" t="s">
        <v>245</v>
      </c>
      <c r="B99" s="3" t="s">
        <v>14</v>
      </c>
      <c r="C99" s="11">
        <v>45453</v>
      </c>
      <c r="D99" s="3" t="s">
        <v>35</v>
      </c>
      <c r="E99" s="3" t="s">
        <v>149</v>
      </c>
      <c r="F99" s="12">
        <v>1575</v>
      </c>
      <c r="G99" s="12">
        <v>771</v>
      </c>
      <c r="H99" s="12">
        <v>486</v>
      </c>
      <c r="I99" s="12">
        <v>25200</v>
      </c>
      <c r="J99" s="12">
        <v>24826</v>
      </c>
      <c r="K99" s="12">
        <v>17</v>
      </c>
      <c r="L99" s="4" t="s">
        <v>62</v>
      </c>
      <c r="M99" s="5" t="s">
        <v>38</v>
      </c>
      <c r="N99" s="31">
        <f t="shared" si="1"/>
        <v>2832</v>
      </c>
      <c r="O99" s="32">
        <f>IFERROR((Table1[[#This Row],[Likes]]+Table1[[#This Row],[Shares]]+Table1[[#This Row],[Comments]])/Table1[[#This Row],[Impressions]], 0)</f>
        <v>0.11238095238095239</v>
      </c>
      <c r="P99" s="30" t="str" cm="1">
        <f t="array" ref="P99">IFERROR(INDEX('Campaign Metadata (2)'!$A$2:$A$10, MATCH(1, (C99&gt;='Campaign Metadata (2)'!$B$2:$B$10) * (C99&lt;='Campaign Metadata (2)'!$C$2:$C$10), 0)), "No Campaign")</f>
        <v>No Campaign</v>
      </c>
      <c r="Q99" s="33" t="e">
        <f>VLOOKUP(Table1[[#This Row],[Campaign_Name2]],Table3[#All],2,)</f>
        <v>#N/A</v>
      </c>
      <c r="R99" s="33" t="e">
        <f>VLOOKUP(Table1[[#This Row],[Campaign_Name2]],Table3[#All],3,FALSE)</f>
        <v>#N/A</v>
      </c>
      <c r="S99" s="30" t="e">
        <f>VLOOKUP(Table1[[#This Row],[Campaign_Name2]],Table3[],5,FALSE)</f>
        <v>#N/A</v>
      </c>
      <c r="T99" s="30">
        <f>IF(Table1[[#This Row],[Campaign_Name2]]="No Campaign", 0, Table1[[#This Row],[Budget]]/COUNTIF(Table1[Campaign_Name2],Table1[[#This Row],[Campaign_Name2]]))</f>
        <v>0</v>
      </c>
    </row>
    <row r="100" spans="1:20" ht="14.25" customHeight="1" x14ac:dyDescent="0.3">
      <c r="A100" s="3" t="s">
        <v>246</v>
      </c>
      <c r="B100" s="3" t="s">
        <v>27</v>
      </c>
      <c r="C100" s="11">
        <v>45475</v>
      </c>
      <c r="D100" s="3" t="s">
        <v>45</v>
      </c>
      <c r="E100" s="3" t="s">
        <v>68</v>
      </c>
      <c r="F100" s="12">
        <v>4171</v>
      </c>
      <c r="G100" s="12">
        <v>548</v>
      </c>
      <c r="H100" s="12">
        <v>86</v>
      </c>
      <c r="I100" s="12">
        <v>66736</v>
      </c>
      <c r="J100" s="12">
        <v>66634</v>
      </c>
      <c r="K100" s="12">
        <v>173</v>
      </c>
      <c r="L100" s="4" t="s">
        <v>62</v>
      </c>
      <c r="M100" s="5" t="s">
        <v>31</v>
      </c>
      <c r="N100" s="31">
        <f t="shared" si="1"/>
        <v>4805</v>
      </c>
      <c r="O100" s="32">
        <f>IFERROR((Table1[[#This Row],[Likes]]+Table1[[#This Row],[Shares]]+Table1[[#This Row],[Comments]])/Table1[[#This Row],[Impressions]], 0)</f>
        <v>7.2000119875329657E-2</v>
      </c>
      <c r="P100" s="30" t="str" cm="1">
        <f t="array" ref="P100">IFERROR(INDEX('Campaign Metadata (2)'!$A$2:$A$10, MATCH(1, (C100&gt;='Campaign Metadata (2)'!$B$2:$B$10) * (C100&lt;='Campaign Metadata (2)'!$C$2:$C$10), 0)), "No Campaign")</f>
        <v>SummerSplash</v>
      </c>
      <c r="Q100" s="33">
        <f>VLOOKUP(Table1[[#This Row],[Campaign_Name2]],Table3[#All],2,)</f>
        <v>45458</v>
      </c>
      <c r="R100" s="33">
        <f>VLOOKUP(Table1[[#This Row],[Campaign_Name2]],Table3[#All],3,FALSE)</f>
        <v>45488</v>
      </c>
      <c r="S100" s="30">
        <f>VLOOKUP(Table1[[#This Row],[Campaign_Name2]],Table3[],5,FALSE)</f>
        <v>150000</v>
      </c>
      <c r="T100" s="30">
        <f>IF(Table1[[#This Row],[Campaign_Name2]]="No Campaign", 0, Table1[[#This Row],[Budget]]/COUNTIF(Table1[Campaign_Name2],Table1[[#This Row],[Campaign_Name2]]))</f>
        <v>5555.5555555555557</v>
      </c>
    </row>
    <row r="101" spans="1:20" ht="14.25" customHeight="1" x14ac:dyDescent="0.3">
      <c r="A101" s="3" t="s">
        <v>248</v>
      </c>
      <c r="B101" s="3" t="s">
        <v>27</v>
      </c>
      <c r="C101" s="11">
        <v>45698</v>
      </c>
      <c r="D101" s="3" t="s">
        <v>74</v>
      </c>
      <c r="E101" s="3" t="s">
        <v>219</v>
      </c>
      <c r="F101" s="12">
        <v>1766</v>
      </c>
      <c r="G101" s="12">
        <v>92</v>
      </c>
      <c r="H101" s="12">
        <v>424</v>
      </c>
      <c r="I101" s="12">
        <v>24724</v>
      </c>
      <c r="J101" s="12">
        <v>24333</v>
      </c>
      <c r="K101" s="12">
        <v>52</v>
      </c>
      <c r="L101" s="4" t="s">
        <v>37</v>
      </c>
      <c r="M101" s="5"/>
      <c r="N101" s="31">
        <f t="shared" si="1"/>
        <v>2282</v>
      </c>
      <c r="O101" s="32">
        <f>IFERROR((Table1[[#This Row],[Likes]]+Table1[[#This Row],[Shares]]+Table1[[#This Row],[Comments]])/Table1[[#This Row],[Impressions]], 0)</f>
        <v>9.2298980747451867E-2</v>
      </c>
      <c r="P101" s="30" t="str" cm="1">
        <f t="array" ref="P101">IFERROR(INDEX('Campaign Metadata (2)'!$A$2:$A$10, MATCH(1, (C101&gt;='Campaign Metadata (2)'!$B$2:$B$10) * (C101&lt;='Campaign Metadata (2)'!$C$2:$C$10), 0)), "No Campaign")</f>
        <v>No Campaign</v>
      </c>
      <c r="Q101" s="33" t="e">
        <f>VLOOKUP(Table1[[#This Row],[Campaign_Name2]],Table3[#All],2,)</f>
        <v>#N/A</v>
      </c>
      <c r="R101" s="33" t="e">
        <f>VLOOKUP(Table1[[#This Row],[Campaign_Name2]],Table3[#All],3,FALSE)</f>
        <v>#N/A</v>
      </c>
      <c r="S101" s="30" t="e">
        <f>VLOOKUP(Table1[[#This Row],[Campaign_Name2]],Table3[],5,FALSE)</f>
        <v>#N/A</v>
      </c>
      <c r="T101" s="30">
        <f>IF(Table1[[#This Row],[Campaign_Name2]]="No Campaign", 0, Table1[[#This Row],[Budget]]/COUNTIF(Table1[Campaign_Name2],Table1[[#This Row],[Campaign_Name2]]))</f>
        <v>0</v>
      </c>
    </row>
    <row r="102" spans="1:20" ht="14.25" customHeight="1" x14ac:dyDescent="0.3">
      <c r="A102" s="3" t="s">
        <v>250</v>
      </c>
      <c r="B102" s="3" t="s">
        <v>27</v>
      </c>
      <c r="C102" s="11">
        <v>45583</v>
      </c>
      <c r="D102" s="3" t="s">
        <v>74</v>
      </c>
      <c r="E102" s="3" t="s">
        <v>219</v>
      </c>
      <c r="F102" s="12">
        <v>4450</v>
      </c>
      <c r="G102" s="12">
        <v>983</v>
      </c>
      <c r="H102" s="12">
        <v>143</v>
      </c>
      <c r="I102" s="12">
        <v>75650</v>
      </c>
      <c r="J102" s="12">
        <v>75008</v>
      </c>
      <c r="K102" s="12">
        <v>12</v>
      </c>
      <c r="L102" s="4" t="s">
        <v>62</v>
      </c>
      <c r="M102" s="5" t="s">
        <v>31</v>
      </c>
      <c r="N102" s="31">
        <f t="shared" si="1"/>
        <v>5576</v>
      </c>
      <c r="O102" s="32">
        <f>IFERROR((Table1[[#This Row],[Likes]]+Table1[[#This Row],[Shares]]+Table1[[#This Row],[Comments]])/Table1[[#This Row],[Impressions]], 0)</f>
        <v>7.3707865168539333E-2</v>
      </c>
      <c r="P102" s="30" t="str" cm="1">
        <f t="array" ref="P102">IFERROR(INDEX('Campaign Metadata (2)'!$A$2:$A$10, MATCH(1, (C102&gt;='Campaign Metadata (2)'!$B$2:$B$10) * (C102&lt;='Campaign Metadata (2)'!$C$2:$C$10), 0)), "No Campaign")</f>
        <v>FestiveRadiance</v>
      </c>
      <c r="Q102" s="33">
        <f>VLOOKUP(Table1[[#This Row],[Campaign_Name2]],Table3[#All],2,)</f>
        <v>45566</v>
      </c>
      <c r="R102" s="33">
        <f>VLOOKUP(Table1[[#This Row],[Campaign_Name2]],Table3[#All],3,FALSE)</f>
        <v>45596</v>
      </c>
      <c r="S102" s="30">
        <f>VLOOKUP(Table1[[#This Row],[Campaign_Name2]],Table3[],5,FALSE)</f>
        <v>200000</v>
      </c>
      <c r="T102" s="30">
        <f>IF(Table1[[#This Row],[Campaign_Name2]]="No Campaign", 0, Table1[[#This Row],[Budget]]/COUNTIF(Table1[Campaign_Name2],Table1[[#This Row],[Campaign_Name2]]))</f>
        <v>5714.2857142857147</v>
      </c>
    </row>
    <row r="103" spans="1:20" ht="14.25" customHeight="1" x14ac:dyDescent="0.3">
      <c r="A103" s="3" t="s">
        <v>251</v>
      </c>
      <c r="B103" s="3" t="s">
        <v>14</v>
      </c>
      <c r="C103" s="11">
        <v>45553</v>
      </c>
      <c r="D103" s="3" t="s">
        <v>16</v>
      </c>
      <c r="E103" s="3" t="s">
        <v>17</v>
      </c>
      <c r="F103" s="12">
        <v>1000</v>
      </c>
      <c r="G103" s="12">
        <v>978</v>
      </c>
      <c r="H103" s="12">
        <v>162</v>
      </c>
      <c r="I103" s="12">
        <v>6000</v>
      </c>
      <c r="J103" s="12">
        <v>5221</v>
      </c>
      <c r="K103" s="12">
        <v>223</v>
      </c>
      <c r="L103" s="4" t="s">
        <v>37</v>
      </c>
      <c r="M103" s="5" t="s">
        <v>25</v>
      </c>
      <c r="N103" s="31">
        <f t="shared" si="1"/>
        <v>2140</v>
      </c>
      <c r="O103" s="32">
        <f>IFERROR((Table1[[#This Row],[Likes]]+Table1[[#This Row],[Shares]]+Table1[[#This Row],[Comments]])/Table1[[#This Row],[Impressions]], 0)</f>
        <v>0.35666666666666669</v>
      </c>
      <c r="P103" s="30" t="str" cm="1">
        <f t="array" ref="P103">IFERROR(INDEX('Campaign Metadata (2)'!$A$2:$A$10, MATCH(1, (C103&gt;='Campaign Metadata (2)'!$B$2:$B$10) * (C103&lt;='Campaign Metadata (2)'!$C$2:$C$10), 0)), "No Campaign")</f>
        <v>No Campaign</v>
      </c>
      <c r="Q103" s="33" t="e">
        <f>VLOOKUP(Table1[[#This Row],[Campaign_Name2]],Table3[#All],2,)</f>
        <v>#N/A</v>
      </c>
      <c r="R103" s="33" t="e">
        <f>VLOOKUP(Table1[[#This Row],[Campaign_Name2]],Table3[#All],3,FALSE)</f>
        <v>#N/A</v>
      </c>
      <c r="S103" s="30" t="e">
        <f>VLOOKUP(Table1[[#This Row],[Campaign_Name2]],Table3[],5,FALSE)</f>
        <v>#N/A</v>
      </c>
      <c r="T103" s="30">
        <f>IF(Table1[[#This Row],[Campaign_Name2]]="No Campaign", 0, Table1[[#This Row],[Budget]]/COUNTIF(Table1[Campaign_Name2],Table1[[#This Row],[Campaign_Name2]]))</f>
        <v>0</v>
      </c>
    </row>
    <row r="104" spans="1:20" ht="14.25" customHeight="1" x14ac:dyDescent="0.3">
      <c r="A104" s="3" t="s">
        <v>253</v>
      </c>
      <c r="B104" s="3" t="s">
        <v>43</v>
      </c>
      <c r="C104" s="11">
        <v>45454</v>
      </c>
      <c r="D104" s="3" t="s">
        <v>52</v>
      </c>
      <c r="E104" s="3" t="s">
        <v>59</v>
      </c>
      <c r="F104" s="12">
        <v>3689</v>
      </c>
      <c r="G104" s="12">
        <v>48</v>
      </c>
      <c r="H104" s="12">
        <v>306</v>
      </c>
      <c r="I104" s="12">
        <v>40579</v>
      </c>
      <c r="J104" s="12">
        <v>39588</v>
      </c>
      <c r="K104" s="12">
        <v>212</v>
      </c>
      <c r="L104" s="4" t="s">
        <v>37</v>
      </c>
      <c r="M104" s="5" t="s">
        <v>25</v>
      </c>
      <c r="N104" s="31">
        <f t="shared" si="1"/>
        <v>4043</v>
      </c>
      <c r="O104" s="32">
        <f>IFERROR((Table1[[#This Row],[Likes]]+Table1[[#This Row],[Shares]]+Table1[[#This Row],[Comments]])/Table1[[#This Row],[Impressions]], 0)</f>
        <v>9.9632815002833983E-2</v>
      </c>
      <c r="P104" s="30" t="str" cm="1">
        <f t="array" ref="P104">IFERROR(INDEX('Campaign Metadata (2)'!$A$2:$A$10, MATCH(1, (C104&gt;='Campaign Metadata (2)'!$B$2:$B$10) * (C104&lt;='Campaign Metadata (2)'!$C$2:$C$10), 0)), "No Campaign")</f>
        <v>No Campaign</v>
      </c>
      <c r="Q104" s="33" t="e">
        <f>VLOOKUP(Table1[[#This Row],[Campaign_Name2]],Table3[#All],2,)</f>
        <v>#N/A</v>
      </c>
      <c r="R104" s="33" t="e">
        <f>VLOOKUP(Table1[[#This Row],[Campaign_Name2]],Table3[#All],3,FALSE)</f>
        <v>#N/A</v>
      </c>
      <c r="S104" s="30" t="e">
        <f>VLOOKUP(Table1[[#This Row],[Campaign_Name2]],Table3[],5,FALSE)</f>
        <v>#N/A</v>
      </c>
      <c r="T104" s="30">
        <f>IF(Table1[[#This Row],[Campaign_Name2]]="No Campaign", 0, Table1[[#This Row],[Budget]]/COUNTIF(Table1[Campaign_Name2],Table1[[#This Row],[Campaign_Name2]]))</f>
        <v>0</v>
      </c>
    </row>
    <row r="105" spans="1:20" ht="14.25" customHeight="1" x14ac:dyDescent="0.3">
      <c r="A105" s="3" t="s">
        <v>255</v>
      </c>
      <c r="B105" s="3" t="s">
        <v>27</v>
      </c>
      <c r="C105" s="11">
        <v>45739</v>
      </c>
      <c r="D105" s="3" t="s">
        <v>35</v>
      </c>
      <c r="E105" s="3" t="s">
        <v>154</v>
      </c>
      <c r="F105" s="12">
        <v>3655</v>
      </c>
      <c r="G105" s="12">
        <v>568</v>
      </c>
      <c r="H105" s="12">
        <v>286</v>
      </c>
      <c r="I105" s="12">
        <v>32895</v>
      </c>
      <c r="J105" s="12">
        <v>32015</v>
      </c>
      <c r="K105" s="12">
        <v>199</v>
      </c>
      <c r="L105" s="4" t="s">
        <v>30</v>
      </c>
      <c r="M105" s="5" t="s">
        <v>31</v>
      </c>
      <c r="N105" s="31">
        <f t="shared" si="1"/>
        <v>4509</v>
      </c>
      <c r="O105" s="32">
        <f>IFERROR((Table1[[#This Row],[Likes]]+Table1[[#This Row],[Shares]]+Table1[[#This Row],[Comments]])/Table1[[#This Row],[Impressions]], 0)</f>
        <v>0.13707250341997265</v>
      </c>
      <c r="P105" s="30" t="str" cm="1">
        <f t="array" ref="P105">IFERROR(INDEX('Campaign Metadata (2)'!$A$2:$A$10, MATCH(1, (C105&gt;='Campaign Metadata (2)'!$B$2:$B$10) * (C105&lt;='Campaign Metadata (2)'!$C$2:$C$10), 0)), "No Campaign")</f>
        <v>DailyWellness</v>
      </c>
      <c r="Q105" s="33">
        <f>VLOOKUP(Table1[[#This Row],[Campaign_Name2]],Table3[#All],2,)</f>
        <v>45717</v>
      </c>
      <c r="R105" s="33">
        <f>VLOOKUP(Table1[[#This Row],[Campaign_Name2]],Table3[#All],3,FALSE)</f>
        <v>45747</v>
      </c>
      <c r="S105" s="30">
        <f>VLOOKUP(Table1[[#This Row],[Campaign_Name2]],Table3[],5,FALSE)</f>
        <v>180000</v>
      </c>
      <c r="T105" s="30">
        <f>IF(Table1[[#This Row],[Campaign_Name2]]="No Campaign", 0, Table1[[#This Row],[Budget]]/COUNTIF(Table1[Campaign_Name2],Table1[[#This Row],[Campaign_Name2]]))</f>
        <v>5625</v>
      </c>
    </row>
    <row r="106" spans="1:20" ht="14.25" customHeight="1" x14ac:dyDescent="0.3">
      <c r="A106" s="3" t="s">
        <v>257</v>
      </c>
      <c r="B106" s="3" t="s">
        <v>33</v>
      </c>
      <c r="C106" s="11">
        <v>45457</v>
      </c>
      <c r="D106" s="3" t="s">
        <v>45</v>
      </c>
      <c r="E106" s="3" t="s">
        <v>88</v>
      </c>
      <c r="F106" s="12">
        <v>498</v>
      </c>
      <c r="G106" s="12">
        <v>38</v>
      </c>
      <c r="H106" s="12">
        <v>42</v>
      </c>
      <c r="I106" s="12">
        <v>4482</v>
      </c>
      <c r="J106" s="12">
        <v>3647</v>
      </c>
      <c r="K106" s="12">
        <v>32</v>
      </c>
      <c r="L106" s="4" t="s">
        <v>62</v>
      </c>
      <c r="M106" s="5" t="s">
        <v>19</v>
      </c>
      <c r="N106" s="31">
        <f t="shared" si="1"/>
        <v>578</v>
      </c>
      <c r="O106" s="32">
        <f>IFERROR((Table1[[#This Row],[Likes]]+Table1[[#This Row],[Shares]]+Table1[[#This Row],[Comments]])/Table1[[#This Row],[Impressions]], 0)</f>
        <v>0.12896028558679162</v>
      </c>
      <c r="P106" s="30" t="str" cm="1">
        <f t="array" ref="P106">IFERROR(INDEX('Campaign Metadata (2)'!$A$2:$A$10, MATCH(1, (C106&gt;='Campaign Metadata (2)'!$B$2:$B$10) * (C106&lt;='Campaign Metadata (2)'!$C$2:$C$10), 0)), "No Campaign")</f>
        <v>No Campaign</v>
      </c>
      <c r="Q106" s="33" t="e">
        <f>VLOOKUP(Table1[[#This Row],[Campaign_Name2]],Table3[#All],2,)</f>
        <v>#N/A</v>
      </c>
      <c r="R106" s="33" t="e">
        <f>VLOOKUP(Table1[[#This Row],[Campaign_Name2]],Table3[#All],3,FALSE)</f>
        <v>#N/A</v>
      </c>
      <c r="S106" s="30" t="e">
        <f>VLOOKUP(Table1[[#This Row],[Campaign_Name2]],Table3[],5,FALSE)</f>
        <v>#N/A</v>
      </c>
      <c r="T106" s="30">
        <f>IF(Table1[[#This Row],[Campaign_Name2]]="No Campaign", 0, Table1[[#This Row],[Budget]]/COUNTIF(Table1[Campaign_Name2],Table1[[#This Row],[Campaign_Name2]]))</f>
        <v>0</v>
      </c>
    </row>
    <row r="107" spans="1:20" ht="14.25" customHeight="1" x14ac:dyDescent="0.3">
      <c r="A107" s="3" t="s">
        <v>259</v>
      </c>
      <c r="B107" s="3" t="s">
        <v>33</v>
      </c>
      <c r="C107" s="11">
        <v>45692</v>
      </c>
      <c r="D107" s="3" t="s">
        <v>52</v>
      </c>
      <c r="E107" s="3" t="s">
        <v>215</v>
      </c>
      <c r="F107" s="12">
        <v>4619</v>
      </c>
      <c r="G107" s="12">
        <v>821</v>
      </c>
      <c r="H107" s="12">
        <v>499</v>
      </c>
      <c r="I107" s="12">
        <v>69285</v>
      </c>
      <c r="J107" s="12">
        <v>69141</v>
      </c>
      <c r="K107" s="12">
        <v>298</v>
      </c>
      <c r="L107" s="4" t="s">
        <v>30</v>
      </c>
      <c r="M107" s="5" t="s">
        <v>38</v>
      </c>
      <c r="N107" s="31">
        <f t="shared" si="1"/>
        <v>5939</v>
      </c>
      <c r="O107" s="32">
        <f>IFERROR((Table1[[#This Row],[Likes]]+Table1[[#This Row],[Shares]]+Table1[[#This Row],[Comments]])/Table1[[#This Row],[Impressions]], 0)</f>
        <v>8.5718409468138843E-2</v>
      </c>
      <c r="P107" s="30" t="str" cm="1">
        <f t="array" ref="P107">IFERROR(INDEX('Campaign Metadata (2)'!$A$2:$A$10, MATCH(1, (C107&gt;='Campaign Metadata (2)'!$B$2:$B$10) * (C107&lt;='Campaign Metadata (2)'!$C$2:$C$10), 0)), "No Campaign")</f>
        <v>No Campaign</v>
      </c>
      <c r="Q107" s="33" t="e">
        <f>VLOOKUP(Table1[[#This Row],[Campaign_Name2]],Table3[#All],2,)</f>
        <v>#N/A</v>
      </c>
      <c r="R107" s="33" t="e">
        <f>VLOOKUP(Table1[[#This Row],[Campaign_Name2]],Table3[#All],3,FALSE)</f>
        <v>#N/A</v>
      </c>
      <c r="S107" s="30" t="e">
        <f>VLOOKUP(Table1[[#This Row],[Campaign_Name2]],Table3[],5,FALSE)</f>
        <v>#N/A</v>
      </c>
      <c r="T107" s="30">
        <f>IF(Table1[[#This Row],[Campaign_Name2]]="No Campaign", 0, Table1[[#This Row],[Budget]]/COUNTIF(Table1[Campaign_Name2],Table1[[#This Row],[Campaign_Name2]]))</f>
        <v>0</v>
      </c>
    </row>
    <row r="108" spans="1:20" ht="14.25" customHeight="1" x14ac:dyDescent="0.3">
      <c r="A108" s="3" t="s">
        <v>261</v>
      </c>
      <c r="B108" s="3" t="s">
        <v>27</v>
      </c>
      <c r="C108" s="11">
        <v>45464</v>
      </c>
      <c r="D108" s="3" t="s">
        <v>52</v>
      </c>
      <c r="E108" s="3" t="s">
        <v>53</v>
      </c>
      <c r="F108" s="12">
        <v>4832</v>
      </c>
      <c r="G108" s="12">
        <v>893</v>
      </c>
      <c r="H108" s="12">
        <v>10</v>
      </c>
      <c r="I108" s="12">
        <v>91808</v>
      </c>
      <c r="J108" s="12">
        <v>91296</v>
      </c>
      <c r="K108" s="12">
        <v>182</v>
      </c>
      <c r="L108" s="4" t="s">
        <v>30</v>
      </c>
      <c r="M108" s="5"/>
      <c r="N108" s="31">
        <f t="shared" si="1"/>
        <v>5735</v>
      </c>
      <c r="O108" s="32">
        <f>IFERROR((Table1[[#This Row],[Likes]]+Table1[[#This Row],[Shares]]+Table1[[#This Row],[Comments]])/Table1[[#This Row],[Impressions]], 0)</f>
        <v>6.2467323109097243E-2</v>
      </c>
      <c r="P108" s="30" t="str" cm="1">
        <f t="array" ref="P108">IFERROR(INDEX('Campaign Metadata (2)'!$A$2:$A$10, MATCH(1, (C108&gt;='Campaign Metadata (2)'!$B$2:$B$10) * (C108&lt;='Campaign Metadata (2)'!$C$2:$C$10), 0)), "No Campaign")</f>
        <v>SummerSplash</v>
      </c>
      <c r="Q108" s="33">
        <f>VLOOKUP(Table1[[#This Row],[Campaign_Name2]],Table3[#All],2,)</f>
        <v>45458</v>
      </c>
      <c r="R108" s="33">
        <f>VLOOKUP(Table1[[#This Row],[Campaign_Name2]],Table3[#All],3,FALSE)</f>
        <v>45488</v>
      </c>
      <c r="S108" s="30">
        <f>VLOOKUP(Table1[[#This Row],[Campaign_Name2]],Table3[],5,FALSE)</f>
        <v>150000</v>
      </c>
      <c r="T108" s="30">
        <f>IF(Table1[[#This Row],[Campaign_Name2]]="No Campaign", 0, Table1[[#This Row],[Budget]]/COUNTIF(Table1[Campaign_Name2],Table1[[#This Row],[Campaign_Name2]]))</f>
        <v>5555.5555555555557</v>
      </c>
    </row>
    <row r="109" spans="1:20" ht="14.25" customHeight="1" x14ac:dyDescent="0.3">
      <c r="A109" s="3" t="s">
        <v>263</v>
      </c>
      <c r="B109" s="3" t="s">
        <v>14</v>
      </c>
      <c r="C109" s="11">
        <v>45741</v>
      </c>
      <c r="D109" s="3" t="s">
        <v>74</v>
      </c>
      <c r="E109" s="3" t="s">
        <v>145</v>
      </c>
      <c r="F109" s="12">
        <v>4050</v>
      </c>
      <c r="G109" s="12">
        <v>871</v>
      </c>
      <c r="H109" s="12">
        <v>347</v>
      </c>
      <c r="I109" s="12">
        <v>52650</v>
      </c>
      <c r="J109" s="12">
        <v>51755</v>
      </c>
      <c r="K109" s="12">
        <v>209</v>
      </c>
      <c r="L109" s="4" t="s">
        <v>30</v>
      </c>
      <c r="M109" s="5" t="s">
        <v>25</v>
      </c>
      <c r="N109" s="31">
        <f t="shared" si="1"/>
        <v>5268</v>
      </c>
      <c r="O109" s="32">
        <f>IFERROR((Table1[[#This Row],[Likes]]+Table1[[#This Row],[Shares]]+Table1[[#This Row],[Comments]])/Table1[[#This Row],[Impressions]], 0)</f>
        <v>0.10005698005698006</v>
      </c>
      <c r="P109" s="30" t="str" cm="1">
        <f t="array" ref="P109">IFERROR(INDEX('Campaign Metadata (2)'!$A$2:$A$10, MATCH(1, (C109&gt;='Campaign Metadata (2)'!$B$2:$B$10) * (C109&lt;='Campaign Metadata (2)'!$C$2:$C$10), 0)), "No Campaign")</f>
        <v>DailyWellness</v>
      </c>
      <c r="Q109" s="33">
        <f>VLOOKUP(Table1[[#This Row],[Campaign_Name2]],Table3[#All],2,)</f>
        <v>45717</v>
      </c>
      <c r="R109" s="33">
        <f>VLOOKUP(Table1[[#This Row],[Campaign_Name2]],Table3[#All],3,FALSE)</f>
        <v>45747</v>
      </c>
      <c r="S109" s="30">
        <f>VLOOKUP(Table1[[#This Row],[Campaign_Name2]],Table3[],5,FALSE)</f>
        <v>180000</v>
      </c>
      <c r="T109" s="30">
        <f>IF(Table1[[#This Row],[Campaign_Name2]]="No Campaign", 0, Table1[[#This Row],[Budget]]/COUNTIF(Table1[Campaign_Name2],Table1[[#This Row],[Campaign_Name2]]))</f>
        <v>5625</v>
      </c>
    </row>
    <row r="110" spans="1:20" ht="14.25" customHeight="1" x14ac:dyDescent="0.3">
      <c r="A110" s="3" t="s">
        <v>265</v>
      </c>
      <c r="B110" s="3" t="s">
        <v>14</v>
      </c>
      <c r="C110" s="11">
        <v>45512</v>
      </c>
      <c r="D110" s="3" t="s">
        <v>35</v>
      </c>
      <c r="E110" s="3" t="s">
        <v>149</v>
      </c>
      <c r="F110" s="12">
        <v>3649</v>
      </c>
      <c r="G110" s="12">
        <v>215</v>
      </c>
      <c r="H110" s="12">
        <v>413</v>
      </c>
      <c r="I110" s="12">
        <v>25543</v>
      </c>
      <c r="J110" s="12">
        <v>24963</v>
      </c>
      <c r="K110" s="12">
        <v>167</v>
      </c>
      <c r="L110" s="4" t="s">
        <v>62</v>
      </c>
      <c r="M110" s="5" t="s">
        <v>31</v>
      </c>
      <c r="N110" s="31">
        <f t="shared" si="1"/>
        <v>4277</v>
      </c>
      <c r="O110" s="32">
        <f>IFERROR((Table1[[#This Row],[Likes]]+Table1[[#This Row],[Shares]]+Table1[[#This Row],[Comments]])/Table1[[#This Row],[Impressions]], 0)</f>
        <v>0.16744313510550835</v>
      </c>
      <c r="P110" s="30" t="str" cm="1">
        <f t="array" ref="P110">IFERROR(INDEX('Campaign Metadata (2)'!$A$2:$A$10, MATCH(1, (C110&gt;='Campaign Metadata (2)'!$B$2:$B$10) * (C110&lt;='Campaign Metadata (2)'!$C$2:$C$10), 0)), "No Campaign")</f>
        <v>No Campaign</v>
      </c>
      <c r="Q110" s="33" t="e">
        <f>VLOOKUP(Table1[[#This Row],[Campaign_Name2]],Table3[#All],2,)</f>
        <v>#N/A</v>
      </c>
      <c r="R110" s="33" t="e">
        <f>VLOOKUP(Table1[[#This Row],[Campaign_Name2]],Table3[#All],3,FALSE)</f>
        <v>#N/A</v>
      </c>
      <c r="S110" s="30" t="e">
        <f>VLOOKUP(Table1[[#This Row],[Campaign_Name2]],Table3[],5,FALSE)</f>
        <v>#N/A</v>
      </c>
      <c r="T110" s="30">
        <f>IF(Table1[[#This Row],[Campaign_Name2]]="No Campaign", 0, Table1[[#This Row],[Budget]]/COUNTIF(Table1[Campaign_Name2],Table1[[#This Row],[Campaign_Name2]]))</f>
        <v>0</v>
      </c>
    </row>
    <row r="111" spans="1:20" ht="14.25" customHeight="1" x14ac:dyDescent="0.3">
      <c r="A111" s="3" t="s">
        <v>267</v>
      </c>
      <c r="B111" s="3" t="s">
        <v>33</v>
      </c>
      <c r="C111" s="11">
        <v>45502</v>
      </c>
      <c r="D111" s="3" t="s">
        <v>16</v>
      </c>
      <c r="E111" s="3" t="s">
        <v>82</v>
      </c>
      <c r="F111" s="12">
        <v>3523</v>
      </c>
      <c r="G111" s="12">
        <v>753</v>
      </c>
      <c r="H111" s="12">
        <v>482</v>
      </c>
      <c r="I111" s="12">
        <v>38753</v>
      </c>
      <c r="J111" s="12">
        <v>38579</v>
      </c>
      <c r="K111" s="12">
        <v>270</v>
      </c>
      <c r="L111" s="4" t="s">
        <v>37</v>
      </c>
      <c r="M111" s="5" t="s">
        <v>25</v>
      </c>
      <c r="N111" s="31">
        <f t="shared" si="1"/>
        <v>4758</v>
      </c>
      <c r="O111" s="32">
        <f>IFERROR((Table1[[#This Row],[Likes]]+Table1[[#This Row],[Shares]]+Table1[[#This Row],[Comments]])/Table1[[#This Row],[Impressions]], 0)</f>
        <v>0.12277759141227776</v>
      </c>
      <c r="P111" s="30" t="str" cm="1">
        <f t="array" ref="P111">IFERROR(INDEX('Campaign Metadata (2)'!$A$2:$A$10, MATCH(1, (C111&gt;='Campaign Metadata (2)'!$B$2:$B$10) * (C111&lt;='Campaign Metadata (2)'!$C$2:$C$10), 0)), "No Campaign")</f>
        <v>No Campaign</v>
      </c>
      <c r="Q111" s="33" t="e">
        <f>VLOOKUP(Table1[[#This Row],[Campaign_Name2]],Table3[#All],2,)</f>
        <v>#N/A</v>
      </c>
      <c r="R111" s="33" t="e">
        <f>VLOOKUP(Table1[[#This Row],[Campaign_Name2]],Table3[#All],3,FALSE)</f>
        <v>#N/A</v>
      </c>
      <c r="S111" s="30" t="e">
        <f>VLOOKUP(Table1[[#This Row],[Campaign_Name2]],Table3[],5,FALSE)</f>
        <v>#N/A</v>
      </c>
      <c r="T111" s="30">
        <f>IF(Table1[[#This Row],[Campaign_Name2]]="No Campaign", 0, Table1[[#This Row],[Budget]]/COUNTIF(Table1[Campaign_Name2],Table1[[#This Row],[Campaign_Name2]]))</f>
        <v>0</v>
      </c>
    </row>
    <row r="112" spans="1:20" ht="14.25" customHeight="1" x14ac:dyDescent="0.3">
      <c r="A112" s="3" t="s">
        <v>269</v>
      </c>
      <c r="B112" s="3" t="s">
        <v>27</v>
      </c>
      <c r="C112" s="11">
        <v>45619</v>
      </c>
      <c r="D112" s="3" t="s">
        <v>52</v>
      </c>
      <c r="E112" s="3" t="s">
        <v>53</v>
      </c>
      <c r="F112" s="12">
        <v>2719</v>
      </c>
      <c r="G112" s="12">
        <v>17</v>
      </c>
      <c r="H112" s="12">
        <v>285</v>
      </c>
      <c r="I112" s="12">
        <v>40785</v>
      </c>
      <c r="J112" s="12">
        <v>40281</v>
      </c>
      <c r="K112" s="12">
        <v>40</v>
      </c>
      <c r="L112" s="4" t="s">
        <v>30</v>
      </c>
      <c r="M112" s="5" t="s">
        <v>25</v>
      </c>
      <c r="N112" s="31">
        <f t="shared" si="1"/>
        <v>3021</v>
      </c>
      <c r="O112" s="32">
        <f>IFERROR((Table1[[#This Row],[Likes]]+Table1[[#This Row],[Shares]]+Table1[[#This Row],[Comments]])/Table1[[#This Row],[Impressions]], 0)</f>
        <v>7.4071349760941527E-2</v>
      </c>
      <c r="P112" s="30" t="str" cm="1">
        <f t="array" ref="P112">IFERROR(INDEX('Campaign Metadata (2)'!$A$2:$A$10, MATCH(1, (C112&gt;='Campaign Metadata (2)'!$B$2:$B$10) * (C112&lt;='Campaign Metadata (2)'!$C$2:$C$10), 0)), "No Campaign")</f>
        <v>No Campaign</v>
      </c>
      <c r="Q112" s="33" t="e">
        <f>VLOOKUP(Table1[[#This Row],[Campaign_Name2]],Table3[#All],2,)</f>
        <v>#N/A</v>
      </c>
      <c r="R112" s="33" t="e">
        <f>VLOOKUP(Table1[[#This Row],[Campaign_Name2]],Table3[#All],3,FALSE)</f>
        <v>#N/A</v>
      </c>
      <c r="S112" s="30" t="e">
        <f>VLOOKUP(Table1[[#This Row],[Campaign_Name2]],Table3[],5,FALSE)</f>
        <v>#N/A</v>
      </c>
      <c r="T112" s="30">
        <f>IF(Table1[[#This Row],[Campaign_Name2]]="No Campaign", 0, Table1[[#This Row],[Budget]]/COUNTIF(Table1[Campaign_Name2],Table1[[#This Row],[Campaign_Name2]]))</f>
        <v>0</v>
      </c>
    </row>
    <row r="113" spans="1:20" ht="14.25" customHeight="1" x14ac:dyDescent="0.3">
      <c r="A113" s="3" t="s">
        <v>271</v>
      </c>
      <c r="B113" s="3" t="s">
        <v>14</v>
      </c>
      <c r="C113" s="11">
        <v>45570</v>
      </c>
      <c r="D113" s="3" t="s">
        <v>35</v>
      </c>
      <c r="E113" s="3" t="s">
        <v>149</v>
      </c>
      <c r="F113" s="12">
        <v>1957</v>
      </c>
      <c r="G113" s="12">
        <v>877</v>
      </c>
      <c r="H113" s="12">
        <v>238</v>
      </c>
      <c r="I113" s="12">
        <v>17613</v>
      </c>
      <c r="J113" s="12">
        <v>16865</v>
      </c>
      <c r="K113" s="12">
        <v>297</v>
      </c>
      <c r="L113" s="4" t="s">
        <v>62</v>
      </c>
      <c r="M113" s="5" t="s">
        <v>31</v>
      </c>
      <c r="N113" s="31">
        <f t="shared" si="1"/>
        <v>3072</v>
      </c>
      <c r="O113" s="32">
        <f>IFERROR((Table1[[#This Row],[Likes]]+Table1[[#This Row],[Shares]]+Table1[[#This Row],[Comments]])/Table1[[#This Row],[Impressions]], 0)</f>
        <v>0.17441662408448305</v>
      </c>
      <c r="P113" s="30" t="str" cm="1">
        <f t="array" ref="P113">IFERROR(INDEX('Campaign Metadata (2)'!$A$2:$A$10, MATCH(1, (C113&gt;='Campaign Metadata (2)'!$B$2:$B$10) * (C113&lt;='Campaign Metadata (2)'!$C$2:$C$10), 0)), "No Campaign")</f>
        <v>FestiveRadiance</v>
      </c>
      <c r="Q113" s="33">
        <f>VLOOKUP(Table1[[#This Row],[Campaign_Name2]],Table3[#All],2,)</f>
        <v>45566</v>
      </c>
      <c r="R113" s="33">
        <f>VLOOKUP(Table1[[#This Row],[Campaign_Name2]],Table3[#All],3,FALSE)</f>
        <v>45596</v>
      </c>
      <c r="S113" s="30">
        <f>VLOOKUP(Table1[[#This Row],[Campaign_Name2]],Table3[],5,FALSE)</f>
        <v>200000</v>
      </c>
      <c r="T113" s="30">
        <f>IF(Table1[[#This Row],[Campaign_Name2]]="No Campaign", 0, Table1[[#This Row],[Budget]]/COUNTIF(Table1[Campaign_Name2],Table1[[#This Row],[Campaign_Name2]]))</f>
        <v>5714.2857142857147</v>
      </c>
    </row>
    <row r="114" spans="1:20" ht="14.25" customHeight="1" x14ac:dyDescent="0.3">
      <c r="A114" s="3" t="s">
        <v>273</v>
      </c>
      <c r="B114" s="3" t="s">
        <v>14</v>
      </c>
      <c r="C114" s="11">
        <v>45567</v>
      </c>
      <c r="D114" s="3" t="s">
        <v>45</v>
      </c>
      <c r="E114" s="3" t="s">
        <v>49</v>
      </c>
      <c r="F114" s="12">
        <v>4419</v>
      </c>
      <c r="G114" s="12">
        <v>236</v>
      </c>
      <c r="H114" s="12">
        <v>369</v>
      </c>
      <c r="I114" s="12">
        <v>44190</v>
      </c>
      <c r="J114" s="12">
        <v>43582</v>
      </c>
      <c r="K114" s="12">
        <v>10</v>
      </c>
      <c r="L114" s="4" t="s">
        <v>37</v>
      </c>
      <c r="M114" s="5" t="s">
        <v>19</v>
      </c>
      <c r="N114" s="31">
        <f t="shared" si="1"/>
        <v>5024</v>
      </c>
      <c r="O114" s="32">
        <f>IFERROR((Table1[[#This Row],[Likes]]+Table1[[#This Row],[Shares]]+Table1[[#This Row],[Comments]])/Table1[[#This Row],[Impressions]], 0)</f>
        <v>0.11369088028965829</v>
      </c>
      <c r="P114" s="30" t="str" cm="1">
        <f t="array" ref="P114">IFERROR(INDEX('Campaign Metadata (2)'!$A$2:$A$10, MATCH(1, (C114&gt;='Campaign Metadata (2)'!$B$2:$B$10) * (C114&lt;='Campaign Metadata (2)'!$C$2:$C$10), 0)), "No Campaign")</f>
        <v>FestiveRadiance</v>
      </c>
      <c r="Q114" s="33">
        <f>VLOOKUP(Table1[[#This Row],[Campaign_Name2]],Table3[#All],2,)</f>
        <v>45566</v>
      </c>
      <c r="R114" s="33">
        <f>VLOOKUP(Table1[[#This Row],[Campaign_Name2]],Table3[#All],3,FALSE)</f>
        <v>45596</v>
      </c>
      <c r="S114" s="30">
        <f>VLOOKUP(Table1[[#This Row],[Campaign_Name2]],Table3[],5,FALSE)</f>
        <v>200000</v>
      </c>
      <c r="T114" s="30">
        <f>IF(Table1[[#This Row],[Campaign_Name2]]="No Campaign", 0, Table1[[#This Row],[Budget]]/COUNTIF(Table1[Campaign_Name2],Table1[[#This Row],[Campaign_Name2]]))</f>
        <v>5714.2857142857147</v>
      </c>
    </row>
    <row r="115" spans="1:20" ht="14.25" customHeight="1" x14ac:dyDescent="0.3">
      <c r="A115" s="3" t="s">
        <v>275</v>
      </c>
      <c r="B115" s="3" t="s">
        <v>14</v>
      </c>
      <c r="C115" s="11">
        <v>45610</v>
      </c>
      <c r="D115" s="3" t="s">
        <v>35</v>
      </c>
      <c r="E115" s="3" t="s">
        <v>149</v>
      </c>
      <c r="F115" s="12">
        <v>4000</v>
      </c>
      <c r="G115" s="12">
        <v>689</v>
      </c>
      <c r="H115" s="12">
        <v>488</v>
      </c>
      <c r="I115" s="12">
        <v>40000</v>
      </c>
      <c r="J115" s="12">
        <v>39569</v>
      </c>
      <c r="K115" s="12">
        <v>44</v>
      </c>
      <c r="L115" s="4" t="s">
        <v>62</v>
      </c>
      <c r="M115" s="5" t="s">
        <v>19</v>
      </c>
      <c r="N115" s="31">
        <f t="shared" si="1"/>
        <v>5177</v>
      </c>
      <c r="O115" s="32">
        <f>IFERROR((Table1[[#This Row],[Likes]]+Table1[[#This Row],[Shares]]+Table1[[#This Row],[Comments]])/Table1[[#This Row],[Impressions]], 0)</f>
        <v>0.12942500000000001</v>
      </c>
      <c r="P115" s="30" t="str" cm="1">
        <f t="array" ref="P115">IFERROR(INDEX('Campaign Metadata (2)'!$A$2:$A$10, MATCH(1, (C115&gt;='Campaign Metadata (2)'!$B$2:$B$10) * (C115&lt;='Campaign Metadata (2)'!$C$2:$C$10), 0)), "No Campaign")</f>
        <v>No Campaign</v>
      </c>
      <c r="Q115" s="33" t="e">
        <f>VLOOKUP(Table1[[#This Row],[Campaign_Name2]],Table3[#All],2,)</f>
        <v>#N/A</v>
      </c>
      <c r="R115" s="33" t="e">
        <f>VLOOKUP(Table1[[#This Row],[Campaign_Name2]],Table3[#All],3,FALSE)</f>
        <v>#N/A</v>
      </c>
      <c r="S115" s="30" t="e">
        <f>VLOOKUP(Table1[[#This Row],[Campaign_Name2]],Table3[],5,FALSE)</f>
        <v>#N/A</v>
      </c>
      <c r="T115" s="30">
        <f>IF(Table1[[#This Row],[Campaign_Name2]]="No Campaign", 0, Table1[[#This Row],[Budget]]/COUNTIF(Table1[Campaign_Name2],Table1[[#This Row],[Campaign_Name2]]))</f>
        <v>0</v>
      </c>
    </row>
    <row r="116" spans="1:20" ht="14.25" customHeight="1" x14ac:dyDescent="0.3">
      <c r="A116" s="3" t="s">
        <v>277</v>
      </c>
      <c r="B116" s="3" t="s">
        <v>14</v>
      </c>
      <c r="C116" s="11">
        <v>45788</v>
      </c>
      <c r="D116" s="3" t="s">
        <v>52</v>
      </c>
      <c r="E116" s="3" t="s">
        <v>132</v>
      </c>
      <c r="F116" s="12">
        <v>2493</v>
      </c>
      <c r="G116" s="12">
        <v>97</v>
      </c>
      <c r="H116" s="12">
        <v>44</v>
      </c>
      <c r="I116" s="12">
        <v>42381</v>
      </c>
      <c r="J116" s="12">
        <v>41991</v>
      </c>
      <c r="K116" s="12">
        <v>242</v>
      </c>
      <c r="L116" s="4" t="s">
        <v>95</v>
      </c>
      <c r="M116" s="5" t="s">
        <v>38</v>
      </c>
      <c r="N116" s="31">
        <f t="shared" si="1"/>
        <v>2634</v>
      </c>
      <c r="O116" s="32">
        <f>IFERROR((Table1[[#This Row],[Likes]]+Table1[[#This Row],[Shares]]+Table1[[#This Row],[Comments]])/Table1[[#This Row],[Impressions]], 0)</f>
        <v>6.2150491965739366E-2</v>
      </c>
      <c r="P116" s="30" t="str" cm="1">
        <f t="array" ref="P116">IFERROR(INDEX('Campaign Metadata (2)'!$A$2:$A$10, MATCH(1, (C116&gt;='Campaign Metadata (2)'!$B$2:$B$10) * (C116&lt;='Campaign Metadata (2)'!$C$2:$C$10), 0)), "No Campaign")</f>
        <v>No Campaign</v>
      </c>
      <c r="Q116" s="33" t="e">
        <f>VLOOKUP(Table1[[#This Row],[Campaign_Name2]],Table3[#All],2,)</f>
        <v>#N/A</v>
      </c>
      <c r="R116" s="33" t="e">
        <f>VLOOKUP(Table1[[#This Row],[Campaign_Name2]],Table3[#All],3,FALSE)</f>
        <v>#N/A</v>
      </c>
      <c r="S116" s="30" t="e">
        <f>VLOOKUP(Table1[[#This Row],[Campaign_Name2]],Table3[],5,FALSE)</f>
        <v>#N/A</v>
      </c>
      <c r="T116" s="30">
        <f>IF(Table1[[#This Row],[Campaign_Name2]]="No Campaign", 0, Table1[[#This Row],[Budget]]/COUNTIF(Table1[Campaign_Name2],Table1[[#This Row],[Campaign_Name2]]))</f>
        <v>0</v>
      </c>
    </row>
    <row r="117" spans="1:20" ht="14.25" customHeight="1" x14ac:dyDescent="0.3">
      <c r="A117" s="3" t="s">
        <v>279</v>
      </c>
      <c r="B117" s="3" t="s">
        <v>27</v>
      </c>
      <c r="C117" s="11">
        <v>45734</v>
      </c>
      <c r="D117" s="3" t="s">
        <v>16</v>
      </c>
      <c r="E117" s="3" t="s">
        <v>29</v>
      </c>
      <c r="F117" s="12">
        <v>3704</v>
      </c>
      <c r="G117" s="12">
        <v>186</v>
      </c>
      <c r="H117" s="12">
        <v>458</v>
      </c>
      <c r="I117" s="12">
        <v>25928</v>
      </c>
      <c r="J117" s="12">
        <v>25081</v>
      </c>
      <c r="K117" s="12">
        <v>131</v>
      </c>
      <c r="L117" s="4" t="s">
        <v>30</v>
      </c>
      <c r="M117" s="5"/>
      <c r="N117" s="31">
        <f t="shared" si="1"/>
        <v>4348</v>
      </c>
      <c r="O117" s="32">
        <f>IFERROR((Table1[[#This Row],[Likes]]+Table1[[#This Row],[Shares]]+Table1[[#This Row],[Comments]])/Table1[[#This Row],[Impressions]], 0)</f>
        <v>0.16769515581610614</v>
      </c>
      <c r="P117" s="30" t="str" cm="1">
        <f t="array" ref="P117">IFERROR(INDEX('Campaign Metadata (2)'!$A$2:$A$10, MATCH(1, (C117&gt;='Campaign Metadata (2)'!$B$2:$B$10) * (C117&lt;='Campaign Metadata (2)'!$C$2:$C$10), 0)), "No Campaign")</f>
        <v>DailyWellness</v>
      </c>
      <c r="Q117" s="33">
        <f>VLOOKUP(Table1[[#This Row],[Campaign_Name2]],Table3[#All],2,)</f>
        <v>45717</v>
      </c>
      <c r="R117" s="33">
        <f>VLOOKUP(Table1[[#This Row],[Campaign_Name2]],Table3[#All],3,FALSE)</f>
        <v>45747</v>
      </c>
      <c r="S117" s="30">
        <f>VLOOKUP(Table1[[#This Row],[Campaign_Name2]],Table3[],5,FALSE)</f>
        <v>180000</v>
      </c>
      <c r="T117" s="30">
        <f>IF(Table1[[#This Row],[Campaign_Name2]]="No Campaign", 0, Table1[[#This Row],[Budget]]/COUNTIF(Table1[Campaign_Name2],Table1[[#This Row],[Campaign_Name2]]))</f>
        <v>5625</v>
      </c>
    </row>
    <row r="118" spans="1:20" ht="14.25" customHeight="1" x14ac:dyDescent="0.3">
      <c r="A118" s="3" t="s">
        <v>281</v>
      </c>
      <c r="B118" s="3" t="s">
        <v>14</v>
      </c>
      <c r="C118" s="11">
        <v>45600</v>
      </c>
      <c r="D118" s="3" t="s">
        <v>52</v>
      </c>
      <c r="E118" s="3" t="s">
        <v>132</v>
      </c>
      <c r="F118" s="12">
        <v>1606</v>
      </c>
      <c r="G118" s="12">
        <v>451</v>
      </c>
      <c r="H118" s="12">
        <v>405</v>
      </c>
      <c r="I118" s="12">
        <v>20878</v>
      </c>
      <c r="J118" s="12">
        <v>20190</v>
      </c>
      <c r="K118" s="12">
        <v>219</v>
      </c>
      <c r="L118" s="4" t="s">
        <v>37</v>
      </c>
      <c r="M118" s="5" t="s">
        <v>38</v>
      </c>
      <c r="N118" s="31">
        <f t="shared" si="1"/>
        <v>2462</v>
      </c>
      <c r="O118" s="32">
        <f>IFERROR((Table1[[#This Row],[Likes]]+Table1[[#This Row],[Shares]]+Table1[[#This Row],[Comments]])/Table1[[#This Row],[Impressions]], 0)</f>
        <v>0.11792317271769326</v>
      </c>
      <c r="P118" s="30" t="str" cm="1">
        <f t="array" ref="P118">IFERROR(INDEX('Campaign Metadata (2)'!$A$2:$A$10, MATCH(1, (C118&gt;='Campaign Metadata (2)'!$B$2:$B$10) * (C118&lt;='Campaign Metadata (2)'!$C$2:$C$10), 0)), "No Campaign")</f>
        <v>No Campaign</v>
      </c>
      <c r="Q118" s="33" t="e">
        <f>VLOOKUP(Table1[[#This Row],[Campaign_Name2]],Table3[#All],2,)</f>
        <v>#N/A</v>
      </c>
      <c r="R118" s="33" t="e">
        <f>VLOOKUP(Table1[[#This Row],[Campaign_Name2]],Table3[#All],3,FALSE)</f>
        <v>#N/A</v>
      </c>
      <c r="S118" s="30" t="e">
        <f>VLOOKUP(Table1[[#This Row],[Campaign_Name2]],Table3[],5,FALSE)</f>
        <v>#N/A</v>
      </c>
      <c r="T118" s="30">
        <f>IF(Table1[[#This Row],[Campaign_Name2]]="No Campaign", 0, Table1[[#This Row],[Budget]]/COUNTIF(Table1[Campaign_Name2],Table1[[#This Row],[Campaign_Name2]]))</f>
        <v>0</v>
      </c>
    </row>
    <row r="119" spans="1:20" ht="14.25" customHeight="1" x14ac:dyDescent="0.3">
      <c r="A119" s="3" t="s">
        <v>283</v>
      </c>
      <c r="B119" s="3" t="s">
        <v>43</v>
      </c>
      <c r="C119" s="11">
        <v>45600</v>
      </c>
      <c r="D119" s="3" t="s">
        <v>52</v>
      </c>
      <c r="E119" s="3" t="s">
        <v>59</v>
      </c>
      <c r="F119" s="12">
        <v>4551</v>
      </c>
      <c r="G119" s="12">
        <v>714</v>
      </c>
      <c r="H119" s="12">
        <v>207</v>
      </c>
      <c r="I119" s="12">
        <v>68265</v>
      </c>
      <c r="J119" s="12">
        <v>67754</v>
      </c>
      <c r="K119" s="12">
        <v>57</v>
      </c>
      <c r="L119" s="4" t="s">
        <v>62</v>
      </c>
      <c r="M119" s="5" t="s">
        <v>31</v>
      </c>
      <c r="N119" s="31">
        <f t="shared" si="1"/>
        <v>5472</v>
      </c>
      <c r="O119" s="32">
        <f>IFERROR((Table1[[#This Row],[Likes]]+Table1[[#This Row],[Shares]]+Table1[[#This Row],[Comments]])/Table1[[#This Row],[Impressions]], 0)</f>
        <v>8.0158206987475278E-2</v>
      </c>
      <c r="P119" s="30" t="str" cm="1">
        <f t="array" ref="P119">IFERROR(INDEX('Campaign Metadata (2)'!$A$2:$A$10, MATCH(1, (C119&gt;='Campaign Metadata (2)'!$B$2:$B$10) * (C119&lt;='Campaign Metadata (2)'!$C$2:$C$10), 0)), "No Campaign")</f>
        <v>No Campaign</v>
      </c>
      <c r="Q119" s="33" t="e">
        <f>VLOOKUP(Table1[[#This Row],[Campaign_Name2]],Table3[#All],2,)</f>
        <v>#N/A</v>
      </c>
      <c r="R119" s="33" t="e">
        <f>VLOOKUP(Table1[[#This Row],[Campaign_Name2]],Table3[#All],3,FALSE)</f>
        <v>#N/A</v>
      </c>
      <c r="S119" s="30" t="e">
        <f>VLOOKUP(Table1[[#This Row],[Campaign_Name2]],Table3[],5,FALSE)</f>
        <v>#N/A</v>
      </c>
      <c r="T119" s="30">
        <f>IF(Table1[[#This Row],[Campaign_Name2]]="No Campaign", 0, Table1[[#This Row],[Budget]]/COUNTIF(Table1[Campaign_Name2],Table1[[#This Row],[Campaign_Name2]]))</f>
        <v>0</v>
      </c>
    </row>
    <row r="120" spans="1:20" ht="14.25" customHeight="1" x14ac:dyDescent="0.3">
      <c r="A120" s="3" t="s">
        <v>284</v>
      </c>
      <c r="B120" s="3" t="s">
        <v>33</v>
      </c>
      <c r="C120" s="11">
        <v>45695</v>
      </c>
      <c r="D120" s="3" t="s">
        <v>16</v>
      </c>
      <c r="E120" s="3" t="s">
        <v>82</v>
      </c>
      <c r="F120" s="12">
        <v>1970</v>
      </c>
      <c r="G120" s="12">
        <v>675</v>
      </c>
      <c r="H120" s="12">
        <v>478</v>
      </c>
      <c r="I120" s="12">
        <v>9850</v>
      </c>
      <c r="J120" s="12">
        <v>8924</v>
      </c>
      <c r="K120" s="12">
        <v>117</v>
      </c>
      <c r="L120" s="4" t="s">
        <v>62</v>
      </c>
      <c r="M120" s="5"/>
      <c r="N120" s="31">
        <f t="shared" si="1"/>
        <v>3123</v>
      </c>
      <c r="O120" s="32">
        <f>IFERROR((Table1[[#This Row],[Likes]]+Table1[[#This Row],[Shares]]+Table1[[#This Row],[Comments]])/Table1[[#This Row],[Impressions]], 0)</f>
        <v>0.31705583756345179</v>
      </c>
      <c r="P120" s="30" t="str" cm="1">
        <f t="array" ref="P120">IFERROR(INDEX('Campaign Metadata (2)'!$A$2:$A$10, MATCH(1, (C120&gt;='Campaign Metadata (2)'!$B$2:$B$10) * (C120&lt;='Campaign Metadata (2)'!$C$2:$C$10), 0)), "No Campaign")</f>
        <v>No Campaign</v>
      </c>
      <c r="Q120" s="33" t="e">
        <f>VLOOKUP(Table1[[#This Row],[Campaign_Name2]],Table3[#All],2,)</f>
        <v>#N/A</v>
      </c>
      <c r="R120" s="33" t="e">
        <f>VLOOKUP(Table1[[#This Row],[Campaign_Name2]],Table3[#All],3,FALSE)</f>
        <v>#N/A</v>
      </c>
      <c r="S120" s="30" t="e">
        <f>VLOOKUP(Table1[[#This Row],[Campaign_Name2]],Table3[],5,FALSE)</f>
        <v>#N/A</v>
      </c>
      <c r="T120" s="30">
        <f>IF(Table1[[#This Row],[Campaign_Name2]]="No Campaign", 0, Table1[[#This Row],[Budget]]/COUNTIF(Table1[Campaign_Name2],Table1[[#This Row],[Campaign_Name2]]))</f>
        <v>0</v>
      </c>
    </row>
    <row r="121" spans="1:20" ht="14.25" customHeight="1" x14ac:dyDescent="0.3">
      <c r="A121" s="3" t="s">
        <v>286</v>
      </c>
      <c r="B121" s="3" t="s">
        <v>43</v>
      </c>
      <c r="C121" s="11">
        <v>45586</v>
      </c>
      <c r="D121" s="3" t="s">
        <v>35</v>
      </c>
      <c r="E121" s="3" t="s">
        <v>71</v>
      </c>
      <c r="F121" s="12">
        <v>780</v>
      </c>
      <c r="G121" s="12">
        <v>928</v>
      </c>
      <c r="H121" s="12">
        <v>301</v>
      </c>
      <c r="I121" s="12">
        <v>8580</v>
      </c>
      <c r="J121" s="12">
        <v>8081</v>
      </c>
      <c r="K121" s="12">
        <v>91</v>
      </c>
      <c r="L121" s="4" t="s">
        <v>37</v>
      </c>
      <c r="M121" s="5" t="s">
        <v>31</v>
      </c>
      <c r="N121" s="31">
        <f t="shared" si="1"/>
        <v>2009</v>
      </c>
      <c r="O121" s="32">
        <f>IFERROR((Table1[[#This Row],[Likes]]+Table1[[#This Row],[Shares]]+Table1[[#This Row],[Comments]])/Table1[[#This Row],[Impressions]], 0)</f>
        <v>0.23414918414918415</v>
      </c>
      <c r="P121" s="30" t="str" cm="1">
        <f t="array" ref="P121">IFERROR(INDEX('Campaign Metadata (2)'!$A$2:$A$10, MATCH(1, (C121&gt;='Campaign Metadata (2)'!$B$2:$B$10) * (C121&lt;='Campaign Metadata (2)'!$C$2:$C$10), 0)), "No Campaign")</f>
        <v>FestiveRadiance</v>
      </c>
      <c r="Q121" s="33">
        <f>VLOOKUP(Table1[[#This Row],[Campaign_Name2]],Table3[#All],2,)</f>
        <v>45566</v>
      </c>
      <c r="R121" s="33">
        <f>VLOOKUP(Table1[[#This Row],[Campaign_Name2]],Table3[#All],3,FALSE)</f>
        <v>45596</v>
      </c>
      <c r="S121" s="30">
        <f>VLOOKUP(Table1[[#This Row],[Campaign_Name2]],Table3[],5,FALSE)</f>
        <v>200000</v>
      </c>
      <c r="T121" s="30">
        <f>IF(Table1[[#This Row],[Campaign_Name2]]="No Campaign", 0, Table1[[#This Row],[Budget]]/COUNTIF(Table1[Campaign_Name2],Table1[[#This Row],[Campaign_Name2]]))</f>
        <v>5714.2857142857147</v>
      </c>
    </row>
    <row r="122" spans="1:20" ht="14.25" customHeight="1" x14ac:dyDescent="0.3">
      <c r="A122" s="3" t="s">
        <v>287</v>
      </c>
      <c r="B122" s="3" t="s">
        <v>33</v>
      </c>
      <c r="C122" s="11">
        <v>45502</v>
      </c>
      <c r="D122" s="3" t="s">
        <v>35</v>
      </c>
      <c r="E122" s="3" t="s">
        <v>36</v>
      </c>
      <c r="F122" s="12">
        <v>498</v>
      </c>
      <c r="G122" s="12">
        <v>701</v>
      </c>
      <c r="H122" s="12">
        <v>412</v>
      </c>
      <c r="I122" s="12">
        <v>4980</v>
      </c>
      <c r="J122" s="12">
        <v>4185</v>
      </c>
      <c r="K122" s="12">
        <v>185</v>
      </c>
      <c r="L122" s="4" t="s">
        <v>62</v>
      </c>
      <c r="M122" s="5"/>
      <c r="N122" s="31">
        <f t="shared" si="1"/>
        <v>1611</v>
      </c>
      <c r="O122" s="32">
        <f>IFERROR((Table1[[#This Row],[Likes]]+Table1[[#This Row],[Shares]]+Table1[[#This Row],[Comments]])/Table1[[#This Row],[Impressions]], 0)</f>
        <v>0.32349397590361445</v>
      </c>
      <c r="P122" s="30" t="str" cm="1">
        <f t="array" ref="P122">IFERROR(INDEX('Campaign Metadata (2)'!$A$2:$A$10, MATCH(1, (C122&gt;='Campaign Metadata (2)'!$B$2:$B$10) * (C122&lt;='Campaign Metadata (2)'!$C$2:$C$10), 0)), "No Campaign")</f>
        <v>No Campaign</v>
      </c>
      <c r="Q122" s="33" t="e">
        <f>VLOOKUP(Table1[[#This Row],[Campaign_Name2]],Table3[#All],2,)</f>
        <v>#N/A</v>
      </c>
      <c r="R122" s="33" t="e">
        <f>VLOOKUP(Table1[[#This Row],[Campaign_Name2]],Table3[#All],3,FALSE)</f>
        <v>#N/A</v>
      </c>
      <c r="S122" s="30" t="e">
        <f>VLOOKUP(Table1[[#This Row],[Campaign_Name2]],Table3[],5,FALSE)</f>
        <v>#N/A</v>
      </c>
      <c r="T122" s="30">
        <f>IF(Table1[[#This Row],[Campaign_Name2]]="No Campaign", 0, Table1[[#This Row],[Budget]]/COUNTIF(Table1[Campaign_Name2],Table1[[#This Row],[Campaign_Name2]]))</f>
        <v>0</v>
      </c>
    </row>
    <row r="123" spans="1:20" ht="14.25" customHeight="1" x14ac:dyDescent="0.3">
      <c r="A123" s="3" t="s">
        <v>288</v>
      </c>
      <c r="B123" s="3" t="s">
        <v>33</v>
      </c>
      <c r="C123" s="11">
        <v>45567</v>
      </c>
      <c r="D123" s="3" t="s">
        <v>22</v>
      </c>
      <c r="E123" s="3" t="s">
        <v>113</v>
      </c>
      <c r="F123" s="12">
        <v>3432</v>
      </c>
      <c r="G123" s="12">
        <v>869</v>
      </c>
      <c r="H123" s="12">
        <v>123</v>
      </c>
      <c r="I123" s="12">
        <v>54912</v>
      </c>
      <c r="J123" s="12">
        <v>53916</v>
      </c>
      <c r="K123" s="12">
        <v>264</v>
      </c>
      <c r="L123" s="4" t="s">
        <v>37</v>
      </c>
      <c r="M123" s="5" t="s">
        <v>25</v>
      </c>
      <c r="N123" s="31">
        <f t="shared" si="1"/>
        <v>4424</v>
      </c>
      <c r="O123" s="32">
        <f>IFERROR((Table1[[#This Row],[Likes]]+Table1[[#This Row],[Shares]]+Table1[[#This Row],[Comments]])/Table1[[#This Row],[Impressions]], 0)</f>
        <v>8.0565268065268064E-2</v>
      </c>
      <c r="P123" s="30" t="str" cm="1">
        <f t="array" ref="P123">IFERROR(INDEX('Campaign Metadata (2)'!$A$2:$A$10, MATCH(1, (C123&gt;='Campaign Metadata (2)'!$B$2:$B$10) * (C123&lt;='Campaign Metadata (2)'!$C$2:$C$10), 0)), "No Campaign")</f>
        <v>FestiveRadiance</v>
      </c>
      <c r="Q123" s="33">
        <f>VLOOKUP(Table1[[#This Row],[Campaign_Name2]],Table3[#All],2,)</f>
        <v>45566</v>
      </c>
      <c r="R123" s="33">
        <f>VLOOKUP(Table1[[#This Row],[Campaign_Name2]],Table3[#All],3,FALSE)</f>
        <v>45596</v>
      </c>
      <c r="S123" s="30">
        <f>VLOOKUP(Table1[[#This Row],[Campaign_Name2]],Table3[],5,FALSE)</f>
        <v>200000</v>
      </c>
      <c r="T123" s="30">
        <f>IF(Table1[[#This Row],[Campaign_Name2]]="No Campaign", 0, Table1[[#This Row],[Budget]]/COUNTIF(Table1[Campaign_Name2],Table1[[#This Row],[Campaign_Name2]]))</f>
        <v>5714.2857142857147</v>
      </c>
    </row>
    <row r="124" spans="1:20" ht="14.25" customHeight="1" x14ac:dyDescent="0.3">
      <c r="A124" s="3" t="s">
        <v>289</v>
      </c>
      <c r="B124" s="3" t="s">
        <v>33</v>
      </c>
      <c r="C124" s="11">
        <v>45457</v>
      </c>
      <c r="D124" s="3" t="s">
        <v>35</v>
      </c>
      <c r="E124" s="3" t="s">
        <v>36</v>
      </c>
      <c r="F124" s="12">
        <v>4363</v>
      </c>
      <c r="G124" s="12">
        <v>649</v>
      </c>
      <c r="H124" s="12">
        <v>140</v>
      </c>
      <c r="I124" s="12">
        <v>21815</v>
      </c>
      <c r="J124" s="12">
        <v>21481</v>
      </c>
      <c r="K124" s="12">
        <v>157</v>
      </c>
      <c r="L124" s="4" t="s">
        <v>37</v>
      </c>
      <c r="M124" s="5" t="s">
        <v>19</v>
      </c>
      <c r="N124" s="31">
        <f t="shared" si="1"/>
        <v>5152</v>
      </c>
      <c r="O124" s="32">
        <f>IFERROR((Table1[[#This Row],[Likes]]+Table1[[#This Row],[Shares]]+Table1[[#This Row],[Comments]])/Table1[[#This Row],[Impressions]], 0)</f>
        <v>0.23616777446710979</v>
      </c>
      <c r="P124" s="30" t="str" cm="1">
        <f t="array" ref="P124">IFERROR(INDEX('Campaign Metadata (2)'!$A$2:$A$10, MATCH(1, (C124&gt;='Campaign Metadata (2)'!$B$2:$B$10) * (C124&lt;='Campaign Metadata (2)'!$C$2:$C$10), 0)), "No Campaign")</f>
        <v>No Campaign</v>
      </c>
      <c r="Q124" s="33" t="e">
        <f>VLOOKUP(Table1[[#This Row],[Campaign_Name2]],Table3[#All],2,)</f>
        <v>#N/A</v>
      </c>
      <c r="R124" s="33" t="e">
        <f>VLOOKUP(Table1[[#This Row],[Campaign_Name2]],Table3[#All],3,FALSE)</f>
        <v>#N/A</v>
      </c>
      <c r="S124" s="30" t="e">
        <f>VLOOKUP(Table1[[#This Row],[Campaign_Name2]],Table3[],5,FALSE)</f>
        <v>#N/A</v>
      </c>
      <c r="T124" s="30">
        <f>IF(Table1[[#This Row],[Campaign_Name2]]="No Campaign", 0, Table1[[#This Row],[Budget]]/COUNTIF(Table1[Campaign_Name2],Table1[[#This Row],[Campaign_Name2]]))</f>
        <v>0</v>
      </c>
    </row>
    <row r="125" spans="1:20" ht="14.25" customHeight="1" x14ac:dyDescent="0.3">
      <c r="A125" s="3" t="s">
        <v>290</v>
      </c>
      <c r="B125" s="3" t="s">
        <v>27</v>
      </c>
      <c r="C125" s="11">
        <v>45753</v>
      </c>
      <c r="D125" s="3" t="s">
        <v>45</v>
      </c>
      <c r="E125" s="3" t="s">
        <v>68</v>
      </c>
      <c r="F125" s="12">
        <v>736</v>
      </c>
      <c r="G125" s="12">
        <v>771</v>
      </c>
      <c r="H125" s="12">
        <v>225</v>
      </c>
      <c r="I125" s="12">
        <v>5152</v>
      </c>
      <c r="J125" s="12">
        <v>4706</v>
      </c>
      <c r="K125" s="12">
        <v>19</v>
      </c>
      <c r="L125" s="4" t="s">
        <v>37</v>
      </c>
      <c r="M125" s="5" t="s">
        <v>19</v>
      </c>
      <c r="N125" s="31">
        <f t="shared" si="1"/>
        <v>1732</v>
      </c>
      <c r="O125" s="32">
        <f>IFERROR((Table1[[#This Row],[Likes]]+Table1[[#This Row],[Shares]]+Table1[[#This Row],[Comments]])/Table1[[#This Row],[Impressions]], 0)</f>
        <v>0.33618012422360249</v>
      </c>
      <c r="P125" s="30" t="str" cm="1">
        <f t="array" ref="P125">IFERROR(INDEX('Campaign Metadata (2)'!$A$2:$A$10, MATCH(1, (C125&gt;='Campaign Metadata (2)'!$B$2:$B$10) * (C125&lt;='Campaign Metadata (2)'!$C$2:$C$10), 0)), "No Campaign")</f>
        <v>No Campaign</v>
      </c>
      <c r="Q125" s="33" t="e">
        <f>VLOOKUP(Table1[[#This Row],[Campaign_Name2]],Table3[#All],2,)</f>
        <v>#N/A</v>
      </c>
      <c r="R125" s="33" t="e">
        <f>VLOOKUP(Table1[[#This Row],[Campaign_Name2]],Table3[#All],3,FALSE)</f>
        <v>#N/A</v>
      </c>
      <c r="S125" s="30" t="e">
        <f>VLOOKUP(Table1[[#This Row],[Campaign_Name2]],Table3[],5,FALSE)</f>
        <v>#N/A</v>
      </c>
      <c r="T125" s="30">
        <f>IF(Table1[[#This Row],[Campaign_Name2]]="No Campaign", 0, Table1[[#This Row],[Budget]]/COUNTIF(Table1[Campaign_Name2],Table1[[#This Row],[Campaign_Name2]]))</f>
        <v>0</v>
      </c>
    </row>
    <row r="126" spans="1:20" ht="14.25" customHeight="1" x14ac:dyDescent="0.3">
      <c r="A126" s="3" t="s">
        <v>292</v>
      </c>
      <c r="B126" s="3" t="s">
        <v>14</v>
      </c>
      <c r="C126" s="11">
        <v>45543</v>
      </c>
      <c r="D126" s="3" t="s">
        <v>45</v>
      </c>
      <c r="E126" s="3" t="s">
        <v>49</v>
      </c>
      <c r="F126" s="12">
        <v>3811</v>
      </c>
      <c r="G126" s="12">
        <v>866</v>
      </c>
      <c r="H126" s="12">
        <v>216</v>
      </c>
      <c r="I126" s="12">
        <v>34299</v>
      </c>
      <c r="J126" s="12">
        <v>34088</v>
      </c>
      <c r="K126" s="12">
        <v>233</v>
      </c>
      <c r="L126" s="4" t="s">
        <v>30</v>
      </c>
      <c r="M126" s="5" t="s">
        <v>38</v>
      </c>
      <c r="N126" s="31">
        <f t="shared" si="1"/>
        <v>4893</v>
      </c>
      <c r="O126" s="32">
        <f>IFERROR((Table1[[#This Row],[Likes]]+Table1[[#This Row],[Shares]]+Table1[[#This Row],[Comments]])/Table1[[#This Row],[Impressions]], 0)</f>
        <v>0.14265722032712325</v>
      </c>
      <c r="P126" s="30" t="str" cm="1">
        <f t="array" ref="P126">IFERROR(INDEX('Campaign Metadata (2)'!$A$2:$A$10, MATCH(1, (C126&gt;='Campaign Metadata (2)'!$B$2:$B$10) * (C126&lt;='Campaign Metadata (2)'!$C$2:$C$10), 0)), "No Campaign")</f>
        <v>No Campaign</v>
      </c>
      <c r="Q126" s="33" t="e">
        <f>VLOOKUP(Table1[[#This Row],[Campaign_Name2]],Table3[#All],2,)</f>
        <v>#N/A</v>
      </c>
      <c r="R126" s="33" t="e">
        <f>VLOOKUP(Table1[[#This Row],[Campaign_Name2]],Table3[#All],3,FALSE)</f>
        <v>#N/A</v>
      </c>
      <c r="S126" s="30" t="e">
        <f>VLOOKUP(Table1[[#This Row],[Campaign_Name2]],Table3[],5,FALSE)</f>
        <v>#N/A</v>
      </c>
      <c r="T126" s="30">
        <f>IF(Table1[[#This Row],[Campaign_Name2]]="No Campaign", 0, Table1[[#This Row],[Budget]]/COUNTIF(Table1[Campaign_Name2],Table1[[#This Row],[Campaign_Name2]]))</f>
        <v>0</v>
      </c>
    </row>
    <row r="127" spans="1:20" ht="14.25" customHeight="1" x14ac:dyDescent="0.3">
      <c r="A127" s="3" t="s">
        <v>294</v>
      </c>
      <c r="B127" s="3" t="s">
        <v>33</v>
      </c>
      <c r="C127" s="11">
        <v>45744</v>
      </c>
      <c r="D127" s="3" t="s">
        <v>45</v>
      </c>
      <c r="E127" s="3" t="s">
        <v>88</v>
      </c>
      <c r="F127" s="12">
        <v>4158</v>
      </c>
      <c r="G127" s="12">
        <v>167</v>
      </c>
      <c r="H127" s="12">
        <v>241</v>
      </c>
      <c r="I127" s="12">
        <v>45738</v>
      </c>
      <c r="J127" s="12">
        <v>45183</v>
      </c>
      <c r="K127" s="12">
        <v>142</v>
      </c>
      <c r="L127" s="4" t="s">
        <v>62</v>
      </c>
      <c r="M127" s="5"/>
      <c r="N127" s="31">
        <f t="shared" si="1"/>
        <v>4566</v>
      </c>
      <c r="O127" s="32">
        <f>IFERROR((Table1[[#This Row],[Likes]]+Table1[[#This Row],[Shares]]+Table1[[#This Row],[Comments]])/Table1[[#This Row],[Impressions]], 0)</f>
        <v>9.9829463465827106E-2</v>
      </c>
      <c r="P127" s="30" t="str" cm="1">
        <f t="array" ref="P127">IFERROR(INDEX('Campaign Metadata (2)'!$A$2:$A$10, MATCH(1, (C127&gt;='Campaign Metadata (2)'!$B$2:$B$10) * (C127&lt;='Campaign Metadata (2)'!$C$2:$C$10), 0)), "No Campaign")</f>
        <v>DailyWellness</v>
      </c>
      <c r="Q127" s="33">
        <f>VLOOKUP(Table1[[#This Row],[Campaign_Name2]],Table3[#All],2,)</f>
        <v>45717</v>
      </c>
      <c r="R127" s="33">
        <f>VLOOKUP(Table1[[#This Row],[Campaign_Name2]],Table3[#All],3,FALSE)</f>
        <v>45747</v>
      </c>
      <c r="S127" s="30">
        <f>VLOOKUP(Table1[[#This Row],[Campaign_Name2]],Table3[],5,FALSE)</f>
        <v>180000</v>
      </c>
      <c r="T127" s="30">
        <f>IF(Table1[[#This Row],[Campaign_Name2]]="No Campaign", 0, Table1[[#This Row],[Budget]]/COUNTIF(Table1[Campaign_Name2],Table1[[#This Row],[Campaign_Name2]]))</f>
        <v>5625</v>
      </c>
    </row>
    <row r="128" spans="1:20" ht="14.25" customHeight="1" x14ac:dyDescent="0.3">
      <c r="A128" s="3" t="s">
        <v>295</v>
      </c>
      <c r="B128" s="3" t="s">
        <v>43</v>
      </c>
      <c r="C128" s="11">
        <v>45684</v>
      </c>
      <c r="D128" s="3" t="s">
        <v>16</v>
      </c>
      <c r="E128" s="3" t="s">
        <v>65</v>
      </c>
      <c r="F128" s="12">
        <v>3452</v>
      </c>
      <c r="G128" s="12">
        <v>652</v>
      </c>
      <c r="H128" s="12">
        <v>442</v>
      </c>
      <c r="I128" s="12">
        <v>65588</v>
      </c>
      <c r="J128" s="12">
        <v>65049</v>
      </c>
      <c r="K128" s="12">
        <v>158</v>
      </c>
      <c r="L128" s="4" t="s">
        <v>62</v>
      </c>
      <c r="M128" s="5" t="s">
        <v>31</v>
      </c>
      <c r="N128" s="31">
        <f t="shared" si="1"/>
        <v>4546</v>
      </c>
      <c r="O128" s="32">
        <f>IFERROR((Table1[[#This Row],[Likes]]+Table1[[#This Row],[Shares]]+Table1[[#This Row],[Comments]])/Table1[[#This Row],[Impressions]], 0)</f>
        <v>6.9311459413307311E-2</v>
      </c>
      <c r="P128" s="30" t="str" cm="1">
        <f t="array" ref="P128">IFERROR(INDEX('Campaign Metadata (2)'!$A$2:$A$10, MATCH(1, (C128&gt;='Campaign Metadata (2)'!$B$2:$B$10) * (C128&lt;='Campaign Metadata (2)'!$C$2:$C$10), 0)), "No Campaign")</f>
        <v>No Campaign</v>
      </c>
      <c r="Q128" s="33" t="e">
        <f>VLOOKUP(Table1[[#This Row],[Campaign_Name2]],Table3[#All],2,)</f>
        <v>#N/A</v>
      </c>
      <c r="R128" s="33" t="e">
        <f>VLOOKUP(Table1[[#This Row],[Campaign_Name2]],Table3[#All],3,FALSE)</f>
        <v>#N/A</v>
      </c>
      <c r="S128" s="30" t="e">
        <f>VLOOKUP(Table1[[#This Row],[Campaign_Name2]],Table3[],5,FALSE)</f>
        <v>#N/A</v>
      </c>
      <c r="T128" s="30">
        <f>IF(Table1[[#This Row],[Campaign_Name2]]="No Campaign", 0, Table1[[#This Row],[Budget]]/COUNTIF(Table1[Campaign_Name2],Table1[[#This Row],[Campaign_Name2]]))</f>
        <v>0</v>
      </c>
    </row>
    <row r="129" spans="1:20" ht="14.25" customHeight="1" x14ac:dyDescent="0.3">
      <c r="A129" s="3" t="s">
        <v>296</v>
      </c>
      <c r="B129" s="3" t="s">
        <v>14</v>
      </c>
      <c r="C129" s="11">
        <v>45667</v>
      </c>
      <c r="D129" s="3" t="s">
        <v>52</v>
      </c>
      <c r="E129" s="3" t="s">
        <v>132</v>
      </c>
      <c r="F129" s="12">
        <v>3092</v>
      </c>
      <c r="G129" s="12">
        <v>106</v>
      </c>
      <c r="H129" s="12">
        <v>291</v>
      </c>
      <c r="I129" s="12">
        <v>27828</v>
      </c>
      <c r="J129" s="12">
        <v>27217</v>
      </c>
      <c r="K129" s="12">
        <v>102</v>
      </c>
      <c r="L129" s="4" t="s">
        <v>62</v>
      </c>
      <c r="M129" s="5"/>
      <c r="N129" s="31">
        <f t="shared" si="1"/>
        <v>3489</v>
      </c>
      <c r="O129" s="32">
        <f>IFERROR((Table1[[#This Row],[Likes]]+Table1[[#This Row],[Shares]]+Table1[[#This Row],[Comments]])/Table1[[#This Row],[Impressions]], 0)</f>
        <v>0.12537731780940059</v>
      </c>
      <c r="P129" s="30" t="str" cm="1">
        <f t="array" ref="P129">IFERROR(INDEX('Campaign Metadata (2)'!$A$2:$A$10, MATCH(1, (C129&gt;='Campaign Metadata (2)'!$B$2:$B$10) * (C129&lt;='Campaign Metadata (2)'!$C$2:$C$10), 0)), "No Campaign")</f>
        <v>NewYearRefresh</v>
      </c>
      <c r="Q129" s="33">
        <f>VLOOKUP(Table1[[#This Row],[Campaign_Name2]],Table3[#All],2,)</f>
        <v>45651</v>
      </c>
      <c r="R129" s="33">
        <f>VLOOKUP(Table1[[#This Row],[Campaign_Name2]],Table3[#All],3,FALSE)</f>
        <v>45667</v>
      </c>
      <c r="S129" s="30">
        <f>VLOOKUP(Table1[[#This Row],[Campaign_Name2]],Table3[],5,FALSE)</f>
        <v>250000</v>
      </c>
      <c r="T129" s="30">
        <f>IF(Table1[[#This Row],[Campaign_Name2]]="No Campaign", 0, Table1[[#This Row],[Budget]]/COUNTIF(Table1[Campaign_Name2],Table1[[#This Row],[Campaign_Name2]]))</f>
        <v>25000</v>
      </c>
    </row>
    <row r="130" spans="1:20" ht="14.25" customHeight="1" x14ac:dyDescent="0.3">
      <c r="A130" s="3" t="s">
        <v>297</v>
      </c>
      <c r="B130" s="3" t="s">
        <v>14</v>
      </c>
      <c r="C130" s="11">
        <v>45494</v>
      </c>
      <c r="D130" s="3" t="s">
        <v>22</v>
      </c>
      <c r="E130" s="3" t="s">
        <v>23</v>
      </c>
      <c r="F130" s="12">
        <v>2147</v>
      </c>
      <c r="G130" s="12">
        <v>430</v>
      </c>
      <c r="H130" s="12">
        <v>393</v>
      </c>
      <c r="I130" s="12">
        <v>17176</v>
      </c>
      <c r="J130" s="12">
        <v>16483</v>
      </c>
      <c r="K130" s="12">
        <v>170</v>
      </c>
      <c r="L130" s="4" t="s">
        <v>30</v>
      </c>
      <c r="M130" s="5"/>
      <c r="N130" s="31">
        <f t="shared" ref="N130:N193" si="2">SUM(F130,G130,H130)</f>
        <v>2970</v>
      </c>
      <c r="O130" s="32">
        <f>IFERROR((Table1[[#This Row],[Likes]]+Table1[[#This Row],[Shares]]+Table1[[#This Row],[Comments]])/Table1[[#This Row],[Impressions]], 0)</f>
        <v>0.17291569632044715</v>
      </c>
      <c r="P130" s="30" t="str" cm="1">
        <f t="array" ref="P130">IFERROR(INDEX('Campaign Metadata (2)'!$A$2:$A$10, MATCH(1, (C130&gt;='Campaign Metadata (2)'!$B$2:$B$10) * (C130&lt;='Campaign Metadata (2)'!$C$2:$C$10), 0)), "No Campaign")</f>
        <v>No Campaign</v>
      </c>
      <c r="Q130" s="33" t="e">
        <f>VLOOKUP(Table1[[#This Row],[Campaign_Name2]],Table3[#All],2,)</f>
        <v>#N/A</v>
      </c>
      <c r="R130" s="33" t="e">
        <f>VLOOKUP(Table1[[#This Row],[Campaign_Name2]],Table3[#All],3,FALSE)</f>
        <v>#N/A</v>
      </c>
      <c r="S130" s="30" t="e">
        <f>VLOOKUP(Table1[[#This Row],[Campaign_Name2]],Table3[],5,FALSE)</f>
        <v>#N/A</v>
      </c>
      <c r="T130" s="30">
        <f>IF(Table1[[#This Row],[Campaign_Name2]]="No Campaign", 0, Table1[[#This Row],[Budget]]/COUNTIF(Table1[Campaign_Name2],Table1[[#This Row],[Campaign_Name2]]))</f>
        <v>0</v>
      </c>
    </row>
    <row r="131" spans="1:20" ht="14.25" customHeight="1" x14ac:dyDescent="0.3">
      <c r="A131" s="3" t="s">
        <v>298</v>
      </c>
      <c r="B131" s="3" t="s">
        <v>27</v>
      </c>
      <c r="C131" s="11">
        <v>45564</v>
      </c>
      <c r="D131" s="3" t="s">
        <v>16</v>
      </c>
      <c r="E131" s="3" t="s">
        <v>29</v>
      </c>
      <c r="F131" s="12">
        <v>2936</v>
      </c>
      <c r="G131" s="12">
        <v>439</v>
      </c>
      <c r="H131" s="12">
        <v>44</v>
      </c>
      <c r="I131" s="12">
        <v>38168</v>
      </c>
      <c r="J131" s="12">
        <v>37571</v>
      </c>
      <c r="K131" s="12">
        <v>22</v>
      </c>
      <c r="L131" s="4" t="s">
        <v>37</v>
      </c>
      <c r="M131" s="5" t="s">
        <v>38</v>
      </c>
      <c r="N131" s="31">
        <f t="shared" si="2"/>
        <v>3419</v>
      </c>
      <c r="O131" s="32">
        <f>IFERROR((Table1[[#This Row],[Likes]]+Table1[[#This Row],[Shares]]+Table1[[#This Row],[Comments]])/Table1[[#This Row],[Impressions]], 0)</f>
        <v>8.9577656675749323E-2</v>
      </c>
      <c r="P131" s="30" t="str" cm="1">
        <f t="array" ref="P131">IFERROR(INDEX('Campaign Metadata (2)'!$A$2:$A$10, MATCH(1, (C131&gt;='Campaign Metadata (2)'!$B$2:$B$10) * (C131&lt;='Campaign Metadata (2)'!$C$2:$C$10), 0)), "No Campaign")</f>
        <v>No Campaign</v>
      </c>
      <c r="Q131" s="33" t="e">
        <f>VLOOKUP(Table1[[#This Row],[Campaign_Name2]],Table3[#All],2,)</f>
        <v>#N/A</v>
      </c>
      <c r="R131" s="33" t="e">
        <f>VLOOKUP(Table1[[#This Row],[Campaign_Name2]],Table3[#All],3,FALSE)</f>
        <v>#N/A</v>
      </c>
      <c r="S131" s="30" t="e">
        <f>VLOOKUP(Table1[[#This Row],[Campaign_Name2]],Table3[],5,FALSE)</f>
        <v>#N/A</v>
      </c>
      <c r="T131" s="30">
        <f>IF(Table1[[#This Row],[Campaign_Name2]]="No Campaign", 0, Table1[[#This Row],[Budget]]/COUNTIF(Table1[Campaign_Name2],Table1[[#This Row],[Campaign_Name2]]))</f>
        <v>0</v>
      </c>
    </row>
    <row r="132" spans="1:20" ht="14.25" customHeight="1" x14ac:dyDescent="0.3">
      <c r="A132" s="3" t="s">
        <v>300</v>
      </c>
      <c r="B132" s="3" t="s">
        <v>33</v>
      </c>
      <c r="C132" s="11">
        <v>45586</v>
      </c>
      <c r="D132" s="3" t="s">
        <v>16</v>
      </c>
      <c r="E132" s="3" t="s">
        <v>82</v>
      </c>
      <c r="F132" s="12">
        <v>4840</v>
      </c>
      <c r="G132" s="12">
        <v>658</v>
      </c>
      <c r="H132" s="12">
        <v>211</v>
      </c>
      <c r="I132" s="12">
        <v>43560</v>
      </c>
      <c r="J132" s="12">
        <v>43225</v>
      </c>
      <c r="K132" s="12">
        <v>57</v>
      </c>
      <c r="L132" s="4" t="s">
        <v>62</v>
      </c>
      <c r="M132" s="5" t="s">
        <v>31</v>
      </c>
      <c r="N132" s="31">
        <f t="shared" si="2"/>
        <v>5709</v>
      </c>
      <c r="O132" s="32">
        <f>IFERROR((Table1[[#This Row],[Likes]]+Table1[[#This Row],[Shares]]+Table1[[#This Row],[Comments]])/Table1[[#This Row],[Impressions]], 0)</f>
        <v>0.13106060606060607</v>
      </c>
      <c r="P132" s="30" t="str" cm="1">
        <f t="array" ref="P132">IFERROR(INDEX('Campaign Metadata (2)'!$A$2:$A$10, MATCH(1, (C132&gt;='Campaign Metadata (2)'!$B$2:$B$10) * (C132&lt;='Campaign Metadata (2)'!$C$2:$C$10), 0)), "No Campaign")</f>
        <v>FestiveRadiance</v>
      </c>
      <c r="Q132" s="33">
        <f>VLOOKUP(Table1[[#This Row],[Campaign_Name2]],Table3[#All],2,)</f>
        <v>45566</v>
      </c>
      <c r="R132" s="33">
        <f>VLOOKUP(Table1[[#This Row],[Campaign_Name2]],Table3[#All],3,FALSE)</f>
        <v>45596</v>
      </c>
      <c r="S132" s="30">
        <f>VLOOKUP(Table1[[#This Row],[Campaign_Name2]],Table3[],5,FALSE)</f>
        <v>200000</v>
      </c>
      <c r="T132" s="30">
        <f>IF(Table1[[#This Row],[Campaign_Name2]]="No Campaign", 0, Table1[[#This Row],[Budget]]/COUNTIF(Table1[Campaign_Name2],Table1[[#This Row],[Campaign_Name2]]))</f>
        <v>5714.2857142857147</v>
      </c>
    </row>
    <row r="133" spans="1:20" ht="14.25" customHeight="1" x14ac:dyDescent="0.3">
      <c r="A133" s="3" t="s">
        <v>301</v>
      </c>
      <c r="B133" s="3" t="s">
        <v>33</v>
      </c>
      <c r="C133" s="11">
        <v>45720</v>
      </c>
      <c r="D133" s="3" t="s">
        <v>35</v>
      </c>
      <c r="E133" s="3" t="s">
        <v>36</v>
      </c>
      <c r="F133" s="12">
        <v>1947</v>
      </c>
      <c r="G133" s="12">
        <v>842</v>
      </c>
      <c r="H133" s="12">
        <v>101</v>
      </c>
      <c r="I133" s="12">
        <v>21417</v>
      </c>
      <c r="J133" s="12">
        <v>20967</v>
      </c>
      <c r="K133" s="12">
        <v>186</v>
      </c>
      <c r="L133" s="4" t="s">
        <v>62</v>
      </c>
      <c r="M133" s="5" t="s">
        <v>25</v>
      </c>
      <c r="N133" s="31">
        <f t="shared" si="2"/>
        <v>2890</v>
      </c>
      <c r="O133" s="32">
        <f>IFERROR((Table1[[#This Row],[Likes]]+Table1[[#This Row],[Shares]]+Table1[[#This Row],[Comments]])/Table1[[#This Row],[Impressions]], 0)</f>
        <v>0.13493953401503478</v>
      </c>
      <c r="P133" s="30" t="str" cm="1">
        <f t="array" ref="P133">IFERROR(INDEX('Campaign Metadata (2)'!$A$2:$A$10, MATCH(1, (C133&gt;='Campaign Metadata (2)'!$B$2:$B$10) * (C133&lt;='Campaign Metadata (2)'!$C$2:$C$10), 0)), "No Campaign")</f>
        <v>DailyWellness</v>
      </c>
      <c r="Q133" s="33">
        <f>VLOOKUP(Table1[[#This Row],[Campaign_Name2]],Table3[#All],2,)</f>
        <v>45717</v>
      </c>
      <c r="R133" s="33">
        <f>VLOOKUP(Table1[[#This Row],[Campaign_Name2]],Table3[#All],3,FALSE)</f>
        <v>45747</v>
      </c>
      <c r="S133" s="30">
        <f>VLOOKUP(Table1[[#This Row],[Campaign_Name2]],Table3[],5,FALSE)</f>
        <v>180000</v>
      </c>
      <c r="T133" s="30">
        <f>IF(Table1[[#This Row],[Campaign_Name2]]="No Campaign", 0, Table1[[#This Row],[Budget]]/COUNTIF(Table1[Campaign_Name2],Table1[[#This Row],[Campaign_Name2]]))</f>
        <v>5625</v>
      </c>
    </row>
    <row r="134" spans="1:20" ht="14.25" customHeight="1" x14ac:dyDescent="0.3">
      <c r="A134" s="3" t="s">
        <v>302</v>
      </c>
      <c r="B134" s="3" t="s">
        <v>43</v>
      </c>
      <c r="C134" s="11">
        <v>45694</v>
      </c>
      <c r="D134" s="3" t="s">
        <v>52</v>
      </c>
      <c r="E134" s="3" t="s">
        <v>59</v>
      </c>
      <c r="F134" s="12">
        <v>2072</v>
      </c>
      <c r="G134" s="12">
        <v>532</v>
      </c>
      <c r="H134" s="12">
        <v>71</v>
      </c>
      <c r="I134" s="12">
        <v>37296</v>
      </c>
      <c r="J134" s="12">
        <v>36467</v>
      </c>
      <c r="K134" s="12">
        <v>25</v>
      </c>
      <c r="L134" s="4" t="s">
        <v>30</v>
      </c>
      <c r="M134" s="5" t="s">
        <v>38</v>
      </c>
      <c r="N134" s="31">
        <f t="shared" si="2"/>
        <v>2675</v>
      </c>
      <c r="O134" s="32">
        <f>IFERROR((Table1[[#This Row],[Likes]]+Table1[[#This Row],[Shares]]+Table1[[#This Row],[Comments]])/Table1[[#This Row],[Impressions]], 0)</f>
        <v>7.172350922350923E-2</v>
      </c>
      <c r="P134" s="30" t="str" cm="1">
        <f t="array" ref="P134">IFERROR(INDEX('Campaign Metadata (2)'!$A$2:$A$10, MATCH(1, (C134&gt;='Campaign Metadata (2)'!$B$2:$B$10) * (C134&lt;='Campaign Metadata (2)'!$C$2:$C$10), 0)), "No Campaign")</f>
        <v>No Campaign</v>
      </c>
      <c r="Q134" s="33" t="e">
        <f>VLOOKUP(Table1[[#This Row],[Campaign_Name2]],Table3[#All],2,)</f>
        <v>#N/A</v>
      </c>
      <c r="R134" s="33" t="e">
        <f>VLOOKUP(Table1[[#This Row],[Campaign_Name2]],Table3[#All],3,FALSE)</f>
        <v>#N/A</v>
      </c>
      <c r="S134" s="30" t="e">
        <f>VLOOKUP(Table1[[#This Row],[Campaign_Name2]],Table3[],5,FALSE)</f>
        <v>#N/A</v>
      </c>
      <c r="T134" s="30">
        <f>IF(Table1[[#This Row],[Campaign_Name2]]="No Campaign", 0, Table1[[#This Row],[Budget]]/COUNTIF(Table1[Campaign_Name2],Table1[[#This Row],[Campaign_Name2]]))</f>
        <v>0</v>
      </c>
    </row>
    <row r="135" spans="1:20" ht="14.25" customHeight="1" x14ac:dyDescent="0.3">
      <c r="A135" s="3" t="s">
        <v>304</v>
      </c>
      <c r="B135" s="3" t="s">
        <v>14</v>
      </c>
      <c r="C135" s="11">
        <v>45771</v>
      </c>
      <c r="D135" s="3" t="s">
        <v>16</v>
      </c>
      <c r="E135" s="3" t="s">
        <v>17</v>
      </c>
      <c r="F135" s="12">
        <v>3731</v>
      </c>
      <c r="G135" s="12">
        <v>115</v>
      </c>
      <c r="H135" s="12">
        <v>135</v>
      </c>
      <c r="I135" s="12">
        <v>55965</v>
      </c>
      <c r="J135" s="12">
        <v>55436</v>
      </c>
      <c r="K135" s="12">
        <v>103</v>
      </c>
      <c r="L135" s="4" t="s">
        <v>30</v>
      </c>
      <c r="M135" s="5" t="s">
        <v>19</v>
      </c>
      <c r="N135" s="31">
        <f t="shared" si="2"/>
        <v>3981</v>
      </c>
      <c r="O135" s="32">
        <f>IFERROR((Table1[[#This Row],[Likes]]+Table1[[#This Row],[Shares]]+Table1[[#This Row],[Comments]])/Table1[[#This Row],[Impressions]], 0)</f>
        <v>7.1133744304476013E-2</v>
      </c>
      <c r="P135" s="30" t="str" cm="1">
        <f t="array" ref="P135">IFERROR(INDEX('Campaign Metadata (2)'!$A$2:$A$10, MATCH(1, (C135&gt;='Campaign Metadata (2)'!$B$2:$B$10) * (C135&lt;='Campaign Metadata (2)'!$C$2:$C$10), 0)), "No Campaign")</f>
        <v>No Campaign</v>
      </c>
      <c r="Q135" s="33" t="e">
        <f>VLOOKUP(Table1[[#This Row],[Campaign_Name2]],Table3[#All],2,)</f>
        <v>#N/A</v>
      </c>
      <c r="R135" s="33" t="e">
        <f>VLOOKUP(Table1[[#This Row],[Campaign_Name2]],Table3[#All],3,FALSE)</f>
        <v>#N/A</v>
      </c>
      <c r="S135" s="30" t="e">
        <f>VLOOKUP(Table1[[#This Row],[Campaign_Name2]],Table3[],5,FALSE)</f>
        <v>#N/A</v>
      </c>
      <c r="T135" s="30">
        <f>IF(Table1[[#This Row],[Campaign_Name2]]="No Campaign", 0, Table1[[#This Row],[Budget]]/COUNTIF(Table1[Campaign_Name2],Table1[[#This Row],[Campaign_Name2]]))</f>
        <v>0</v>
      </c>
    </row>
    <row r="136" spans="1:20" ht="14.25" customHeight="1" x14ac:dyDescent="0.3">
      <c r="A136" s="3" t="s">
        <v>306</v>
      </c>
      <c r="B136" s="3" t="s">
        <v>43</v>
      </c>
      <c r="C136" s="11">
        <v>45624</v>
      </c>
      <c r="D136" s="3" t="s">
        <v>22</v>
      </c>
      <c r="E136" s="3" t="s">
        <v>56</v>
      </c>
      <c r="F136" s="12">
        <v>4213</v>
      </c>
      <c r="G136" s="12">
        <v>253</v>
      </c>
      <c r="H136" s="12">
        <v>434</v>
      </c>
      <c r="I136" s="12">
        <v>75834</v>
      </c>
      <c r="J136" s="12">
        <v>75437</v>
      </c>
      <c r="K136" s="12">
        <v>272</v>
      </c>
      <c r="L136" s="4" t="s">
        <v>62</v>
      </c>
      <c r="M136" s="5" t="s">
        <v>38</v>
      </c>
      <c r="N136" s="31">
        <f t="shared" si="2"/>
        <v>4900</v>
      </c>
      <c r="O136" s="32">
        <f>IFERROR((Table1[[#This Row],[Likes]]+Table1[[#This Row],[Shares]]+Table1[[#This Row],[Comments]])/Table1[[#This Row],[Impressions]], 0)</f>
        <v>6.461481657304112E-2</v>
      </c>
      <c r="P136" s="30" t="str" cm="1">
        <f t="array" ref="P136">IFERROR(INDEX('Campaign Metadata (2)'!$A$2:$A$10, MATCH(1, (C136&gt;='Campaign Metadata (2)'!$B$2:$B$10) * (C136&lt;='Campaign Metadata (2)'!$C$2:$C$10), 0)), "No Campaign")</f>
        <v>No Campaign</v>
      </c>
      <c r="Q136" s="33" t="e">
        <f>VLOOKUP(Table1[[#This Row],[Campaign_Name2]],Table3[#All],2,)</f>
        <v>#N/A</v>
      </c>
      <c r="R136" s="33" t="e">
        <f>VLOOKUP(Table1[[#This Row],[Campaign_Name2]],Table3[#All],3,FALSE)</f>
        <v>#N/A</v>
      </c>
      <c r="S136" s="30" t="e">
        <f>VLOOKUP(Table1[[#This Row],[Campaign_Name2]],Table3[],5,FALSE)</f>
        <v>#N/A</v>
      </c>
      <c r="T136" s="30">
        <f>IF(Table1[[#This Row],[Campaign_Name2]]="No Campaign", 0, Table1[[#This Row],[Budget]]/COUNTIF(Table1[Campaign_Name2],Table1[[#This Row],[Campaign_Name2]]))</f>
        <v>0</v>
      </c>
    </row>
    <row r="137" spans="1:20" ht="14.25" customHeight="1" x14ac:dyDescent="0.3">
      <c r="A137" s="3" t="s">
        <v>308</v>
      </c>
      <c r="B137" s="3" t="s">
        <v>33</v>
      </c>
      <c r="C137" s="11">
        <v>45484</v>
      </c>
      <c r="D137" s="3" t="s">
        <v>22</v>
      </c>
      <c r="E137" s="3" t="s">
        <v>113</v>
      </c>
      <c r="F137" s="12">
        <v>3134</v>
      </c>
      <c r="G137" s="12">
        <v>888</v>
      </c>
      <c r="H137" s="12">
        <v>444</v>
      </c>
      <c r="I137" s="12">
        <v>21938</v>
      </c>
      <c r="J137" s="12">
        <v>21337</v>
      </c>
      <c r="K137" s="12">
        <v>130</v>
      </c>
      <c r="L137" s="4" t="s">
        <v>37</v>
      </c>
      <c r="M137" s="5" t="s">
        <v>38</v>
      </c>
      <c r="N137" s="31">
        <f t="shared" si="2"/>
        <v>4466</v>
      </c>
      <c r="O137" s="32">
        <f>IFERROR((Table1[[#This Row],[Likes]]+Table1[[#This Row],[Shares]]+Table1[[#This Row],[Comments]])/Table1[[#This Row],[Impressions]], 0)</f>
        <v>0.20357370772176134</v>
      </c>
      <c r="P137" s="30" t="str" cm="1">
        <f t="array" ref="P137">IFERROR(INDEX('Campaign Metadata (2)'!$A$2:$A$10, MATCH(1, (C137&gt;='Campaign Metadata (2)'!$B$2:$B$10) * (C137&lt;='Campaign Metadata (2)'!$C$2:$C$10), 0)), "No Campaign")</f>
        <v>SummerSplash</v>
      </c>
      <c r="Q137" s="33">
        <f>VLOOKUP(Table1[[#This Row],[Campaign_Name2]],Table3[#All],2,)</f>
        <v>45458</v>
      </c>
      <c r="R137" s="33">
        <f>VLOOKUP(Table1[[#This Row],[Campaign_Name2]],Table3[#All],3,FALSE)</f>
        <v>45488</v>
      </c>
      <c r="S137" s="30">
        <f>VLOOKUP(Table1[[#This Row],[Campaign_Name2]],Table3[],5,FALSE)</f>
        <v>150000</v>
      </c>
      <c r="T137" s="30">
        <f>IF(Table1[[#This Row],[Campaign_Name2]]="No Campaign", 0, Table1[[#This Row],[Budget]]/COUNTIF(Table1[Campaign_Name2],Table1[[#This Row],[Campaign_Name2]]))</f>
        <v>5555.5555555555557</v>
      </c>
    </row>
    <row r="138" spans="1:20" ht="14.25" customHeight="1" x14ac:dyDescent="0.3">
      <c r="A138" s="3" t="s">
        <v>310</v>
      </c>
      <c r="B138" s="3" t="s">
        <v>43</v>
      </c>
      <c r="C138" s="11">
        <v>45504</v>
      </c>
      <c r="D138" s="3" t="s">
        <v>74</v>
      </c>
      <c r="E138" s="3" t="s">
        <v>75</v>
      </c>
      <c r="F138" s="12">
        <v>3008</v>
      </c>
      <c r="G138" s="12">
        <v>94</v>
      </c>
      <c r="H138" s="12">
        <v>37</v>
      </c>
      <c r="I138" s="12">
        <v>15040</v>
      </c>
      <c r="J138" s="12">
        <v>14639</v>
      </c>
      <c r="K138" s="12">
        <v>277</v>
      </c>
      <c r="L138" s="4" t="s">
        <v>62</v>
      </c>
      <c r="M138" s="5"/>
      <c r="N138" s="31">
        <f t="shared" si="2"/>
        <v>3139</v>
      </c>
      <c r="O138" s="32">
        <f>IFERROR((Table1[[#This Row],[Likes]]+Table1[[#This Row],[Shares]]+Table1[[#This Row],[Comments]])/Table1[[#This Row],[Impressions]], 0)</f>
        <v>0.20871010638297871</v>
      </c>
      <c r="P138" s="30" t="str" cm="1">
        <f t="array" ref="P138">IFERROR(INDEX('Campaign Metadata (2)'!$A$2:$A$10, MATCH(1, (C138&gt;='Campaign Metadata (2)'!$B$2:$B$10) * (C138&lt;='Campaign Metadata (2)'!$C$2:$C$10), 0)), "No Campaign")</f>
        <v>No Campaign</v>
      </c>
      <c r="Q138" s="33" t="e">
        <f>VLOOKUP(Table1[[#This Row],[Campaign_Name2]],Table3[#All],2,)</f>
        <v>#N/A</v>
      </c>
      <c r="R138" s="33" t="e">
        <f>VLOOKUP(Table1[[#This Row],[Campaign_Name2]],Table3[#All],3,FALSE)</f>
        <v>#N/A</v>
      </c>
      <c r="S138" s="30" t="e">
        <f>VLOOKUP(Table1[[#This Row],[Campaign_Name2]],Table3[],5,FALSE)</f>
        <v>#N/A</v>
      </c>
      <c r="T138" s="30">
        <f>IF(Table1[[#This Row],[Campaign_Name2]]="No Campaign", 0, Table1[[#This Row],[Budget]]/COUNTIF(Table1[Campaign_Name2],Table1[[#This Row],[Campaign_Name2]]))</f>
        <v>0</v>
      </c>
    </row>
    <row r="139" spans="1:20" ht="14.25" customHeight="1" x14ac:dyDescent="0.3">
      <c r="A139" s="3" t="s">
        <v>311</v>
      </c>
      <c r="B139" s="3" t="s">
        <v>14</v>
      </c>
      <c r="C139" s="11">
        <v>45745</v>
      </c>
      <c r="D139" s="3" t="s">
        <v>52</v>
      </c>
      <c r="E139" s="3" t="s">
        <v>132</v>
      </c>
      <c r="F139" s="12">
        <v>305</v>
      </c>
      <c r="G139" s="12">
        <v>187</v>
      </c>
      <c r="H139" s="12">
        <v>243</v>
      </c>
      <c r="I139" s="12">
        <v>4575</v>
      </c>
      <c r="J139" s="12">
        <v>3704</v>
      </c>
      <c r="K139" s="12">
        <v>234</v>
      </c>
      <c r="L139" s="4" t="s">
        <v>62</v>
      </c>
      <c r="M139" s="5" t="s">
        <v>31</v>
      </c>
      <c r="N139" s="31">
        <f t="shared" si="2"/>
        <v>735</v>
      </c>
      <c r="O139" s="32">
        <f>IFERROR((Table1[[#This Row],[Likes]]+Table1[[#This Row],[Shares]]+Table1[[#This Row],[Comments]])/Table1[[#This Row],[Impressions]], 0)</f>
        <v>0.16065573770491803</v>
      </c>
      <c r="P139" s="30" t="str" cm="1">
        <f t="array" ref="P139">IFERROR(INDEX('Campaign Metadata (2)'!$A$2:$A$10, MATCH(1, (C139&gt;='Campaign Metadata (2)'!$B$2:$B$10) * (C139&lt;='Campaign Metadata (2)'!$C$2:$C$10), 0)), "No Campaign")</f>
        <v>DailyWellness</v>
      </c>
      <c r="Q139" s="33">
        <f>VLOOKUP(Table1[[#This Row],[Campaign_Name2]],Table3[#All],2,)</f>
        <v>45717</v>
      </c>
      <c r="R139" s="33">
        <f>VLOOKUP(Table1[[#This Row],[Campaign_Name2]],Table3[#All],3,FALSE)</f>
        <v>45747</v>
      </c>
      <c r="S139" s="30">
        <f>VLOOKUP(Table1[[#This Row],[Campaign_Name2]],Table3[],5,FALSE)</f>
        <v>180000</v>
      </c>
      <c r="T139" s="30">
        <f>IF(Table1[[#This Row],[Campaign_Name2]]="No Campaign", 0, Table1[[#This Row],[Budget]]/COUNTIF(Table1[Campaign_Name2],Table1[[#This Row],[Campaign_Name2]]))</f>
        <v>5625</v>
      </c>
    </row>
    <row r="140" spans="1:20" ht="14.25" customHeight="1" x14ac:dyDescent="0.3">
      <c r="A140" s="3" t="s">
        <v>312</v>
      </c>
      <c r="B140" s="3" t="s">
        <v>27</v>
      </c>
      <c r="C140" s="11">
        <v>45594</v>
      </c>
      <c r="D140" s="3" t="s">
        <v>22</v>
      </c>
      <c r="E140" s="3" t="s">
        <v>104</v>
      </c>
      <c r="F140" s="12">
        <v>2746</v>
      </c>
      <c r="G140" s="12">
        <v>156</v>
      </c>
      <c r="H140" s="12">
        <v>203</v>
      </c>
      <c r="I140" s="12">
        <v>32952</v>
      </c>
      <c r="J140" s="12">
        <v>32147</v>
      </c>
      <c r="K140" s="12">
        <v>147</v>
      </c>
      <c r="L140" s="4" t="s">
        <v>37</v>
      </c>
      <c r="M140" s="5" t="s">
        <v>19</v>
      </c>
      <c r="N140" s="31">
        <f t="shared" si="2"/>
        <v>3105</v>
      </c>
      <c r="O140" s="32">
        <f>IFERROR((Table1[[#This Row],[Likes]]+Table1[[#This Row],[Shares]]+Table1[[#This Row],[Comments]])/Table1[[#This Row],[Impressions]], 0)</f>
        <v>9.422796795338674E-2</v>
      </c>
      <c r="P140" s="30" t="str" cm="1">
        <f t="array" ref="P140">IFERROR(INDEX('Campaign Metadata (2)'!$A$2:$A$10, MATCH(1, (C140&gt;='Campaign Metadata (2)'!$B$2:$B$10) * (C140&lt;='Campaign Metadata (2)'!$C$2:$C$10), 0)), "No Campaign")</f>
        <v>FestiveRadiance</v>
      </c>
      <c r="Q140" s="33">
        <f>VLOOKUP(Table1[[#This Row],[Campaign_Name2]],Table3[#All],2,)</f>
        <v>45566</v>
      </c>
      <c r="R140" s="33">
        <f>VLOOKUP(Table1[[#This Row],[Campaign_Name2]],Table3[#All],3,FALSE)</f>
        <v>45596</v>
      </c>
      <c r="S140" s="30">
        <f>VLOOKUP(Table1[[#This Row],[Campaign_Name2]],Table3[],5,FALSE)</f>
        <v>200000</v>
      </c>
      <c r="T140" s="30">
        <f>IF(Table1[[#This Row],[Campaign_Name2]]="No Campaign", 0, Table1[[#This Row],[Budget]]/COUNTIF(Table1[Campaign_Name2],Table1[[#This Row],[Campaign_Name2]]))</f>
        <v>5714.2857142857147</v>
      </c>
    </row>
    <row r="141" spans="1:20" ht="14.25" customHeight="1" x14ac:dyDescent="0.3">
      <c r="A141" s="3" t="s">
        <v>314</v>
      </c>
      <c r="B141" s="3" t="s">
        <v>43</v>
      </c>
      <c r="C141" s="11">
        <v>45488</v>
      </c>
      <c r="D141" s="3" t="s">
        <v>52</v>
      </c>
      <c r="E141" s="3" t="s">
        <v>59</v>
      </c>
      <c r="F141" s="12">
        <v>2291</v>
      </c>
      <c r="G141" s="12">
        <v>78</v>
      </c>
      <c r="H141" s="12">
        <v>485</v>
      </c>
      <c r="I141" s="12">
        <v>18328</v>
      </c>
      <c r="J141" s="12">
        <v>18101</v>
      </c>
      <c r="K141" s="12">
        <v>10</v>
      </c>
      <c r="L141" s="4" t="s">
        <v>316</v>
      </c>
      <c r="M141" s="5" t="s">
        <v>25</v>
      </c>
      <c r="N141" s="31">
        <f t="shared" si="2"/>
        <v>2854</v>
      </c>
      <c r="O141" s="32">
        <f>IFERROR((Table1[[#This Row],[Likes]]+Table1[[#This Row],[Shares]]+Table1[[#This Row],[Comments]])/Table1[[#This Row],[Impressions]], 0)</f>
        <v>0.15571802706241816</v>
      </c>
      <c r="P141" s="30" t="str" cm="1">
        <f t="array" ref="P141">IFERROR(INDEX('Campaign Metadata (2)'!$A$2:$A$10, MATCH(1, (C141&gt;='Campaign Metadata (2)'!$B$2:$B$10) * (C141&lt;='Campaign Metadata (2)'!$C$2:$C$10), 0)), "No Campaign")</f>
        <v>SummerSplash</v>
      </c>
      <c r="Q141" s="33">
        <f>VLOOKUP(Table1[[#This Row],[Campaign_Name2]],Table3[#All],2,)</f>
        <v>45458</v>
      </c>
      <c r="R141" s="33">
        <f>VLOOKUP(Table1[[#This Row],[Campaign_Name2]],Table3[#All],3,FALSE)</f>
        <v>45488</v>
      </c>
      <c r="S141" s="30">
        <f>VLOOKUP(Table1[[#This Row],[Campaign_Name2]],Table3[],5,FALSE)</f>
        <v>150000</v>
      </c>
      <c r="T141" s="30">
        <f>IF(Table1[[#This Row],[Campaign_Name2]]="No Campaign", 0, Table1[[#This Row],[Budget]]/COUNTIF(Table1[Campaign_Name2],Table1[[#This Row],[Campaign_Name2]]))</f>
        <v>5555.5555555555557</v>
      </c>
    </row>
    <row r="142" spans="1:20" ht="14.25" customHeight="1" x14ac:dyDescent="0.3">
      <c r="A142" s="3" t="s">
        <v>317</v>
      </c>
      <c r="B142" s="3" t="s">
        <v>14</v>
      </c>
      <c r="C142" s="11">
        <v>45535</v>
      </c>
      <c r="D142" s="3" t="s">
        <v>52</v>
      </c>
      <c r="E142" s="3" t="s">
        <v>132</v>
      </c>
      <c r="F142" s="12">
        <v>3170</v>
      </c>
      <c r="G142" s="12">
        <v>857</v>
      </c>
      <c r="H142" s="12">
        <v>379</v>
      </c>
      <c r="I142" s="12">
        <v>19020</v>
      </c>
      <c r="J142" s="12">
        <v>18559</v>
      </c>
      <c r="K142" s="12">
        <v>240</v>
      </c>
      <c r="L142" s="4" t="s">
        <v>62</v>
      </c>
      <c r="M142" s="5"/>
      <c r="N142" s="31">
        <f t="shared" si="2"/>
        <v>4406</v>
      </c>
      <c r="O142" s="32">
        <f>IFERROR((Table1[[#This Row],[Likes]]+Table1[[#This Row],[Shares]]+Table1[[#This Row],[Comments]])/Table1[[#This Row],[Impressions]], 0)</f>
        <v>0.2316508937960042</v>
      </c>
      <c r="P142" s="30" t="str" cm="1">
        <f t="array" ref="P142">IFERROR(INDEX('Campaign Metadata (2)'!$A$2:$A$10, MATCH(1, (C142&gt;='Campaign Metadata (2)'!$B$2:$B$10) * (C142&lt;='Campaign Metadata (2)'!$C$2:$C$10), 0)), "No Campaign")</f>
        <v>No Campaign</v>
      </c>
      <c r="Q142" s="33" t="e">
        <f>VLOOKUP(Table1[[#This Row],[Campaign_Name2]],Table3[#All],2,)</f>
        <v>#N/A</v>
      </c>
      <c r="R142" s="33" t="e">
        <f>VLOOKUP(Table1[[#This Row],[Campaign_Name2]],Table3[#All],3,FALSE)</f>
        <v>#N/A</v>
      </c>
      <c r="S142" s="30" t="e">
        <f>VLOOKUP(Table1[[#This Row],[Campaign_Name2]],Table3[],5,FALSE)</f>
        <v>#N/A</v>
      </c>
      <c r="T142" s="30">
        <f>IF(Table1[[#This Row],[Campaign_Name2]]="No Campaign", 0, Table1[[#This Row],[Budget]]/COUNTIF(Table1[Campaign_Name2],Table1[[#This Row],[Campaign_Name2]]))</f>
        <v>0</v>
      </c>
    </row>
    <row r="143" spans="1:20" ht="14.25" customHeight="1" x14ac:dyDescent="0.3">
      <c r="A143" s="3" t="s">
        <v>319</v>
      </c>
      <c r="B143" s="3" t="s">
        <v>27</v>
      </c>
      <c r="C143" s="11">
        <v>45741</v>
      </c>
      <c r="D143" s="3" t="s">
        <v>35</v>
      </c>
      <c r="E143" s="3" t="s">
        <v>154</v>
      </c>
      <c r="F143" s="12">
        <v>2070</v>
      </c>
      <c r="G143" s="12">
        <v>275</v>
      </c>
      <c r="H143" s="12">
        <v>386</v>
      </c>
      <c r="I143" s="12">
        <v>39330</v>
      </c>
      <c r="J143" s="12">
        <v>38627</v>
      </c>
      <c r="K143" s="12">
        <v>114</v>
      </c>
      <c r="L143" s="4" t="s">
        <v>62</v>
      </c>
      <c r="M143" s="5" t="s">
        <v>38</v>
      </c>
      <c r="N143" s="31">
        <f t="shared" si="2"/>
        <v>2731</v>
      </c>
      <c r="O143" s="32">
        <f>IFERROR((Table1[[#This Row],[Likes]]+Table1[[#This Row],[Shares]]+Table1[[#This Row],[Comments]])/Table1[[#This Row],[Impressions]], 0)</f>
        <v>6.9438087973557078E-2</v>
      </c>
      <c r="P143" s="30" t="str" cm="1">
        <f t="array" ref="P143">IFERROR(INDEX('Campaign Metadata (2)'!$A$2:$A$10, MATCH(1, (C143&gt;='Campaign Metadata (2)'!$B$2:$B$10) * (C143&lt;='Campaign Metadata (2)'!$C$2:$C$10), 0)), "No Campaign")</f>
        <v>DailyWellness</v>
      </c>
      <c r="Q143" s="33">
        <f>VLOOKUP(Table1[[#This Row],[Campaign_Name2]],Table3[#All],2,)</f>
        <v>45717</v>
      </c>
      <c r="R143" s="33">
        <f>VLOOKUP(Table1[[#This Row],[Campaign_Name2]],Table3[#All],3,FALSE)</f>
        <v>45747</v>
      </c>
      <c r="S143" s="30">
        <f>VLOOKUP(Table1[[#This Row],[Campaign_Name2]],Table3[],5,FALSE)</f>
        <v>180000</v>
      </c>
      <c r="T143" s="30">
        <f>IF(Table1[[#This Row],[Campaign_Name2]]="No Campaign", 0, Table1[[#This Row],[Budget]]/COUNTIF(Table1[Campaign_Name2],Table1[[#This Row],[Campaign_Name2]]))</f>
        <v>5625</v>
      </c>
    </row>
    <row r="144" spans="1:20" ht="14.25" customHeight="1" x14ac:dyDescent="0.3">
      <c r="A144" s="3" t="s">
        <v>320</v>
      </c>
      <c r="B144" s="3" t="s">
        <v>27</v>
      </c>
      <c r="C144" s="11">
        <v>45567</v>
      </c>
      <c r="D144" s="3" t="s">
        <v>45</v>
      </c>
      <c r="E144" s="3" t="s">
        <v>68</v>
      </c>
      <c r="F144" s="12">
        <v>80</v>
      </c>
      <c r="G144" s="12">
        <v>362</v>
      </c>
      <c r="H144" s="12">
        <v>80</v>
      </c>
      <c r="I144" s="12">
        <v>1040</v>
      </c>
      <c r="J144" s="12">
        <v>349</v>
      </c>
      <c r="K144" s="12">
        <v>117</v>
      </c>
      <c r="L144" s="4" t="s">
        <v>30</v>
      </c>
      <c r="M144" s="5" t="s">
        <v>31</v>
      </c>
      <c r="N144" s="31">
        <f t="shared" si="2"/>
        <v>522</v>
      </c>
      <c r="O144" s="32">
        <f>IFERROR((Table1[[#This Row],[Likes]]+Table1[[#This Row],[Shares]]+Table1[[#This Row],[Comments]])/Table1[[#This Row],[Impressions]], 0)</f>
        <v>0.50192307692307692</v>
      </c>
      <c r="P144" s="30" t="str" cm="1">
        <f t="array" ref="P144">IFERROR(INDEX('Campaign Metadata (2)'!$A$2:$A$10, MATCH(1, (C144&gt;='Campaign Metadata (2)'!$B$2:$B$10) * (C144&lt;='Campaign Metadata (2)'!$C$2:$C$10), 0)), "No Campaign")</f>
        <v>FestiveRadiance</v>
      </c>
      <c r="Q144" s="33">
        <f>VLOOKUP(Table1[[#This Row],[Campaign_Name2]],Table3[#All],2,)</f>
        <v>45566</v>
      </c>
      <c r="R144" s="33">
        <f>VLOOKUP(Table1[[#This Row],[Campaign_Name2]],Table3[#All],3,FALSE)</f>
        <v>45596</v>
      </c>
      <c r="S144" s="30">
        <f>VLOOKUP(Table1[[#This Row],[Campaign_Name2]],Table3[],5,FALSE)</f>
        <v>200000</v>
      </c>
      <c r="T144" s="30">
        <f>IF(Table1[[#This Row],[Campaign_Name2]]="No Campaign", 0, Table1[[#This Row],[Budget]]/COUNTIF(Table1[Campaign_Name2],Table1[[#This Row],[Campaign_Name2]]))</f>
        <v>5714.2857142857147</v>
      </c>
    </row>
    <row r="145" spans="1:20" ht="14.25" customHeight="1" x14ac:dyDescent="0.3">
      <c r="A145" s="3" t="s">
        <v>321</v>
      </c>
      <c r="B145" s="3" t="s">
        <v>27</v>
      </c>
      <c r="C145" s="11">
        <v>45593</v>
      </c>
      <c r="D145" s="3" t="s">
        <v>35</v>
      </c>
      <c r="E145" s="3" t="s">
        <v>154</v>
      </c>
      <c r="F145" s="12">
        <v>4929</v>
      </c>
      <c r="G145" s="12">
        <v>749</v>
      </c>
      <c r="H145" s="12">
        <v>452</v>
      </c>
      <c r="I145" s="12">
        <v>93651</v>
      </c>
      <c r="J145" s="12">
        <v>92810</v>
      </c>
      <c r="K145" s="12">
        <v>66</v>
      </c>
      <c r="L145" s="4" t="s">
        <v>37</v>
      </c>
      <c r="M145" s="5" t="s">
        <v>38</v>
      </c>
      <c r="N145" s="31">
        <f t="shared" si="2"/>
        <v>6130</v>
      </c>
      <c r="O145" s="32">
        <f>IFERROR((Table1[[#This Row],[Likes]]+Table1[[#This Row],[Shares]]+Table1[[#This Row],[Comments]])/Table1[[#This Row],[Impressions]], 0)</f>
        <v>6.5455787978772245E-2</v>
      </c>
      <c r="P145" s="30" t="str" cm="1">
        <f t="array" ref="P145">IFERROR(INDEX('Campaign Metadata (2)'!$A$2:$A$10, MATCH(1, (C145&gt;='Campaign Metadata (2)'!$B$2:$B$10) * (C145&lt;='Campaign Metadata (2)'!$C$2:$C$10), 0)), "No Campaign")</f>
        <v>FestiveRadiance</v>
      </c>
      <c r="Q145" s="33">
        <f>VLOOKUP(Table1[[#This Row],[Campaign_Name2]],Table3[#All],2,)</f>
        <v>45566</v>
      </c>
      <c r="R145" s="33">
        <f>VLOOKUP(Table1[[#This Row],[Campaign_Name2]],Table3[#All],3,FALSE)</f>
        <v>45596</v>
      </c>
      <c r="S145" s="30">
        <f>VLOOKUP(Table1[[#This Row],[Campaign_Name2]],Table3[],5,FALSE)</f>
        <v>200000</v>
      </c>
      <c r="T145" s="30">
        <f>IF(Table1[[#This Row],[Campaign_Name2]]="No Campaign", 0, Table1[[#This Row],[Budget]]/COUNTIF(Table1[Campaign_Name2],Table1[[#This Row],[Campaign_Name2]]))</f>
        <v>5714.2857142857147</v>
      </c>
    </row>
    <row r="146" spans="1:20" ht="14.25" customHeight="1" x14ac:dyDescent="0.3">
      <c r="A146" s="3" t="s">
        <v>322</v>
      </c>
      <c r="B146" s="3" t="s">
        <v>33</v>
      </c>
      <c r="C146" s="11">
        <v>45516</v>
      </c>
      <c r="D146" s="3" t="s">
        <v>45</v>
      </c>
      <c r="E146" s="3" t="s">
        <v>88</v>
      </c>
      <c r="F146" s="12">
        <v>1878</v>
      </c>
      <c r="G146" s="12">
        <v>62</v>
      </c>
      <c r="H146" s="12">
        <v>179</v>
      </c>
      <c r="I146" s="12">
        <v>37560</v>
      </c>
      <c r="J146" s="12">
        <v>36874</v>
      </c>
      <c r="K146" s="12">
        <v>142</v>
      </c>
      <c r="L146" s="4" t="s">
        <v>30</v>
      </c>
      <c r="M146" s="5" t="s">
        <v>38</v>
      </c>
      <c r="N146" s="31">
        <f t="shared" si="2"/>
        <v>2119</v>
      </c>
      <c r="O146" s="32">
        <f>IFERROR((Table1[[#This Row],[Likes]]+Table1[[#This Row],[Shares]]+Table1[[#This Row],[Comments]])/Table1[[#This Row],[Impressions]], 0)</f>
        <v>5.6416400425985093E-2</v>
      </c>
      <c r="P146" s="30" t="str" cm="1">
        <f t="array" ref="P146">IFERROR(INDEX('Campaign Metadata (2)'!$A$2:$A$10, MATCH(1, (C146&gt;='Campaign Metadata (2)'!$B$2:$B$10) * (C146&lt;='Campaign Metadata (2)'!$C$2:$C$10), 0)), "No Campaign")</f>
        <v>No Campaign</v>
      </c>
      <c r="Q146" s="33" t="e">
        <f>VLOOKUP(Table1[[#This Row],[Campaign_Name2]],Table3[#All],2,)</f>
        <v>#N/A</v>
      </c>
      <c r="R146" s="33" t="e">
        <f>VLOOKUP(Table1[[#This Row],[Campaign_Name2]],Table3[#All],3,FALSE)</f>
        <v>#N/A</v>
      </c>
      <c r="S146" s="30" t="e">
        <f>VLOOKUP(Table1[[#This Row],[Campaign_Name2]],Table3[],5,FALSE)</f>
        <v>#N/A</v>
      </c>
      <c r="T146" s="30">
        <f>IF(Table1[[#This Row],[Campaign_Name2]]="No Campaign", 0, Table1[[#This Row],[Budget]]/COUNTIF(Table1[Campaign_Name2],Table1[[#This Row],[Campaign_Name2]]))</f>
        <v>0</v>
      </c>
    </row>
    <row r="147" spans="1:20" ht="14.25" customHeight="1" x14ac:dyDescent="0.3">
      <c r="A147" s="3" t="s">
        <v>323</v>
      </c>
      <c r="B147" s="3" t="s">
        <v>27</v>
      </c>
      <c r="C147" s="11">
        <v>45448</v>
      </c>
      <c r="D147" s="3" t="s">
        <v>16</v>
      </c>
      <c r="E147" s="3" t="s">
        <v>29</v>
      </c>
      <c r="F147" s="12">
        <v>3065</v>
      </c>
      <c r="G147" s="12">
        <v>772</v>
      </c>
      <c r="H147" s="12">
        <v>142</v>
      </c>
      <c r="I147" s="12">
        <v>18390</v>
      </c>
      <c r="J147" s="12">
        <v>17875</v>
      </c>
      <c r="K147" s="12">
        <v>200</v>
      </c>
      <c r="L147" s="4" t="s">
        <v>325</v>
      </c>
      <c r="M147" s="5"/>
      <c r="N147" s="31">
        <f t="shared" si="2"/>
        <v>3979</v>
      </c>
      <c r="O147" s="32">
        <f>IFERROR((Table1[[#This Row],[Likes]]+Table1[[#This Row],[Shares]]+Table1[[#This Row],[Comments]])/Table1[[#This Row],[Impressions]], 0)</f>
        <v>0.21636759108210984</v>
      </c>
      <c r="P147" s="30" t="str" cm="1">
        <f t="array" ref="P147">IFERROR(INDEX('Campaign Metadata (2)'!$A$2:$A$10, MATCH(1, (C147&gt;='Campaign Metadata (2)'!$B$2:$B$10) * (C147&lt;='Campaign Metadata (2)'!$C$2:$C$10), 0)), "No Campaign")</f>
        <v>No Campaign</v>
      </c>
      <c r="Q147" s="33" t="e">
        <f>VLOOKUP(Table1[[#This Row],[Campaign_Name2]],Table3[#All],2,)</f>
        <v>#N/A</v>
      </c>
      <c r="R147" s="33" t="e">
        <f>VLOOKUP(Table1[[#This Row],[Campaign_Name2]],Table3[#All],3,FALSE)</f>
        <v>#N/A</v>
      </c>
      <c r="S147" s="30" t="e">
        <f>VLOOKUP(Table1[[#This Row],[Campaign_Name2]],Table3[],5,FALSE)</f>
        <v>#N/A</v>
      </c>
      <c r="T147" s="30">
        <f>IF(Table1[[#This Row],[Campaign_Name2]]="No Campaign", 0, Table1[[#This Row],[Budget]]/COUNTIF(Table1[Campaign_Name2],Table1[[#This Row],[Campaign_Name2]]))</f>
        <v>0</v>
      </c>
    </row>
    <row r="148" spans="1:20" ht="14.25" customHeight="1" x14ac:dyDescent="0.3">
      <c r="A148" s="3" t="s">
        <v>326</v>
      </c>
      <c r="B148" s="3" t="s">
        <v>33</v>
      </c>
      <c r="C148" s="11">
        <v>45586</v>
      </c>
      <c r="D148" s="3" t="s">
        <v>16</v>
      </c>
      <c r="E148" s="3" t="s">
        <v>82</v>
      </c>
      <c r="F148" s="12">
        <v>3256</v>
      </c>
      <c r="G148" s="12">
        <v>459</v>
      </c>
      <c r="H148" s="12">
        <v>266</v>
      </c>
      <c r="I148" s="12">
        <v>26048</v>
      </c>
      <c r="J148" s="12">
        <v>25529</v>
      </c>
      <c r="K148" s="12">
        <v>143</v>
      </c>
      <c r="L148" s="4" t="s">
        <v>30</v>
      </c>
      <c r="M148" s="5" t="s">
        <v>25</v>
      </c>
      <c r="N148" s="31">
        <f t="shared" si="2"/>
        <v>3981</v>
      </c>
      <c r="O148" s="32">
        <f>IFERROR((Table1[[#This Row],[Likes]]+Table1[[#This Row],[Shares]]+Table1[[#This Row],[Comments]])/Table1[[#This Row],[Impressions]], 0)</f>
        <v>0.15283323095823095</v>
      </c>
      <c r="P148" s="30" t="str" cm="1">
        <f t="array" ref="P148">IFERROR(INDEX('Campaign Metadata (2)'!$A$2:$A$10, MATCH(1, (C148&gt;='Campaign Metadata (2)'!$B$2:$B$10) * (C148&lt;='Campaign Metadata (2)'!$C$2:$C$10), 0)), "No Campaign")</f>
        <v>FestiveRadiance</v>
      </c>
      <c r="Q148" s="33">
        <f>VLOOKUP(Table1[[#This Row],[Campaign_Name2]],Table3[#All],2,)</f>
        <v>45566</v>
      </c>
      <c r="R148" s="33">
        <f>VLOOKUP(Table1[[#This Row],[Campaign_Name2]],Table3[#All],3,FALSE)</f>
        <v>45596</v>
      </c>
      <c r="S148" s="30">
        <f>VLOOKUP(Table1[[#This Row],[Campaign_Name2]],Table3[],5,FALSE)</f>
        <v>200000</v>
      </c>
      <c r="T148" s="30">
        <f>IF(Table1[[#This Row],[Campaign_Name2]]="No Campaign", 0, Table1[[#This Row],[Budget]]/COUNTIF(Table1[Campaign_Name2],Table1[[#This Row],[Campaign_Name2]]))</f>
        <v>5714.2857142857147</v>
      </c>
    </row>
    <row r="149" spans="1:20" ht="14.25" customHeight="1" x14ac:dyDescent="0.3">
      <c r="A149" s="3" t="s">
        <v>327</v>
      </c>
      <c r="B149" s="3" t="s">
        <v>33</v>
      </c>
      <c r="C149" s="11">
        <v>45762</v>
      </c>
      <c r="D149" s="3" t="s">
        <v>74</v>
      </c>
      <c r="E149" s="3" t="s">
        <v>85</v>
      </c>
      <c r="F149" s="12">
        <v>4133</v>
      </c>
      <c r="G149" s="12">
        <v>466</v>
      </c>
      <c r="H149" s="12">
        <v>327</v>
      </c>
      <c r="I149" s="12">
        <v>24798</v>
      </c>
      <c r="J149" s="12">
        <v>24620</v>
      </c>
      <c r="K149" s="12">
        <v>176</v>
      </c>
      <c r="L149" s="4" t="s">
        <v>37</v>
      </c>
      <c r="M149" s="5" t="s">
        <v>38</v>
      </c>
      <c r="N149" s="31">
        <f t="shared" si="2"/>
        <v>4926</v>
      </c>
      <c r="O149" s="32">
        <f>IFERROR((Table1[[#This Row],[Likes]]+Table1[[#This Row],[Shares]]+Table1[[#This Row],[Comments]])/Table1[[#This Row],[Impressions]], 0)</f>
        <v>0.19864505202032423</v>
      </c>
      <c r="P149" s="30" t="str" cm="1">
        <f t="array" ref="P149">IFERROR(INDEX('Campaign Metadata (2)'!$A$2:$A$10, MATCH(1, (C149&gt;='Campaign Metadata (2)'!$B$2:$B$10) * (C149&lt;='Campaign Metadata (2)'!$C$2:$C$10), 0)), "No Campaign")</f>
        <v>No Campaign</v>
      </c>
      <c r="Q149" s="33" t="e">
        <f>VLOOKUP(Table1[[#This Row],[Campaign_Name2]],Table3[#All],2,)</f>
        <v>#N/A</v>
      </c>
      <c r="R149" s="33" t="e">
        <f>VLOOKUP(Table1[[#This Row],[Campaign_Name2]],Table3[#All],3,FALSE)</f>
        <v>#N/A</v>
      </c>
      <c r="S149" s="30" t="e">
        <f>VLOOKUP(Table1[[#This Row],[Campaign_Name2]],Table3[],5,FALSE)</f>
        <v>#N/A</v>
      </c>
      <c r="T149" s="30">
        <f>IF(Table1[[#This Row],[Campaign_Name2]]="No Campaign", 0, Table1[[#This Row],[Budget]]/COUNTIF(Table1[Campaign_Name2],Table1[[#This Row],[Campaign_Name2]]))</f>
        <v>0</v>
      </c>
    </row>
    <row r="150" spans="1:20" ht="14.25" customHeight="1" x14ac:dyDescent="0.3">
      <c r="A150" s="3" t="s">
        <v>328</v>
      </c>
      <c r="B150" s="3" t="s">
        <v>14</v>
      </c>
      <c r="C150" s="11">
        <v>45459</v>
      </c>
      <c r="D150" s="3" t="s">
        <v>74</v>
      </c>
      <c r="E150" s="3" t="s">
        <v>145</v>
      </c>
      <c r="F150" s="12">
        <v>1702</v>
      </c>
      <c r="G150" s="12">
        <v>750</v>
      </c>
      <c r="H150" s="12">
        <v>179</v>
      </c>
      <c r="I150" s="12">
        <v>34040</v>
      </c>
      <c r="J150" s="12">
        <v>33174</v>
      </c>
      <c r="K150" s="12">
        <v>76</v>
      </c>
      <c r="L150" s="4" t="s">
        <v>37</v>
      </c>
      <c r="M150" s="5" t="s">
        <v>19</v>
      </c>
      <c r="N150" s="31">
        <f t="shared" si="2"/>
        <v>2631</v>
      </c>
      <c r="O150" s="32">
        <f>IFERROR((Table1[[#This Row],[Likes]]+Table1[[#This Row],[Shares]]+Table1[[#This Row],[Comments]])/Table1[[#This Row],[Impressions]], 0)</f>
        <v>7.7291421856639245E-2</v>
      </c>
      <c r="P150" s="30" t="str" cm="1">
        <f t="array" ref="P150">IFERROR(INDEX('Campaign Metadata (2)'!$A$2:$A$10, MATCH(1, (C150&gt;='Campaign Metadata (2)'!$B$2:$B$10) * (C150&lt;='Campaign Metadata (2)'!$C$2:$C$10), 0)), "No Campaign")</f>
        <v>SummerSplash</v>
      </c>
      <c r="Q150" s="33">
        <f>VLOOKUP(Table1[[#This Row],[Campaign_Name2]],Table3[#All],2,)</f>
        <v>45458</v>
      </c>
      <c r="R150" s="33">
        <f>VLOOKUP(Table1[[#This Row],[Campaign_Name2]],Table3[#All],3,FALSE)</f>
        <v>45488</v>
      </c>
      <c r="S150" s="30">
        <f>VLOOKUP(Table1[[#This Row],[Campaign_Name2]],Table3[],5,FALSE)</f>
        <v>150000</v>
      </c>
      <c r="T150" s="30">
        <f>IF(Table1[[#This Row],[Campaign_Name2]]="No Campaign", 0, Table1[[#This Row],[Budget]]/COUNTIF(Table1[Campaign_Name2],Table1[[#This Row],[Campaign_Name2]]))</f>
        <v>5555.5555555555557</v>
      </c>
    </row>
    <row r="151" spans="1:20" ht="14.25" customHeight="1" x14ac:dyDescent="0.3">
      <c r="A151" s="3" t="s">
        <v>330</v>
      </c>
      <c r="B151" s="3" t="s">
        <v>27</v>
      </c>
      <c r="C151" s="11">
        <v>45526</v>
      </c>
      <c r="D151" s="3" t="s">
        <v>45</v>
      </c>
      <c r="E151" s="3" t="s">
        <v>68</v>
      </c>
      <c r="F151" s="12">
        <v>4295</v>
      </c>
      <c r="G151" s="12">
        <v>853</v>
      </c>
      <c r="H151" s="12">
        <v>325</v>
      </c>
      <c r="I151" s="12">
        <v>85900</v>
      </c>
      <c r="J151" s="12">
        <v>85788</v>
      </c>
      <c r="K151" s="12">
        <v>290</v>
      </c>
      <c r="L151" s="4" t="s">
        <v>30</v>
      </c>
      <c r="M151" s="5" t="s">
        <v>38</v>
      </c>
      <c r="N151" s="31">
        <f t="shared" si="2"/>
        <v>5473</v>
      </c>
      <c r="O151" s="32">
        <f>IFERROR((Table1[[#This Row],[Likes]]+Table1[[#This Row],[Shares]]+Table1[[#This Row],[Comments]])/Table1[[#This Row],[Impressions]], 0)</f>
        <v>6.3713620488940623E-2</v>
      </c>
      <c r="P151" s="30" t="str" cm="1">
        <f t="array" ref="P151">IFERROR(INDEX('Campaign Metadata (2)'!$A$2:$A$10, MATCH(1, (C151&gt;='Campaign Metadata (2)'!$B$2:$B$10) * (C151&lt;='Campaign Metadata (2)'!$C$2:$C$10), 0)), "No Campaign")</f>
        <v>No Campaign</v>
      </c>
      <c r="Q151" s="33" t="e">
        <f>VLOOKUP(Table1[[#This Row],[Campaign_Name2]],Table3[#All],2,)</f>
        <v>#N/A</v>
      </c>
      <c r="R151" s="33" t="e">
        <f>VLOOKUP(Table1[[#This Row],[Campaign_Name2]],Table3[#All],3,FALSE)</f>
        <v>#N/A</v>
      </c>
      <c r="S151" s="30" t="e">
        <f>VLOOKUP(Table1[[#This Row],[Campaign_Name2]],Table3[],5,FALSE)</f>
        <v>#N/A</v>
      </c>
      <c r="T151" s="30">
        <f>IF(Table1[[#This Row],[Campaign_Name2]]="No Campaign", 0, Table1[[#This Row],[Budget]]/COUNTIF(Table1[Campaign_Name2],Table1[[#This Row],[Campaign_Name2]]))</f>
        <v>0</v>
      </c>
    </row>
    <row r="152" spans="1:20" ht="14.25" customHeight="1" x14ac:dyDescent="0.3">
      <c r="A152" s="3" t="s">
        <v>332</v>
      </c>
      <c r="B152" s="3" t="s">
        <v>33</v>
      </c>
      <c r="C152" s="11">
        <v>45499</v>
      </c>
      <c r="D152" s="3" t="s">
        <v>52</v>
      </c>
      <c r="E152" s="3" t="s">
        <v>215</v>
      </c>
      <c r="F152" s="12">
        <v>3559</v>
      </c>
      <c r="G152" s="12">
        <v>59</v>
      </c>
      <c r="H152" s="12">
        <v>289</v>
      </c>
      <c r="I152" s="12">
        <v>35590</v>
      </c>
      <c r="J152" s="12">
        <v>35105</v>
      </c>
      <c r="K152" s="12">
        <v>122</v>
      </c>
      <c r="L152" s="4" t="s">
        <v>37</v>
      </c>
      <c r="M152" s="5" t="s">
        <v>19</v>
      </c>
      <c r="N152" s="31">
        <f t="shared" si="2"/>
        <v>3907</v>
      </c>
      <c r="O152" s="32">
        <f>IFERROR((Table1[[#This Row],[Likes]]+Table1[[#This Row],[Shares]]+Table1[[#This Row],[Comments]])/Table1[[#This Row],[Impressions]], 0)</f>
        <v>0.10977802753582468</v>
      </c>
      <c r="P152" s="30" t="str" cm="1">
        <f t="array" ref="P152">IFERROR(INDEX('Campaign Metadata (2)'!$A$2:$A$10, MATCH(1, (C152&gt;='Campaign Metadata (2)'!$B$2:$B$10) * (C152&lt;='Campaign Metadata (2)'!$C$2:$C$10), 0)), "No Campaign")</f>
        <v>No Campaign</v>
      </c>
      <c r="Q152" s="33" t="e">
        <f>VLOOKUP(Table1[[#This Row],[Campaign_Name2]],Table3[#All],2,)</f>
        <v>#N/A</v>
      </c>
      <c r="R152" s="33" t="e">
        <f>VLOOKUP(Table1[[#This Row],[Campaign_Name2]],Table3[#All],3,FALSE)</f>
        <v>#N/A</v>
      </c>
      <c r="S152" s="30" t="e">
        <f>VLOOKUP(Table1[[#This Row],[Campaign_Name2]],Table3[],5,FALSE)</f>
        <v>#N/A</v>
      </c>
      <c r="T152" s="30">
        <f>IF(Table1[[#This Row],[Campaign_Name2]]="No Campaign", 0, Table1[[#This Row],[Budget]]/COUNTIF(Table1[Campaign_Name2],Table1[[#This Row],[Campaign_Name2]]))</f>
        <v>0</v>
      </c>
    </row>
    <row r="153" spans="1:20" ht="14.25" customHeight="1" x14ac:dyDescent="0.3">
      <c r="A153" s="3" t="s">
        <v>333</v>
      </c>
      <c r="B153" s="3" t="s">
        <v>43</v>
      </c>
      <c r="C153" s="11">
        <v>45769</v>
      </c>
      <c r="D153" s="3" t="s">
        <v>52</v>
      </c>
      <c r="E153" s="3" t="s">
        <v>59</v>
      </c>
      <c r="F153" s="12">
        <v>4804</v>
      </c>
      <c r="G153" s="12">
        <v>550</v>
      </c>
      <c r="H153" s="12">
        <v>270</v>
      </c>
      <c r="I153" s="12">
        <v>28824</v>
      </c>
      <c r="J153" s="12">
        <v>28370</v>
      </c>
      <c r="K153" s="12">
        <v>47</v>
      </c>
      <c r="L153" s="4" t="s">
        <v>37</v>
      </c>
      <c r="M153" s="5" t="s">
        <v>38</v>
      </c>
      <c r="N153" s="31">
        <f t="shared" si="2"/>
        <v>5624</v>
      </c>
      <c r="O153" s="32">
        <f>IFERROR((Table1[[#This Row],[Likes]]+Table1[[#This Row],[Shares]]+Table1[[#This Row],[Comments]])/Table1[[#This Row],[Impressions]], 0)</f>
        <v>0.19511518179295032</v>
      </c>
      <c r="P153" s="30" t="str" cm="1">
        <f t="array" ref="P153">IFERROR(INDEX('Campaign Metadata (2)'!$A$2:$A$10, MATCH(1, (C153&gt;='Campaign Metadata (2)'!$B$2:$B$10) * (C153&lt;='Campaign Metadata (2)'!$C$2:$C$10), 0)), "No Campaign")</f>
        <v>No Campaign</v>
      </c>
      <c r="Q153" s="33" t="e">
        <f>VLOOKUP(Table1[[#This Row],[Campaign_Name2]],Table3[#All],2,)</f>
        <v>#N/A</v>
      </c>
      <c r="R153" s="33" t="e">
        <f>VLOOKUP(Table1[[#This Row],[Campaign_Name2]],Table3[#All],3,FALSE)</f>
        <v>#N/A</v>
      </c>
      <c r="S153" s="30" t="e">
        <f>VLOOKUP(Table1[[#This Row],[Campaign_Name2]],Table3[],5,FALSE)</f>
        <v>#N/A</v>
      </c>
      <c r="T153" s="30">
        <f>IF(Table1[[#This Row],[Campaign_Name2]]="No Campaign", 0, Table1[[#This Row],[Budget]]/COUNTIF(Table1[Campaign_Name2],Table1[[#This Row],[Campaign_Name2]]))</f>
        <v>0</v>
      </c>
    </row>
    <row r="154" spans="1:20" ht="14.25" customHeight="1" x14ac:dyDescent="0.3">
      <c r="A154" s="3" t="s">
        <v>335</v>
      </c>
      <c r="B154" s="3" t="s">
        <v>14</v>
      </c>
      <c r="C154" s="11">
        <v>45658</v>
      </c>
      <c r="D154" s="3" t="s">
        <v>74</v>
      </c>
      <c r="E154" s="3" t="s">
        <v>145</v>
      </c>
      <c r="F154" s="12">
        <v>754</v>
      </c>
      <c r="G154" s="12">
        <v>197</v>
      </c>
      <c r="H154" s="12">
        <v>257</v>
      </c>
      <c r="I154" s="12">
        <v>6786</v>
      </c>
      <c r="J154" s="12">
        <v>6221</v>
      </c>
      <c r="K154" s="12">
        <v>212</v>
      </c>
      <c r="L154" s="4" t="s">
        <v>30</v>
      </c>
      <c r="M154" s="5" t="s">
        <v>31</v>
      </c>
      <c r="N154" s="31">
        <f t="shared" si="2"/>
        <v>1208</v>
      </c>
      <c r="O154" s="32">
        <f>IFERROR((Table1[[#This Row],[Likes]]+Table1[[#This Row],[Shares]]+Table1[[#This Row],[Comments]])/Table1[[#This Row],[Impressions]], 0)</f>
        <v>0.17801355732390214</v>
      </c>
      <c r="P154" s="30" t="str" cm="1">
        <f t="array" ref="P154">IFERROR(INDEX('Campaign Metadata (2)'!$A$2:$A$10, MATCH(1, (C154&gt;='Campaign Metadata (2)'!$B$2:$B$10) * (C154&lt;='Campaign Metadata (2)'!$C$2:$C$10), 0)), "No Campaign")</f>
        <v>NewYearRefresh</v>
      </c>
      <c r="Q154" s="33">
        <f>VLOOKUP(Table1[[#This Row],[Campaign_Name2]],Table3[#All],2,)</f>
        <v>45651</v>
      </c>
      <c r="R154" s="33">
        <f>VLOOKUP(Table1[[#This Row],[Campaign_Name2]],Table3[#All],3,FALSE)</f>
        <v>45667</v>
      </c>
      <c r="S154" s="30">
        <f>VLOOKUP(Table1[[#This Row],[Campaign_Name2]],Table3[],5,FALSE)</f>
        <v>250000</v>
      </c>
      <c r="T154" s="30">
        <f>IF(Table1[[#This Row],[Campaign_Name2]]="No Campaign", 0, Table1[[#This Row],[Budget]]/COUNTIF(Table1[Campaign_Name2],Table1[[#This Row],[Campaign_Name2]]))</f>
        <v>25000</v>
      </c>
    </row>
    <row r="155" spans="1:20" ht="14.25" customHeight="1" x14ac:dyDescent="0.3">
      <c r="A155" s="3" t="s">
        <v>337</v>
      </c>
      <c r="B155" s="3" t="s">
        <v>33</v>
      </c>
      <c r="C155" s="11">
        <v>45574</v>
      </c>
      <c r="D155" s="3" t="s">
        <v>45</v>
      </c>
      <c r="E155" s="3" t="s">
        <v>88</v>
      </c>
      <c r="F155" s="12">
        <v>985</v>
      </c>
      <c r="G155" s="12">
        <v>932</v>
      </c>
      <c r="H155" s="12">
        <v>287</v>
      </c>
      <c r="I155" s="12">
        <v>6895</v>
      </c>
      <c r="J155" s="12">
        <v>6757</v>
      </c>
      <c r="K155" s="12">
        <v>64</v>
      </c>
      <c r="L155" s="4" t="s">
        <v>62</v>
      </c>
      <c r="M155" s="5" t="s">
        <v>38</v>
      </c>
      <c r="N155" s="31">
        <f t="shared" si="2"/>
        <v>2204</v>
      </c>
      <c r="O155" s="32">
        <f>IFERROR((Table1[[#This Row],[Likes]]+Table1[[#This Row],[Shares]]+Table1[[#This Row],[Comments]])/Table1[[#This Row],[Impressions]], 0)</f>
        <v>0.31965192168237855</v>
      </c>
      <c r="P155" s="30" t="str" cm="1">
        <f t="array" ref="P155">IFERROR(INDEX('Campaign Metadata (2)'!$A$2:$A$10, MATCH(1, (C155&gt;='Campaign Metadata (2)'!$B$2:$B$10) * (C155&lt;='Campaign Metadata (2)'!$C$2:$C$10), 0)), "No Campaign")</f>
        <v>FestiveRadiance</v>
      </c>
      <c r="Q155" s="33">
        <f>VLOOKUP(Table1[[#This Row],[Campaign_Name2]],Table3[#All],2,)</f>
        <v>45566</v>
      </c>
      <c r="R155" s="33">
        <f>VLOOKUP(Table1[[#This Row],[Campaign_Name2]],Table3[#All],3,FALSE)</f>
        <v>45596</v>
      </c>
      <c r="S155" s="30">
        <f>VLOOKUP(Table1[[#This Row],[Campaign_Name2]],Table3[],5,FALSE)</f>
        <v>200000</v>
      </c>
      <c r="T155" s="30">
        <f>IF(Table1[[#This Row],[Campaign_Name2]]="No Campaign", 0, Table1[[#This Row],[Budget]]/COUNTIF(Table1[Campaign_Name2],Table1[[#This Row],[Campaign_Name2]]))</f>
        <v>5714.2857142857147</v>
      </c>
    </row>
    <row r="156" spans="1:20" ht="14.25" customHeight="1" x14ac:dyDescent="0.3">
      <c r="A156" s="3" t="s">
        <v>338</v>
      </c>
      <c r="B156" s="3" t="s">
        <v>27</v>
      </c>
      <c r="C156" s="11">
        <v>45647</v>
      </c>
      <c r="D156" s="3" t="s">
        <v>52</v>
      </c>
      <c r="E156" s="3" t="s">
        <v>53</v>
      </c>
      <c r="F156" s="12">
        <v>2283</v>
      </c>
      <c r="G156" s="12">
        <v>210</v>
      </c>
      <c r="H156" s="12">
        <v>130</v>
      </c>
      <c r="I156" s="12">
        <v>22830</v>
      </c>
      <c r="J156" s="12">
        <v>22617</v>
      </c>
      <c r="K156" s="12">
        <v>143</v>
      </c>
      <c r="L156" s="4" t="s">
        <v>62</v>
      </c>
      <c r="M156" s="5" t="s">
        <v>25</v>
      </c>
      <c r="N156" s="31">
        <f t="shared" si="2"/>
        <v>2623</v>
      </c>
      <c r="O156" s="32">
        <f>IFERROR((Table1[[#This Row],[Likes]]+Table1[[#This Row],[Shares]]+Table1[[#This Row],[Comments]])/Table1[[#This Row],[Impressions]], 0)</f>
        <v>0.11489268506351293</v>
      </c>
      <c r="P156" s="30" t="str" cm="1">
        <f t="array" ref="P156">IFERROR(INDEX('Campaign Metadata (2)'!$A$2:$A$10, MATCH(1, (C156&gt;='Campaign Metadata (2)'!$B$2:$B$10) * (C156&lt;='Campaign Metadata (2)'!$C$2:$C$10), 0)), "No Campaign")</f>
        <v>No Campaign</v>
      </c>
      <c r="Q156" s="33" t="e">
        <f>VLOOKUP(Table1[[#This Row],[Campaign_Name2]],Table3[#All],2,)</f>
        <v>#N/A</v>
      </c>
      <c r="R156" s="33" t="e">
        <f>VLOOKUP(Table1[[#This Row],[Campaign_Name2]],Table3[#All],3,FALSE)</f>
        <v>#N/A</v>
      </c>
      <c r="S156" s="30" t="e">
        <f>VLOOKUP(Table1[[#This Row],[Campaign_Name2]],Table3[],5,FALSE)</f>
        <v>#N/A</v>
      </c>
      <c r="T156" s="30">
        <f>IF(Table1[[#This Row],[Campaign_Name2]]="No Campaign", 0, Table1[[#This Row],[Budget]]/COUNTIF(Table1[Campaign_Name2],Table1[[#This Row],[Campaign_Name2]]))</f>
        <v>0</v>
      </c>
    </row>
    <row r="157" spans="1:20" ht="14.25" customHeight="1" x14ac:dyDescent="0.3">
      <c r="A157" s="3" t="s">
        <v>340</v>
      </c>
      <c r="B157" s="3" t="s">
        <v>43</v>
      </c>
      <c r="C157" s="11">
        <v>45587</v>
      </c>
      <c r="D157" s="3" t="s">
        <v>45</v>
      </c>
      <c r="E157" s="3" t="s">
        <v>46</v>
      </c>
      <c r="F157" s="12">
        <v>3352</v>
      </c>
      <c r="G157" s="12">
        <v>941</v>
      </c>
      <c r="H157" s="12">
        <v>482</v>
      </c>
      <c r="I157" s="12">
        <v>43576</v>
      </c>
      <c r="J157" s="12">
        <v>43338</v>
      </c>
      <c r="K157" s="12">
        <v>240</v>
      </c>
      <c r="L157" s="4" t="s">
        <v>62</v>
      </c>
      <c r="M157" s="5" t="s">
        <v>25</v>
      </c>
      <c r="N157" s="31">
        <f t="shared" si="2"/>
        <v>4775</v>
      </c>
      <c r="O157" s="32">
        <f>IFERROR((Table1[[#This Row],[Likes]]+Table1[[#This Row],[Shares]]+Table1[[#This Row],[Comments]])/Table1[[#This Row],[Impressions]], 0)</f>
        <v>0.1095786671562328</v>
      </c>
      <c r="P157" s="30" t="str" cm="1">
        <f t="array" ref="P157">IFERROR(INDEX('Campaign Metadata (2)'!$A$2:$A$10, MATCH(1, (C157&gt;='Campaign Metadata (2)'!$B$2:$B$10) * (C157&lt;='Campaign Metadata (2)'!$C$2:$C$10), 0)), "No Campaign")</f>
        <v>FestiveRadiance</v>
      </c>
      <c r="Q157" s="33">
        <f>VLOOKUP(Table1[[#This Row],[Campaign_Name2]],Table3[#All],2,)</f>
        <v>45566</v>
      </c>
      <c r="R157" s="33">
        <f>VLOOKUP(Table1[[#This Row],[Campaign_Name2]],Table3[#All],3,FALSE)</f>
        <v>45596</v>
      </c>
      <c r="S157" s="30">
        <f>VLOOKUP(Table1[[#This Row],[Campaign_Name2]],Table3[],5,FALSE)</f>
        <v>200000</v>
      </c>
      <c r="T157" s="30">
        <f>IF(Table1[[#This Row],[Campaign_Name2]]="No Campaign", 0, Table1[[#This Row],[Budget]]/COUNTIF(Table1[Campaign_Name2],Table1[[#This Row],[Campaign_Name2]]))</f>
        <v>5714.2857142857147</v>
      </c>
    </row>
    <row r="158" spans="1:20" ht="14.25" customHeight="1" x14ac:dyDescent="0.3">
      <c r="A158" s="3" t="s">
        <v>342</v>
      </c>
      <c r="B158" s="3" t="s">
        <v>27</v>
      </c>
      <c r="C158" s="11">
        <v>45496</v>
      </c>
      <c r="D158" s="3" t="s">
        <v>35</v>
      </c>
      <c r="E158" s="3" t="s">
        <v>154</v>
      </c>
      <c r="F158" s="12">
        <v>4775</v>
      </c>
      <c r="G158" s="12">
        <v>173</v>
      </c>
      <c r="H158" s="12">
        <v>206</v>
      </c>
      <c r="I158" s="12">
        <v>47750</v>
      </c>
      <c r="J158" s="12">
        <v>47544</v>
      </c>
      <c r="K158" s="12">
        <v>187</v>
      </c>
      <c r="L158" s="4" t="s">
        <v>62</v>
      </c>
      <c r="M158" s="5" t="s">
        <v>25</v>
      </c>
      <c r="N158" s="31">
        <f t="shared" si="2"/>
        <v>5154</v>
      </c>
      <c r="O158" s="32">
        <f>IFERROR((Table1[[#This Row],[Likes]]+Table1[[#This Row],[Shares]]+Table1[[#This Row],[Comments]])/Table1[[#This Row],[Impressions]], 0)</f>
        <v>0.10793717277486911</v>
      </c>
      <c r="P158" s="30" t="str" cm="1">
        <f t="array" ref="P158">IFERROR(INDEX('Campaign Metadata (2)'!$A$2:$A$10, MATCH(1, (C158&gt;='Campaign Metadata (2)'!$B$2:$B$10) * (C158&lt;='Campaign Metadata (2)'!$C$2:$C$10), 0)), "No Campaign")</f>
        <v>No Campaign</v>
      </c>
      <c r="Q158" s="33" t="e">
        <f>VLOOKUP(Table1[[#This Row],[Campaign_Name2]],Table3[#All],2,)</f>
        <v>#N/A</v>
      </c>
      <c r="R158" s="33" t="e">
        <f>VLOOKUP(Table1[[#This Row],[Campaign_Name2]],Table3[#All],3,FALSE)</f>
        <v>#N/A</v>
      </c>
      <c r="S158" s="30" t="e">
        <f>VLOOKUP(Table1[[#This Row],[Campaign_Name2]],Table3[],5,FALSE)</f>
        <v>#N/A</v>
      </c>
      <c r="T158" s="30">
        <f>IF(Table1[[#This Row],[Campaign_Name2]]="No Campaign", 0, Table1[[#This Row],[Budget]]/COUNTIF(Table1[Campaign_Name2],Table1[[#This Row],[Campaign_Name2]]))</f>
        <v>0</v>
      </c>
    </row>
    <row r="159" spans="1:20" ht="14.25" customHeight="1" x14ac:dyDescent="0.3">
      <c r="A159" s="3" t="s">
        <v>344</v>
      </c>
      <c r="B159" s="3" t="s">
        <v>33</v>
      </c>
      <c r="C159" s="11">
        <v>45515</v>
      </c>
      <c r="D159" s="3" t="s">
        <v>35</v>
      </c>
      <c r="E159" s="3" t="s">
        <v>36</v>
      </c>
      <c r="F159" s="12">
        <v>1762</v>
      </c>
      <c r="G159" s="12">
        <v>405</v>
      </c>
      <c r="H159" s="12">
        <v>423</v>
      </c>
      <c r="I159" s="12">
        <v>22906</v>
      </c>
      <c r="J159" s="12">
        <v>21925</v>
      </c>
      <c r="K159" s="12">
        <v>25</v>
      </c>
      <c r="L159" s="4" t="s">
        <v>30</v>
      </c>
      <c r="M159" s="5" t="s">
        <v>19</v>
      </c>
      <c r="N159" s="31">
        <f t="shared" si="2"/>
        <v>2590</v>
      </c>
      <c r="O159" s="32">
        <f>IFERROR((Table1[[#This Row],[Likes]]+Table1[[#This Row],[Shares]]+Table1[[#This Row],[Comments]])/Table1[[#This Row],[Impressions]], 0)</f>
        <v>0.11307081114118571</v>
      </c>
      <c r="P159" s="30" t="str" cm="1">
        <f t="array" ref="P159">IFERROR(INDEX('Campaign Metadata (2)'!$A$2:$A$10, MATCH(1, (C159&gt;='Campaign Metadata (2)'!$B$2:$B$10) * (C159&lt;='Campaign Metadata (2)'!$C$2:$C$10), 0)), "No Campaign")</f>
        <v>No Campaign</v>
      </c>
      <c r="Q159" s="33" t="e">
        <f>VLOOKUP(Table1[[#This Row],[Campaign_Name2]],Table3[#All],2,)</f>
        <v>#N/A</v>
      </c>
      <c r="R159" s="33" t="e">
        <f>VLOOKUP(Table1[[#This Row],[Campaign_Name2]],Table3[#All],3,FALSE)</f>
        <v>#N/A</v>
      </c>
      <c r="S159" s="30" t="e">
        <f>VLOOKUP(Table1[[#This Row],[Campaign_Name2]],Table3[],5,FALSE)</f>
        <v>#N/A</v>
      </c>
      <c r="T159" s="30">
        <f>IF(Table1[[#This Row],[Campaign_Name2]]="No Campaign", 0, Table1[[#This Row],[Budget]]/COUNTIF(Table1[Campaign_Name2],Table1[[#This Row],[Campaign_Name2]]))</f>
        <v>0</v>
      </c>
    </row>
    <row r="160" spans="1:20" ht="14.25" customHeight="1" x14ac:dyDescent="0.3">
      <c r="A160" s="3" t="s">
        <v>346</v>
      </c>
      <c r="B160" s="3" t="s">
        <v>43</v>
      </c>
      <c r="C160" s="11">
        <v>45621</v>
      </c>
      <c r="D160" s="3" t="s">
        <v>35</v>
      </c>
      <c r="E160" s="3" t="s">
        <v>71</v>
      </c>
      <c r="F160" s="12">
        <v>2120</v>
      </c>
      <c r="G160" s="12">
        <v>158</v>
      </c>
      <c r="H160" s="12">
        <v>488</v>
      </c>
      <c r="I160" s="12">
        <v>12720</v>
      </c>
      <c r="J160" s="12">
        <v>12085</v>
      </c>
      <c r="K160" s="12">
        <v>17</v>
      </c>
      <c r="L160" s="4" t="s">
        <v>62</v>
      </c>
      <c r="M160" s="5" t="s">
        <v>25</v>
      </c>
      <c r="N160" s="31">
        <f t="shared" si="2"/>
        <v>2766</v>
      </c>
      <c r="O160" s="32">
        <f>IFERROR((Table1[[#This Row],[Likes]]+Table1[[#This Row],[Shares]]+Table1[[#This Row],[Comments]])/Table1[[#This Row],[Impressions]], 0)</f>
        <v>0.21745283018867925</v>
      </c>
      <c r="P160" s="30" t="str" cm="1">
        <f t="array" ref="P160">IFERROR(INDEX('Campaign Metadata (2)'!$A$2:$A$10, MATCH(1, (C160&gt;='Campaign Metadata (2)'!$B$2:$B$10) * (C160&lt;='Campaign Metadata (2)'!$C$2:$C$10), 0)), "No Campaign")</f>
        <v>No Campaign</v>
      </c>
      <c r="Q160" s="33" t="e">
        <f>VLOOKUP(Table1[[#This Row],[Campaign_Name2]],Table3[#All],2,)</f>
        <v>#N/A</v>
      </c>
      <c r="R160" s="33" t="e">
        <f>VLOOKUP(Table1[[#This Row],[Campaign_Name2]],Table3[#All],3,FALSE)</f>
        <v>#N/A</v>
      </c>
      <c r="S160" s="30" t="e">
        <f>VLOOKUP(Table1[[#This Row],[Campaign_Name2]],Table3[],5,FALSE)</f>
        <v>#N/A</v>
      </c>
      <c r="T160" s="30">
        <f>IF(Table1[[#This Row],[Campaign_Name2]]="No Campaign", 0, Table1[[#This Row],[Budget]]/COUNTIF(Table1[Campaign_Name2],Table1[[#This Row],[Campaign_Name2]]))</f>
        <v>0</v>
      </c>
    </row>
    <row r="161" spans="1:20" ht="14.25" customHeight="1" x14ac:dyDescent="0.3">
      <c r="A161" s="3" t="s">
        <v>347</v>
      </c>
      <c r="B161" s="3" t="s">
        <v>14</v>
      </c>
      <c r="C161" s="11">
        <v>45528</v>
      </c>
      <c r="D161" s="3" t="s">
        <v>74</v>
      </c>
      <c r="E161" s="3" t="s">
        <v>145</v>
      </c>
      <c r="F161" s="12">
        <v>1082</v>
      </c>
      <c r="G161" s="12">
        <v>209</v>
      </c>
      <c r="H161" s="12">
        <v>484</v>
      </c>
      <c r="I161" s="12">
        <v>19476</v>
      </c>
      <c r="J161" s="12">
        <v>18654</v>
      </c>
      <c r="K161" s="12">
        <v>20</v>
      </c>
      <c r="L161" s="4" t="s">
        <v>30</v>
      </c>
      <c r="M161" s="5"/>
      <c r="N161" s="31">
        <f t="shared" si="2"/>
        <v>1775</v>
      </c>
      <c r="O161" s="32">
        <f>IFERROR((Table1[[#This Row],[Likes]]+Table1[[#This Row],[Shares]]+Table1[[#This Row],[Comments]])/Table1[[#This Row],[Impressions]], 0)</f>
        <v>9.1137810638734856E-2</v>
      </c>
      <c r="P161" s="30" t="str" cm="1">
        <f t="array" ref="P161">IFERROR(INDEX('Campaign Metadata (2)'!$A$2:$A$10, MATCH(1, (C161&gt;='Campaign Metadata (2)'!$B$2:$B$10) * (C161&lt;='Campaign Metadata (2)'!$C$2:$C$10), 0)), "No Campaign")</f>
        <v>No Campaign</v>
      </c>
      <c r="Q161" s="33" t="e">
        <f>VLOOKUP(Table1[[#This Row],[Campaign_Name2]],Table3[#All],2,)</f>
        <v>#N/A</v>
      </c>
      <c r="R161" s="33" t="e">
        <f>VLOOKUP(Table1[[#This Row],[Campaign_Name2]],Table3[#All],3,FALSE)</f>
        <v>#N/A</v>
      </c>
      <c r="S161" s="30" t="e">
        <f>VLOOKUP(Table1[[#This Row],[Campaign_Name2]],Table3[],5,FALSE)</f>
        <v>#N/A</v>
      </c>
      <c r="T161" s="30">
        <f>IF(Table1[[#This Row],[Campaign_Name2]]="No Campaign", 0, Table1[[#This Row],[Budget]]/COUNTIF(Table1[Campaign_Name2],Table1[[#This Row],[Campaign_Name2]]))</f>
        <v>0</v>
      </c>
    </row>
    <row r="162" spans="1:20" ht="14.25" customHeight="1" x14ac:dyDescent="0.3">
      <c r="A162" s="3" t="s">
        <v>349</v>
      </c>
      <c r="B162" s="3" t="s">
        <v>14</v>
      </c>
      <c r="C162" s="11">
        <v>45707</v>
      </c>
      <c r="D162" s="3" t="s">
        <v>22</v>
      </c>
      <c r="E162" s="3" t="s">
        <v>23</v>
      </c>
      <c r="F162" s="12">
        <v>4671</v>
      </c>
      <c r="G162" s="12">
        <v>876</v>
      </c>
      <c r="H162" s="12">
        <v>366</v>
      </c>
      <c r="I162" s="12">
        <v>51381</v>
      </c>
      <c r="J162" s="12">
        <v>50565</v>
      </c>
      <c r="K162" s="12">
        <v>245</v>
      </c>
      <c r="L162" s="4" t="s">
        <v>30</v>
      </c>
      <c r="M162" s="5" t="s">
        <v>38</v>
      </c>
      <c r="N162" s="31">
        <f t="shared" si="2"/>
        <v>5913</v>
      </c>
      <c r="O162" s="32">
        <f>IFERROR((Table1[[#This Row],[Likes]]+Table1[[#This Row],[Shares]]+Table1[[#This Row],[Comments]])/Table1[[#This Row],[Impressions]], 0)</f>
        <v>0.11508145034156594</v>
      </c>
      <c r="P162" s="30" t="str" cm="1">
        <f t="array" ref="P162">IFERROR(INDEX('Campaign Metadata (2)'!$A$2:$A$10, MATCH(1, (C162&gt;='Campaign Metadata (2)'!$B$2:$B$10) * (C162&lt;='Campaign Metadata (2)'!$C$2:$C$10), 0)), "No Campaign")</f>
        <v>No Campaign</v>
      </c>
      <c r="Q162" s="33" t="e">
        <f>VLOOKUP(Table1[[#This Row],[Campaign_Name2]],Table3[#All],2,)</f>
        <v>#N/A</v>
      </c>
      <c r="R162" s="33" t="e">
        <f>VLOOKUP(Table1[[#This Row],[Campaign_Name2]],Table3[#All],3,FALSE)</f>
        <v>#N/A</v>
      </c>
      <c r="S162" s="30" t="e">
        <f>VLOOKUP(Table1[[#This Row],[Campaign_Name2]],Table3[],5,FALSE)</f>
        <v>#N/A</v>
      </c>
      <c r="T162" s="30">
        <f>IF(Table1[[#This Row],[Campaign_Name2]]="No Campaign", 0, Table1[[#This Row],[Budget]]/COUNTIF(Table1[Campaign_Name2],Table1[[#This Row],[Campaign_Name2]]))</f>
        <v>0</v>
      </c>
    </row>
    <row r="163" spans="1:20" ht="14.25" customHeight="1" x14ac:dyDescent="0.3">
      <c r="A163" s="3" t="s">
        <v>351</v>
      </c>
      <c r="B163" s="3" t="s">
        <v>43</v>
      </c>
      <c r="C163" s="11">
        <v>45748</v>
      </c>
      <c r="D163" s="3" t="s">
        <v>35</v>
      </c>
      <c r="E163" s="3" t="s">
        <v>71</v>
      </c>
      <c r="F163" s="12">
        <v>3430</v>
      </c>
      <c r="G163" s="12">
        <v>566</v>
      </c>
      <c r="H163" s="12">
        <v>164</v>
      </c>
      <c r="I163" s="12">
        <v>48020</v>
      </c>
      <c r="J163" s="12">
        <v>47305</v>
      </c>
      <c r="K163" s="12">
        <v>120</v>
      </c>
      <c r="L163" s="4" t="s">
        <v>62</v>
      </c>
      <c r="M163" s="5"/>
      <c r="N163" s="31">
        <f t="shared" si="2"/>
        <v>4160</v>
      </c>
      <c r="O163" s="32">
        <f>IFERROR((Table1[[#This Row],[Likes]]+Table1[[#This Row],[Shares]]+Table1[[#This Row],[Comments]])/Table1[[#This Row],[Impressions]], 0)</f>
        <v>8.6630570595585168E-2</v>
      </c>
      <c r="P163" s="30" t="str" cm="1">
        <f t="array" ref="P163">IFERROR(INDEX('Campaign Metadata (2)'!$A$2:$A$10, MATCH(1, (C163&gt;='Campaign Metadata (2)'!$B$2:$B$10) * (C163&lt;='Campaign Metadata (2)'!$C$2:$C$10), 0)), "No Campaign")</f>
        <v>No Campaign</v>
      </c>
      <c r="Q163" s="33" t="e">
        <f>VLOOKUP(Table1[[#This Row],[Campaign_Name2]],Table3[#All],2,)</f>
        <v>#N/A</v>
      </c>
      <c r="R163" s="33" t="e">
        <f>VLOOKUP(Table1[[#This Row],[Campaign_Name2]],Table3[#All],3,FALSE)</f>
        <v>#N/A</v>
      </c>
      <c r="S163" s="30" t="e">
        <f>VLOOKUP(Table1[[#This Row],[Campaign_Name2]],Table3[],5,FALSE)</f>
        <v>#N/A</v>
      </c>
      <c r="T163" s="30">
        <f>IF(Table1[[#This Row],[Campaign_Name2]]="No Campaign", 0, Table1[[#This Row],[Budget]]/COUNTIF(Table1[Campaign_Name2],Table1[[#This Row],[Campaign_Name2]]))</f>
        <v>0</v>
      </c>
    </row>
    <row r="164" spans="1:20" ht="14.25" customHeight="1" x14ac:dyDescent="0.3">
      <c r="A164" s="3" t="s">
        <v>353</v>
      </c>
      <c r="B164" s="3" t="s">
        <v>33</v>
      </c>
      <c r="C164" s="11">
        <v>45755</v>
      </c>
      <c r="D164" s="3" t="s">
        <v>52</v>
      </c>
      <c r="E164" s="3" t="s">
        <v>215</v>
      </c>
      <c r="F164" s="12">
        <v>4501</v>
      </c>
      <c r="G164" s="12">
        <v>375</v>
      </c>
      <c r="H164" s="12">
        <v>323</v>
      </c>
      <c r="I164" s="12">
        <v>22505</v>
      </c>
      <c r="J164" s="12">
        <v>21836</v>
      </c>
      <c r="K164" s="12">
        <v>132</v>
      </c>
      <c r="L164" s="4" t="s">
        <v>30</v>
      </c>
      <c r="M164" s="5" t="s">
        <v>25</v>
      </c>
      <c r="N164" s="31">
        <f t="shared" si="2"/>
        <v>5199</v>
      </c>
      <c r="O164" s="32">
        <f>IFERROR((Table1[[#This Row],[Likes]]+Table1[[#This Row],[Shares]]+Table1[[#This Row],[Comments]])/Table1[[#This Row],[Impressions]], 0)</f>
        <v>0.23101532992668297</v>
      </c>
      <c r="P164" s="30" t="str" cm="1">
        <f t="array" ref="P164">IFERROR(INDEX('Campaign Metadata (2)'!$A$2:$A$10, MATCH(1, (C164&gt;='Campaign Metadata (2)'!$B$2:$B$10) * (C164&lt;='Campaign Metadata (2)'!$C$2:$C$10), 0)), "No Campaign")</f>
        <v>No Campaign</v>
      </c>
      <c r="Q164" s="33" t="e">
        <f>VLOOKUP(Table1[[#This Row],[Campaign_Name2]],Table3[#All],2,)</f>
        <v>#N/A</v>
      </c>
      <c r="R164" s="33" t="e">
        <f>VLOOKUP(Table1[[#This Row],[Campaign_Name2]],Table3[#All],3,FALSE)</f>
        <v>#N/A</v>
      </c>
      <c r="S164" s="30" t="e">
        <f>VLOOKUP(Table1[[#This Row],[Campaign_Name2]],Table3[],5,FALSE)</f>
        <v>#N/A</v>
      </c>
      <c r="T164" s="30">
        <f>IF(Table1[[#This Row],[Campaign_Name2]]="No Campaign", 0, Table1[[#This Row],[Budget]]/COUNTIF(Table1[Campaign_Name2],Table1[[#This Row],[Campaign_Name2]]))</f>
        <v>0</v>
      </c>
    </row>
    <row r="165" spans="1:20" ht="14.25" customHeight="1" x14ac:dyDescent="0.3">
      <c r="A165" s="3" t="s">
        <v>355</v>
      </c>
      <c r="B165" s="3" t="s">
        <v>27</v>
      </c>
      <c r="C165" s="11">
        <v>45715</v>
      </c>
      <c r="D165" s="3" t="s">
        <v>22</v>
      </c>
      <c r="E165" s="3" t="s">
        <v>104</v>
      </c>
      <c r="F165" s="12">
        <v>4934</v>
      </c>
      <c r="G165" s="12">
        <v>971</v>
      </c>
      <c r="H165" s="12">
        <v>156</v>
      </c>
      <c r="I165" s="12">
        <v>39472</v>
      </c>
      <c r="J165" s="12">
        <v>39025</v>
      </c>
      <c r="K165" s="12">
        <v>169</v>
      </c>
      <c r="L165" s="4" t="s">
        <v>95</v>
      </c>
      <c r="M165" s="5" t="s">
        <v>38</v>
      </c>
      <c r="N165" s="31">
        <f t="shared" si="2"/>
        <v>6061</v>
      </c>
      <c r="O165" s="32">
        <f>IFERROR((Table1[[#This Row],[Likes]]+Table1[[#This Row],[Shares]]+Table1[[#This Row],[Comments]])/Table1[[#This Row],[Impressions]], 0)</f>
        <v>0.15355188488042157</v>
      </c>
      <c r="P165" s="30" t="str" cm="1">
        <f t="array" ref="P165">IFERROR(INDEX('Campaign Metadata (2)'!$A$2:$A$10, MATCH(1, (C165&gt;='Campaign Metadata (2)'!$B$2:$B$10) * (C165&lt;='Campaign Metadata (2)'!$C$2:$C$10), 0)), "No Campaign")</f>
        <v>No Campaign</v>
      </c>
      <c r="Q165" s="33" t="e">
        <f>VLOOKUP(Table1[[#This Row],[Campaign_Name2]],Table3[#All],2,)</f>
        <v>#N/A</v>
      </c>
      <c r="R165" s="33" t="e">
        <f>VLOOKUP(Table1[[#This Row],[Campaign_Name2]],Table3[#All],3,FALSE)</f>
        <v>#N/A</v>
      </c>
      <c r="S165" s="30" t="e">
        <f>VLOOKUP(Table1[[#This Row],[Campaign_Name2]],Table3[],5,FALSE)</f>
        <v>#N/A</v>
      </c>
      <c r="T165" s="30">
        <f>IF(Table1[[#This Row],[Campaign_Name2]]="No Campaign", 0, Table1[[#This Row],[Budget]]/COUNTIF(Table1[Campaign_Name2],Table1[[#This Row],[Campaign_Name2]]))</f>
        <v>0</v>
      </c>
    </row>
    <row r="166" spans="1:20" ht="14.25" customHeight="1" x14ac:dyDescent="0.3">
      <c r="A166" s="3" t="s">
        <v>356</v>
      </c>
      <c r="B166" s="3" t="s">
        <v>14</v>
      </c>
      <c r="C166" s="11">
        <v>45637</v>
      </c>
      <c r="D166" s="3" t="s">
        <v>22</v>
      </c>
      <c r="E166" s="3" t="s">
        <v>23</v>
      </c>
      <c r="F166" s="12">
        <v>3239</v>
      </c>
      <c r="G166" s="12">
        <v>43</v>
      </c>
      <c r="H166" s="12">
        <v>211</v>
      </c>
      <c r="I166" s="12">
        <v>22673</v>
      </c>
      <c r="J166" s="12">
        <v>22171</v>
      </c>
      <c r="K166" s="12">
        <v>230</v>
      </c>
      <c r="L166" s="4" t="s">
        <v>30</v>
      </c>
      <c r="M166" s="5" t="s">
        <v>25</v>
      </c>
      <c r="N166" s="31">
        <f t="shared" si="2"/>
        <v>3493</v>
      </c>
      <c r="O166" s="32">
        <f>IFERROR((Table1[[#This Row],[Likes]]+Table1[[#This Row],[Shares]]+Table1[[#This Row],[Comments]])/Table1[[#This Row],[Impressions]], 0)</f>
        <v>0.15405989502933004</v>
      </c>
      <c r="P166" s="30" t="str" cm="1">
        <f t="array" ref="P166">IFERROR(INDEX('Campaign Metadata (2)'!$A$2:$A$10, MATCH(1, (C166&gt;='Campaign Metadata (2)'!$B$2:$B$10) * (C166&lt;='Campaign Metadata (2)'!$C$2:$C$10), 0)), "No Campaign")</f>
        <v>No Campaign</v>
      </c>
      <c r="Q166" s="33" t="e">
        <f>VLOOKUP(Table1[[#This Row],[Campaign_Name2]],Table3[#All],2,)</f>
        <v>#N/A</v>
      </c>
      <c r="R166" s="33" t="e">
        <f>VLOOKUP(Table1[[#This Row],[Campaign_Name2]],Table3[#All],3,FALSE)</f>
        <v>#N/A</v>
      </c>
      <c r="S166" s="30" t="e">
        <f>VLOOKUP(Table1[[#This Row],[Campaign_Name2]],Table3[],5,FALSE)</f>
        <v>#N/A</v>
      </c>
      <c r="T166" s="30">
        <f>IF(Table1[[#This Row],[Campaign_Name2]]="No Campaign", 0, Table1[[#This Row],[Budget]]/COUNTIF(Table1[Campaign_Name2],Table1[[#This Row],[Campaign_Name2]]))</f>
        <v>0</v>
      </c>
    </row>
    <row r="167" spans="1:20" ht="14.25" customHeight="1" x14ac:dyDescent="0.3">
      <c r="A167" s="3" t="s">
        <v>357</v>
      </c>
      <c r="B167" s="3" t="s">
        <v>14</v>
      </c>
      <c r="C167" s="11">
        <v>45704</v>
      </c>
      <c r="D167" s="3" t="s">
        <v>16</v>
      </c>
      <c r="E167" s="3" t="s">
        <v>17</v>
      </c>
      <c r="F167" s="12">
        <v>1076</v>
      </c>
      <c r="G167" s="12">
        <v>313</v>
      </c>
      <c r="H167" s="12">
        <v>306</v>
      </c>
      <c r="I167" s="12">
        <v>11836</v>
      </c>
      <c r="J167" s="12">
        <v>11596</v>
      </c>
      <c r="K167" s="12">
        <v>104</v>
      </c>
      <c r="L167" s="4" t="s">
        <v>62</v>
      </c>
      <c r="M167" s="5" t="s">
        <v>19</v>
      </c>
      <c r="N167" s="31">
        <f t="shared" si="2"/>
        <v>1695</v>
      </c>
      <c r="O167" s="32">
        <f>IFERROR((Table1[[#This Row],[Likes]]+Table1[[#This Row],[Shares]]+Table1[[#This Row],[Comments]])/Table1[[#This Row],[Impressions]], 0)</f>
        <v>0.14320716458262928</v>
      </c>
      <c r="P167" s="30" t="str" cm="1">
        <f t="array" ref="P167">IFERROR(INDEX('Campaign Metadata (2)'!$A$2:$A$10, MATCH(1, (C167&gt;='Campaign Metadata (2)'!$B$2:$B$10) * (C167&lt;='Campaign Metadata (2)'!$C$2:$C$10), 0)), "No Campaign")</f>
        <v>No Campaign</v>
      </c>
      <c r="Q167" s="33" t="e">
        <f>VLOOKUP(Table1[[#This Row],[Campaign_Name2]],Table3[#All],2,)</f>
        <v>#N/A</v>
      </c>
      <c r="R167" s="33" t="e">
        <f>VLOOKUP(Table1[[#This Row],[Campaign_Name2]],Table3[#All],3,FALSE)</f>
        <v>#N/A</v>
      </c>
      <c r="S167" s="30" t="e">
        <f>VLOOKUP(Table1[[#This Row],[Campaign_Name2]],Table3[],5,FALSE)</f>
        <v>#N/A</v>
      </c>
      <c r="T167" s="30">
        <f>IF(Table1[[#This Row],[Campaign_Name2]]="No Campaign", 0, Table1[[#This Row],[Budget]]/COUNTIF(Table1[Campaign_Name2],Table1[[#This Row],[Campaign_Name2]]))</f>
        <v>0</v>
      </c>
    </row>
    <row r="168" spans="1:20" ht="14.25" customHeight="1" x14ac:dyDescent="0.3">
      <c r="A168" s="3" t="s">
        <v>358</v>
      </c>
      <c r="B168" s="3" t="s">
        <v>33</v>
      </c>
      <c r="C168" s="11">
        <v>45624</v>
      </c>
      <c r="D168" s="3" t="s">
        <v>22</v>
      </c>
      <c r="E168" s="3" t="s">
        <v>113</v>
      </c>
      <c r="F168" s="12">
        <v>4771</v>
      </c>
      <c r="G168" s="12">
        <v>818</v>
      </c>
      <c r="H168" s="12">
        <v>56</v>
      </c>
      <c r="I168" s="12">
        <v>57252</v>
      </c>
      <c r="J168" s="12">
        <v>56378</v>
      </c>
      <c r="K168" s="12">
        <v>150</v>
      </c>
      <c r="L168" s="4" t="s">
        <v>62</v>
      </c>
      <c r="M168" s="5"/>
      <c r="N168" s="31">
        <f t="shared" si="2"/>
        <v>5645</v>
      </c>
      <c r="O168" s="32">
        <f>IFERROR((Table1[[#This Row],[Likes]]+Table1[[#This Row],[Shares]]+Table1[[#This Row],[Comments]])/Table1[[#This Row],[Impressions]], 0)</f>
        <v>9.859917557465242E-2</v>
      </c>
      <c r="P168" s="30" t="str" cm="1">
        <f t="array" ref="P168">IFERROR(INDEX('Campaign Metadata (2)'!$A$2:$A$10, MATCH(1, (C168&gt;='Campaign Metadata (2)'!$B$2:$B$10) * (C168&lt;='Campaign Metadata (2)'!$C$2:$C$10), 0)), "No Campaign")</f>
        <v>No Campaign</v>
      </c>
      <c r="Q168" s="33" t="e">
        <f>VLOOKUP(Table1[[#This Row],[Campaign_Name2]],Table3[#All],2,)</f>
        <v>#N/A</v>
      </c>
      <c r="R168" s="33" t="e">
        <f>VLOOKUP(Table1[[#This Row],[Campaign_Name2]],Table3[#All],3,FALSE)</f>
        <v>#N/A</v>
      </c>
      <c r="S168" s="30" t="e">
        <f>VLOOKUP(Table1[[#This Row],[Campaign_Name2]],Table3[],5,FALSE)</f>
        <v>#N/A</v>
      </c>
      <c r="T168" s="30">
        <f>IF(Table1[[#This Row],[Campaign_Name2]]="No Campaign", 0, Table1[[#This Row],[Budget]]/COUNTIF(Table1[Campaign_Name2],Table1[[#This Row],[Campaign_Name2]]))</f>
        <v>0</v>
      </c>
    </row>
    <row r="169" spans="1:20" ht="14.25" customHeight="1" x14ac:dyDescent="0.3">
      <c r="A169" s="3" t="s">
        <v>359</v>
      </c>
      <c r="B169" s="3" t="s">
        <v>43</v>
      </c>
      <c r="C169" s="11">
        <v>45608</v>
      </c>
      <c r="D169" s="3" t="s">
        <v>22</v>
      </c>
      <c r="E169" s="3" t="s">
        <v>56</v>
      </c>
      <c r="F169" s="12">
        <v>2418</v>
      </c>
      <c r="G169" s="12">
        <v>754</v>
      </c>
      <c r="H169" s="12">
        <v>54</v>
      </c>
      <c r="I169" s="12">
        <v>43524</v>
      </c>
      <c r="J169" s="12">
        <v>42743</v>
      </c>
      <c r="K169" s="12">
        <v>182</v>
      </c>
      <c r="L169" s="4" t="s">
        <v>37</v>
      </c>
      <c r="M169" s="5" t="s">
        <v>19</v>
      </c>
      <c r="N169" s="31">
        <f t="shared" si="2"/>
        <v>3226</v>
      </c>
      <c r="O169" s="32">
        <f>IFERROR((Table1[[#This Row],[Likes]]+Table1[[#This Row],[Shares]]+Table1[[#This Row],[Comments]])/Table1[[#This Row],[Impressions]], 0)</f>
        <v>7.412002573292896E-2</v>
      </c>
      <c r="P169" s="30" t="str" cm="1">
        <f t="array" ref="P169">IFERROR(INDEX('Campaign Metadata (2)'!$A$2:$A$10, MATCH(1, (C169&gt;='Campaign Metadata (2)'!$B$2:$B$10) * (C169&lt;='Campaign Metadata (2)'!$C$2:$C$10), 0)), "No Campaign")</f>
        <v>No Campaign</v>
      </c>
      <c r="Q169" s="33" t="e">
        <f>VLOOKUP(Table1[[#This Row],[Campaign_Name2]],Table3[#All],2,)</f>
        <v>#N/A</v>
      </c>
      <c r="R169" s="33" t="e">
        <f>VLOOKUP(Table1[[#This Row],[Campaign_Name2]],Table3[#All],3,FALSE)</f>
        <v>#N/A</v>
      </c>
      <c r="S169" s="30" t="e">
        <f>VLOOKUP(Table1[[#This Row],[Campaign_Name2]],Table3[],5,FALSE)</f>
        <v>#N/A</v>
      </c>
      <c r="T169" s="30">
        <f>IF(Table1[[#This Row],[Campaign_Name2]]="No Campaign", 0, Table1[[#This Row],[Budget]]/COUNTIF(Table1[Campaign_Name2],Table1[[#This Row],[Campaign_Name2]]))</f>
        <v>0</v>
      </c>
    </row>
    <row r="170" spans="1:20" ht="14.25" customHeight="1" x14ac:dyDescent="0.3">
      <c r="A170" s="3" t="s">
        <v>361</v>
      </c>
      <c r="B170" s="3" t="s">
        <v>27</v>
      </c>
      <c r="C170" s="11">
        <v>45629</v>
      </c>
      <c r="D170" s="3" t="s">
        <v>74</v>
      </c>
      <c r="E170" s="3" t="s">
        <v>219</v>
      </c>
      <c r="F170" s="12">
        <v>3809</v>
      </c>
      <c r="G170" s="12">
        <v>273</v>
      </c>
      <c r="H170" s="12">
        <v>200</v>
      </c>
      <c r="I170" s="12">
        <v>34281</v>
      </c>
      <c r="J170" s="12">
        <v>33534</v>
      </c>
      <c r="K170" s="12">
        <v>83</v>
      </c>
      <c r="L170" s="4" t="s">
        <v>37</v>
      </c>
      <c r="M170" s="5" t="s">
        <v>19</v>
      </c>
      <c r="N170" s="31">
        <f t="shared" si="2"/>
        <v>4282</v>
      </c>
      <c r="O170" s="32">
        <f>IFERROR((Table1[[#This Row],[Likes]]+Table1[[#This Row],[Shares]]+Table1[[#This Row],[Comments]])/Table1[[#This Row],[Impressions]], 0)</f>
        <v>0.12490884163239112</v>
      </c>
      <c r="P170" s="30" t="str" cm="1">
        <f t="array" ref="P170">IFERROR(INDEX('Campaign Metadata (2)'!$A$2:$A$10, MATCH(1, (C170&gt;='Campaign Metadata (2)'!$B$2:$B$10) * (C170&lt;='Campaign Metadata (2)'!$C$2:$C$10), 0)), "No Campaign")</f>
        <v>No Campaign</v>
      </c>
      <c r="Q170" s="33" t="e">
        <f>VLOOKUP(Table1[[#This Row],[Campaign_Name2]],Table3[#All],2,)</f>
        <v>#N/A</v>
      </c>
      <c r="R170" s="33" t="e">
        <f>VLOOKUP(Table1[[#This Row],[Campaign_Name2]],Table3[#All],3,FALSE)</f>
        <v>#N/A</v>
      </c>
      <c r="S170" s="30" t="e">
        <f>VLOOKUP(Table1[[#This Row],[Campaign_Name2]],Table3[],5,FALSE)</f>
        <v>#N/A</v>
      </c>
      <c r="T170" s="30">
        <f>IF(Table1[[#This Row],[Campaign_Name2]]="No Campaign", 0, Table1[[#This Row],[Budget]]/COUNTIF(Table1[Campaign_Name2],Table1[[#This Row],[Campaign_Name2]]))</f>
        <v>0</v>
      </c>
    </row>
    <row r="171" spans="1:20" ht="14.25" customHeight="1" x14ac:dyDescent="0.3">
      <c r="A171" s="3" t="s">
        <v>363</v>
      </c>
      <c r="B171" s="3" t="s">
        <v>14</v>
      </c>
      <c r="C171" s="11">
        <v>45775</v>
      </c>
      <c r="D171" s="3" t="s">
        <v>22</v>
      </c>
      <c r="E171" s="3" t="s">
        <v>23</v>
      </c>
      <c r="F171" s="12">
        <v>3577</v>
      </c>
      <c r="G171" s="12">
        <v>596</v>
      </c>
      <c r="H171" s="12">
        <v>493</v>
      </c>
      <c r="I171" s="12">
        <v>67963</v>
      </c>
      <c r="J171" s="12">
        <v>67839</v>
      </c>
      <c r="K171" s="12">
        <v>53</v>
      </c>
      <c r="L171" s="4" t="s">
        <v>30</v>
      </c>
      <c r="M171" s="5" t="s">
        <v>31</v>
      </c>
      <c r="N171" s="31">
        <f t="shared" si="2"/>
        <v>4666</v>
      </c>
      <c r="O171" s="32">
        <f>IFERROR((Table1[[#This Row],[Likes]]+Table1[[#This Row],[Shares]]+Table1[[#This Row],[Comments]])/Table1[[#This Row],[Impressions]], 0)</f>
        <v>6.8655003457763777E-2</v>
      </c>
      <c r="P171" s="30" t="str" cm="1">
        <f t="array" ref="P171">IFERROR(INDEX('Campaign Metadata (2)'!$A$2:$A$10, MATCH(1, (C171&gt;='Campaign Metadata (2)'!$B$2:$B$10) * (C171&lt;='Campaign Metadata (2)'!$C$2:$C$10), 0)), "No Campaign")</f>
        <v>No Campaign</v>
      </c>
      <c r="Q171" s="33" t="e">
        <f>VLOOKUP(Table1[[#This Row],[Campaign_Name2]],Table3[#All],2,)</f>
        <v>#N/A</v>
      </c>
      <c r="R171" s="33" t="e">
        <f>VLOOKUP(Table1[[#This Row],[Campaign_Name2]],Table3[#All],3,FALSE)</f>
        <v>#N/A</v>
      </c>
      <c r="S171" s="30" t="e">
        <f>VLOOKUP(Table1[[#This Row],[Campaign_Name2]],Table3[],5,FALSE)</f>
        <v>#N/A</v>
      </c>
      <c r="T171" s="30">
        <f>IF(Table1[[#This Row],[Campaign_Name2]]="No Campaign", 0, Table1[[#This Row],[Budget]]/COUNTIF(Table1[Campaign_Name2],Table1[[#This Row],[Campaign_Name2]]))</f>
        <v>0</v>
      </c>
    </row>
    <row r="172" spans="1:20" ht="14.25" customHeight="1" x14ac:dyDescent="0.3">
      <c r="A172" s="3" t="s">
        <v>365</v>
      </c>
      <c r="B172" s="3" t="s">
        <v>27</v>
      </c>
      <c r="C172" s="11">
        <v>45657</v>
      </c>
      <c r="D172" s="3" t="s">
        <v>74</v>
      </c>
      <c r="E172" s="3" t="s">
        <v>219</v>
      </c>
      <c r="F172" s="12">
        <v>1018</v>
      </c>
      <c r="G172" s="12">
        <v>447</v>
      </c>
      <c r="H172" s="12">
        <v>332</v>
      </c>
      <c r="I172" s="12">
        <v>18324</v>
      </c>
      <c r="J172" s="12">
        <v>18164</v>
      </c>
      <c r="K172" s="12">
        <v>38</v>
      </c>
      <c r="L172" s="4" t="s">
        <v>62</v>
      </c>
      <c r="M172" s="5" t="s">
        <v>25</v>
      </c>
      <c r="N172" s="31">
        <f t="shared" si="2"/>
        <v>1797</v>
      </c>
      <c r="O172" s="32">
        <f>IFERROR((Table1[[#This Row],[Likes]]+Table1[[#This Row],[Shares]]+Table1[[#This Row],[Comments]])/Table1[[#This Row],[Impressions]], 0)</f>
        <v>9.8068107400130972E-2</v>
      </c>
      <c r="P172" s="30" t="str" cm="1">
        <f t="array" ref="P172">IFERROR(INDEX('Campaign Metadata (2)'!$A$2:$A$10, MATCH(1, (C172&gt;='Campaign Metadata (2)'!$B$2:$B$10) * (C172&lt;='Campaign Metadata (2)'!$C$2:$C$10), 0)), "No Campaign")</f>
        <v>NewYearRefresh</v>
      </c>
      <c r="Q172" s="33">
        <f>VLOOKUP(Table1[[#This Row],[Campaign_Name2]],Table3[#All],2,)</f>
        <v>45651</v>
      </c>
      <c r="R172" s="33">
        <f>VLOOKUP(Table1[[#This Row],[Campaign_Name2]],Table3[#All],3,FALSE)</f>
        <v>45667</v>
      </c>
      <c r="S172" s="30">
        <f>VLOOKUP(Table1[[#This Row],[Campaign_Name2]],Table3[],5,FALSE)</f>
        <v>250000</v>
      </c>
      <c r="T172" s="30">
        <f>IF(Table1[[#This Row],[Campaign_Name2]]="No Campaign", 0, Table1[[#This Row],[Budget]]/COUNTIF(Table1[Campaign_Name2],Table1[[#This Row],[Campaign_Name2]]))</f>
        <v>25000</v>
      </c>
    </row>
    <row r="173" spans="1:20" ht="14.25" customHeight="1" x14ac:dyDescent="0.3">
      <c r="A173" s="3" t="s">
        <v>367</v>
      </c>
      <c r="B173" s="3" t="s">
        <v>43</v>
      </c>
      <c r="C173" s="11">
        <v>45518</v>
      </c>
      <c r="D173" s="3" t="s">
        <v>45</v>
      </c>
      <c r="E173" s="3" t="s">
        <v>46</v>
      </c>
      <c r="F173" s="12">
        <v>3073</v>
      </c>
      <c r="G173" s="12">
        <v>553</v>
      </c>
      <c r="H173" s="12">
        <v>174</v>
      </c>
      <c r="I173" s="12">
        <v>52241</v>
      </c>
      <c r="J173" s="12">
        <v>51605</v>
      </c>
      <c r="K173" s="12">
        <v>246</v>
      </c>
      <c r="L173" s="4" t="s">
        <v>37</v>
      </c>
      <c r="M173" s="5" t="s">
        <v>31</v>
      </c>
      <c r="N173" s="31">
        <f t="shared" si="2"/>
        <v>3800</v>
      </c>
      <c r="O173" s="32">
        <f>IFERROR((Table1[[#This Row],[Likes]]+Table1[[#This Row],[Shares]]+Table1[[#This Row],[Comments]])/Table1[[#This Row],[Impressions]], 0)</f>
        <v>7.2739802071170159E-2</v>
      </c>
      <c r="P173" s="30" t="str" cm="1">
        <f t="array" ref="P173">IFERROR(INDEX('Campaign Metadata (2)'!$A$2:$A$10, MATCH(1, (C173&gt;='Campaign Metadata (2)'!$B$2:$B$10) * (C173&lt;='Campaign Metadata (2)'!$C$2:$C$10), 0)), "No Campaign")</f>
        <v>No Campaign</v>
      </c>
      <c r="Q173" s="33" t="e">
        <f>VLOOKUP(Table1[[#This Row],[Campaign_Name2]],Table3[#All],2,)</f>
        <v>#N/A</v>
      </c>
      <c r="R173" s="33" t="e">
        <f>VLOOKUP(Table1[[#This Row],[Campaign_Name2]],Table3[#All],3,FALSE)</f>
        <v>#N/A</v>
      </c>
      <c r="S173" s="30" t="e">
        <f>VLOOKUP(Table1[[#This Row],[Campaign_Name2]],Table3[],5,FALSE)</f>
        <v>#N/A</v>
      </c>
      <c r="T173" s="30">
        <f>IF(Table1[[#This Row],[Campaign_Name2]]="No Campaign", 0, Table1[[#This Row],[Budget]]/COUNTIF(Table1[Campaign_Name2],Table1[[#This Row],[Campaign_Name2]]))</f>
        <v>0</v>
      </c>
    </row>
    <row r="174" spans="1:20" ht="14.25" customHeight="1" x14ac:dyDescent="0.3">
      <c r="A174" s="3" t="s">
        <v>369</v>
      </c>
      <c r="B174" s="3" t="s">
        <v>14</v>
      </c>
      <c r="C174" s="11">
        <v>45631</v>
      </c>
      <c r="D174" s="3" t="s">
        <v>74</v>
      </c>
      <c r="E174" s="3" t="s">
        <v>145</v>
      </c>
      <c r="F174" s="12">
        <v>1330</v>
      </c>
      <c r="G174" s="12">
        <v>925</v>
      </c>
      <c r="H174" s="12">
        <v>35</v>
      </c>
      <c r="I174" s="12">
        <v>15960</v>
      </c>
      <c r="J174" s="12">
        <v>15379</v>
      </c>
      <c r="K174" s="12">
        <v>229</v>
      </c>
      <c r="L174" s="4" t="s">
        <v>62</v>
      </c>
      <c r="M174" s="5" t="s">
        <v>31</v>
      </c>
      <c r="N174" s="31">
        <f t="shared" si="2"/>
        <v>2290</v>
      </c>
      <c r="O174" s="32">
        <f>IFERROR((Table1[[#This Row],[Likes]]+Table1[[#This Row],[Shares]]+Table1[[#This Row],[Comments]])/Table1[[#This Row],[Impressions]], 0)</f>
        <v>0.14348370927318296</v>
      </c>
      <c r="P174" s="30" t="str" cm="1">
        <f t="array" ref="P174">IFERROR(INDEX('Campaign Metadata (2)'!$A$2:$A$10, MATCH(1, (C174&gt;='Campaign Metadata (2)'!$B$2:$B$10) * (C174&lt;='Campaign Metadata (2)'!$C$2:$C$10), 0)), "No Campaign")</f>
        <v>No Campaign</v>
      </c>
      <c r="Q174" s="33" t="e">
        <f>VLOOKUP(Table1[[#This Row],[Campaign_Name2]],Table3[#All],2,)</f>
        <v>#N/A</v>
      </c>
      <c r="R174" s="33" t="e">
        <f>VLOOKUP(Table1[[#This Row],[Campaign_Name2]],Table3[#All],3,FALSE)</f>
        <v>#N/A</v>
      </c>
      <c r="S174" s="30" t="e">
        <f>VLOOKUP(Table1[[#This Row],[Campaign_Name2]],Table3[],5,FALSE)</f>
        <v>#N/A</v>
      </c>
      <c r="T174" s="30">
        <f>IF(Table1[[#This Row],[Campaign_Name2]]="No Campaign", 0, Table1[[#This Row],[Budget]]/COUNTIF(Table1[Campaign_Name2],Table1[[#This Row],[Campaign_Name2]]))</f>
        <v>0</v>
      </c>
    </row>
    <row r="175" spans="1:20" ht="14.25" customHeight="1" x14ac:dyDescent="0.3">
      <c r="A175" s="3" t="s">
        <v>371</v>
      </c>
      <c r="B175" s="3" t="s">
        <v>43</v>
      </c>
      <c r="C175" s="11">
        <v>45465</v>
      </c>
      <c r="D175" s="3" t="s">
        <v>22</v>
      </c>
      <c r="E175" s="3" t="s">
        <v>56</v>
      </c>
      <c r="F175" s="12">
        <v>3828</v>
      </c>
      <c r="G175" s="12">
        <v>148</v>
      </c>
      <c r="H175" s="12">
        <v>253</v>
      </c>
      <c r="I175" s="12">
        <v>30624</v>
      </c>
      <c r="J175" s="12">
        <v>30229</v>
      </c>
      <c r="K175" s="12">
        <v>235</v>
      </c>
      <c r="L175" s="4" t="s">
        <v>37</v>
      </c>
      <c r="M175" s="5"/>
      <c r="N175" s="31">
        <f t="shared" si="2"/>
        <v>4229</v>
      </c>
      <c r="O175" s="32">
        <f>IFERROR((Table1[[#This Row],[Likes]]+Table1[[#This Row],[Shares]]+Table1[[#This Row],[Comments]])/Table1[[#This Row],[Impressions]], 0)</f>
        <v>0.13809430512016718</v>
      </c>
      <c r="P175" s="30" t="str" cm="1">
        <f t="array" ref="P175">IFERROR(INDEX('Campaign Metadata (2)'!$A$2:$A$10, MATCH(1, (C175&gt;='Campaign Metadata (2)'!$B$2:$B$10) * (C175&lt;='Campaign Metadata (2)'!$C$2:$C$10), 0)), "No Campaign")</f>
        <v>SummerSplash</v>
      </c>
      <c r="Q175" s="33">
        <f>VLOOKUP(Table1[[#This Row],[Campaign_Name2]],Table3[#All],2,)</f>
        <v>45458</v>
      </c>
      <c r="R175" s="33">
        <f>VLOOKUP(Table1[[#This Row],[Campaign_Name2]],Table3[#All],3,FALSE)</f>
        <v>45488</v>
      </c>
      <c r="S175" s="30">
        <f>VLOOKUP(Table1[[#This Row],[Campaign_Name2]],Table3[],5,FALSE)</f>
        <v>150000</v>
      </c>
      <c r="T175" s="30">
        <f>IF(Table1[[#This Row],[Campaign_Name2]]="No Campaign", 0, Table1[[#This Row],[Budget]]/COUNTIF(Table1[Campaign_Name2],Table1[[#This Row],[Campaign_Name2]]))</f>
        <v>5555.5555555555557</v>
      </c>
    </row>
    <row r="176" spans="1:20" ht="14.25" customHeight="1" x14ac:dyDescent="0.3">
      <c r="A176" s="3" t="s">
        <v>372</v>
      </c>
      <c r="B176" s="3" t="s">
        <v>33</v>
      </c>
      <c r="C176" s="11">
        <v>45674</v>
      </c>
      <c r="D176" s="3" t="s">
        <v>16</v>
      </c>
      <c r="E176" s="3" t="s">
        <v>82</v>
      </c>
      <c r="F176" s="12">
        <v>142</v>
      </c>
      <c r="G176" s="12">
        <v>784</v>
      </c>
      <c r="H176" s="12">
        <v>183</v>
      </c>
      <c r="I176" s="12">
        <v>1704</v>
      </c>
      <c r="J176" s="12">
        <v>995</v>
      </c>
      <c r="K176" s="12">
        <v>154</v>
      </c>
      <c r="L176" s="4" t="s">
        <v>62</v>
      </c>
      <c r="M176" s="5" t="s">
        <v>38</v>
      </c>
      <c r="N176" s="31">
        <f t="shared" si="2"/>
        <v>1109</v>
      </c>
      <c r="O176" s="32">
        <f>IFERROR((Table1[[#This Row],[Likes]]+Table1[[#This Row],[Shares]]+Table1[[#This Row],[Comments]])/Table1[[#This Row],[Impressions]], 0)</f>
        <v>0.6508215962441315</v>
      </c>
      <c r="P176" s="30" t="str" cm="1">
        <f t="array" ref="P176">IFERROR(INDEX('Campaign Metadata (2)'!$A$2:$A$10, MATCH(1, (C176&gt;='Campaign Metadata (2)'!$B$2:$B$10) * (C176&lt;='Campaign Metadata (2)'!$C$2:$C$10), 0)), "No Campaign")</f>
        <v>No Campaign</v>
      </c>
      <c r="Q176" s="33" t="e">
        <f>VLOOKUP(Table1[[#This Row],[Campaign_Name2]],Table3[#All],2,)</f>
        <v>#N/A</v>
      </c>
      <c r="R176" s="33" t="e">
        <f>VLOOKUP(Table1[[#This Row],[Campaign_Name2]],Table3[#All],3,FALSE)</f>
        <v>#N/A</v>
      </c>
      <c r="S176" s="30" t="e">
        <f>VLOOKUP(Table1[[#This Row],[Campaign_Name2]],Table3[],5,FALSE)</f>
        <v>#N/A</v>
      </c>
      <c r="T176" s="30">
        <f>IF(Table1[[#This Row],[Campaign_Name2]]="No Campaign", 0, Table1[[#This Row],[Budget]]/COUNTIF(Table1[Campaign_Name2],Table1[[#This Row],[Campaign_Name2]]))</f>
        <v>0</v>
      </c>
    </row>
    <row r="177" spans="1:20" ht="14.25" customHeight="1" x14ac:dyDescent="0.3">
      <c r="A177" s="3" t="s">
        <v>374</v>
      </c>
      <c r="B177" s="3" t="s">
        <v>43</v>
      </c>
      <c r="C177" s="11">
        <v>45463</v>
      </c>
      <c r="D177" s="3" t="s">
        <v>74</v>
      </c>
      <c r="E177" s="3" t="s">
        <v>75</v>
      </c>
      <c r="F177" s="12">
        <v>3798</v>
      </c>
      <c r="G177" s="12">
        <v>31</v>
      </c>
      <c r="H177" s="12">
        <v>279</v>
      </c>
      <c r="I177" s="12">
        <v>75960</v>
      </c>
      <c r="J177" s="12">
        <v>75813</v>
      </c>
      <c r="K177" s="12">
        <v>266</v>
      </c>
      <c r="L177" s="4" t="s">
        <v>30</v>
      </c>
      <c r="M177" s="5" t="s">
        <v>19</v>
      </c>
      <c r="N177" s="31">
        <f t="shared" si="2"/>
        <v>4108</v>
      </c>
      <c r="O177" s="32">
        <f>IFERROR((Table1[[#This Row],[Likes]]+Table1[[#This Row],[Shares]]+Table1[[#This Row],[Comments]])/Table1[[#This Row],[Impressions]], 0)</f>
        <v>5.4081095313322801E-2</v>
      </c>
      <c r="P177" s="30" t="str" cm="1">
        <f t="array" ref="P177">IFERROR(INDEX('Campaign Metadata (2)'!$A$2:$A$10, MATCH(1, (C177&gt;='Campaign Metadata (2)'!$B$2:$B$10) * (C177&lt;='Campaign Metadata (2)'!$C$2:$C$10), 0)), "No Campaign")</f>
        <v>SummerSplash</v>
      </c>
      <c r="Q177" s="33">
        <f>VLOOKUP(Table1[[#This Row],[Campaign_Name2]],Table3[#All],2,)</f>
        <v>45458</v>
      </c>
      <c r="R177" s="33">
        <f>VLOOKUP(Table1[[#This Row],[Campaign_Name2]],Table3[#All],3,FALSE)</f>
        <v>45488</v>
      </c>
      <c r="S177" s="30">
        <f>VLOOKUP(Table1[[#This Row],[Campaign_Name2]],Table3[],5,FALSE)</f>
        <v>150000</v>
      </c>
      <c r="T177" s="30">
        <f>IF(Table1[[#This Row],[Campaign_Name2]]="No Campaign", 0, Table1[[#This Row],[Budget]]/COUNTIF(Table1[Campaign_Name2],Table1[[#This Row],[Campaign_Name2]]))</f>
        <v>5555.5555555555557</v>
      </c>
    </row>
    <row r="178" spans="1:20" ht="14.25" customHeight="1" x14ac:dyDescent="0.3">
      <c r="A178" s="3" t="s">
        <v>376</v>
      </c>
      <c r="B178" s="3" t="s">
        <v>33</v>
      </c>
      <c r="C178" s="11">
        <v>45483</v>
      </c>
      <c r="D178" s="3" t="s">
        <v>45</v>
      </c>
      <c r="E178" s="3" t="s">
        <v>88</v>
      </c>
      <c r="F178" s="12">
        <v>3099</v>
      </c>
      <c r="G178" s="12">
        <v>694</v>
      </c>
      <c r="H178" s="12">
        <v>171</v>
      </c>
      <c r="I178" s="12">
        <v>43386</v>
      </c>
      <c r="J178" s="12">
        <v>42921</v>
      </c>
      <c r="K178" s="12">
        <v>52</v>
      </c>
      <c r="L178" s="4" t="s">
        <v>30</v>
      </c>
      <c r="M178" s="5" t="s">
        <v>31</v>
      </c>
      <c r="N178" s="31">
        <f t="shared" si="2"/>
        <v>3964</v>
      </c>
      <c r="O178" s="32">
        <f>IFERROR((Table1[[#This Row],[Likes]]+Table1[[#This Row],[Shares]]+Table1[[#This Row],[Comments]])/Table1[[#This Row],[Impressions]], 0)</f>
        <v>9.1365878393951966E-2</v>
      </c>
      <c r="P178" s="30" t="str" cm="1">
        <f t="array" ref="P178">IFERROR(INDEX('Campaign Metadata (2)'!$A$2:$A$10, MATCH(1, (C178&gt;='Campaign Metadata (2)'!$B$2:$B$10) * (C178&lt;='Campaign Metadata (2)'!$C$2:$C$10), 0)), "No Campaign")</f>
        <v>SummerSplash</v>
      </c>
      <c r="Q178" s="33">
        <f>VLOOKUP(Table1[[#This Row],[Campaign_Name2]],Table3[#All],2,)</f>
        <v>45458</v>
      </c>
      <c r="R178" s="33">
        <f>VLOOKUP(Table1[[#This Row],[Campaign_Name2]],Table3[#All],3,FALSE)</f>
        <v>45488</v>
      </c>
      <c r="S178" s="30">
        <f>VLOOKUP(Table1[[#This Row],[Campaign_Name2]],Table3[],5,FALSE)</f>
        <v>150000</v>
      </c>
      <c r="T178" s="30">
        <f>IF(Table1[[#This Row],[Campaign_Name2]]="No Campaign", 0, Table1[[#This Row],[Budget]]/COUNTIF(Table1[Campaign_Name2],Table1[[#This Row],[Campaign_Name2]]))</f>
        <v>5555.5555555555557</v>
      </c>
    </row>
    <row r="179" spans="1:20" ht="14.25" customHeight="1" x14ac:dyDescent="0.3">
      <c r="A179" s="3" t="s">
        <v>378</v>
      </c>
      <c r="B179" s="3" t="s">
        <v>33</v>
      </c>
      <c r="C179" s="11">
        <v>45603</v>
      </c>
      <c r="D179" s="3" t="s">
        <v>74</v>
      </c>
      <c r="E179" s="3" t="s">
        <v>85</v>
      </c>
      <c r="F179" s="12">
        <v>129</v>
      </c>
      <c r="G179" s="12">
        <v>643</v>
      </c>
      <c r="H179" s="12">
        <v>136</v>
      </c>
      <c r="I179" s="12">
        <v>1290</v>
      </c>
      <c r="J179" s="12">
        <v>839</v>
      </c>
      <c r="K179" s="12">
        <v>238</v>
      </c>
      <c r="L179" s="4" t="s">
        <v>30</v>
      </c>
      <c r="M179" s="5" t="s">
        <v>38</v>
      </c>
      <c r="N179" s="31">
        <f t="shared" si="2"/>
        <v>908</v>
      </c>
      <c r="O179" s="32">
        <f>IFERROR((Table1[[#This Row],[Likes]]+Table1[[#This Row],[Shares]]+Table1[[#This Row],[Comments]])/Table1[[#This Row],[Impressions]], 0)</f>
        <v>0.70387596899224802</v>
      </c>
      <c r="P179" s="30" t="str" cm="1">
        <f t="array" ref="P179">IFERROR(INDEX('Campaign Metadata (2)'!$A$2:$A$10, MATCH(1, (C179&gt;='Campaign Metadata (2)'!$B$2:$B$10) * (C179&lt;='Campaign Metadata (2)'!$C$2:$C$10), 0)), "No Campaign")</f>
        <v>No Campaign</v>
      </c>
      <c r="Q179" s="33" t="e">
        <f>VLOOKUP(Table1[[#This Row],[Campaign_Name2]],Table3[#All],2,)</f>
        <v>#N/A</v>
      </c>
      <c r="R179" s="33" t="e">
        <f>VLOOKUP(Table1[[#This Row],[Campaign_Name2]],Table3[#All],3,FALSE)</f>
        <v>#N/A</v>
      </c>
      <c r="S179" s="30" t="e">
        <f>VLOOKUP(Table1[[#This Row],[Campaign_Name2]],Table3[],5,FALSE)</f>
        <v>#N/A</v>
      </c>
      <c r="T179" s="30">
        <f>IF(Table1[[#This Row],[Campaign_Name2]]="No Campaign", 0, Table1[[#This Row],[Budget]]/COUNTIF(Table1[Campaign_Name2],Table1[[#This Row],[Campaign_Name2]]))</f>
        <v>0</v>
      </c>
    </row>
    <row r="180" spans="1:20" ht="14.25" customHeight="1" x14ac:dyDescent="0.3">
      <c r="A180" s="3" t="s">
        <v>379</v>
      </c>
      <c r="B180" s="3" t="s">
        <v>43</v>
      </c>
      <c r="C180" s="11">
        <v>45488</v>
      </c>
      <c r="D180" s="3" t="s">
        <v>45</v>
      </c>
      <c r="E180" s="3" t="s">
        <v>46</v>
      </c>
      <c r="F180" s="12">
        <v>3796</v>
      </c>
      <c r="G180" s="12">
        <v>667</v>
      </c>
      <c r="H180" s="12">
        <v>395</v>
      </c>
      <c r="I180" s="12">
        <v>64532</v>
      </c>
      <c r="J180" s="12">
        <v>63550</v>
      </c>
      <c r="K180" s="12">
        <v>292</v>
      </c>
      <c r="L180" s="4" t="s">
        <v>30</v>
      </c>
      <c r="M180" s="5"/>
      <c r="N180" s="31">
        <f t="shared" si="2"/>
        <v>4858</v>
      </c>
      <c r="O180" s="32">
        <f>IFERROR((Table1[[#This Row],[Likes]]+Table1[[#This Row],[Shares]]+Table1[[#This Row],[Comments]])/Table1[[#This Row],[Impressions]], 0)</f>
        <v>7.5280481001673588E-2</v>
      </c>
      <c r="P180" s="30" t="str" cm="1">
        <f t="array" ref="P180">IFERROR(INDEX('Campaign Metadata (2)'!$A$2:$A$10, MATCH(1, (C180&gt;='Campaign Metadata (2)'!$B$2:$B$10) * (C180&lt;='Campaign Metadata (2)'!$C$2:$C$10), 0)), "No Campaign")</f>
        <v>SummerSplash</v>
      </c>
      <c r="Q180" s="33">
        <f>VLOOKUP(Table1[[#This Row],[Campaign_Name2]],Table3[#All],2,)</f>
        <v>45458</v>
      </c>
      <c r="R180" s="33">
        <f>VLOOKUP(Table1[[#This Row],[Campaign_Name2]],Table3[#All],3,FALSE)</f>
        <v>45488</v>
      </c>
      <c r="S180" s="30">
        <f>VLOOKUP(Table1[[#This Row],[Campaign_Name2]],Table3[],5,FALSE)</f>
        <v>150000</v>
      </c>
      <c r="T180" s="30">
        <f>IF(Table1[[#This Row],[Campaign_Name2]]="No Campaign", 0, Table1[[#This Row],[Budget]]/COUNTIF(Table1[Campaign_Name2],Table1[[#This Row],[Campaign_Name2]]))</f>
        <v>5555.5555555555557</v>
      </c>
    </row>
    <row r="181" spans="1:20" ht="14.25" customHeight="1" x14ac:dyDescent="0.3">
      <c r="A181" s="3" t="s">
        <v>380</v>
      </c>
      <c r="B181" s="3" t="s">
        <v>27</v>
      </c>
      <c r="C181" s="11">
        <v>45629</v>
      </c>
      <c r="D181" s="3" t="s">
        <v>22</v>
      </c>
      <c r="E181" s="3" t="s">
        <v>104</v>
      </c>
      <c r="F181" s="12">
        <v>3711</v>
      </c>
      <c r="G181" s="12">
        <v>352</v>
      </c>
      <c r="H181" s="12">
        <v>290</v>
      </c>
      <c r="I181" s="12">
        <v>48243</v>
      </c>
      <c r="J181" s="12">
        <v>47579</v>
      </c>
      <c r="K181" s="12">
        <v>11</v>
      </c>
      <c r="L181" s="4" t="s">
        <v>30</v>
      </c>
      <c r="M181" s="5" t="s">
        <v>19</v>
      </c>
      <c r="N181" s="31">
        <f t="shared" si="2"/>
        <v>4353</v>
      </c>
      <c r="O181" s="32">
        <f>IFERROR((Table1[[#This Row],[Likes]]+Table1[[#This Row],[Shares]]+Table1[[#This Row],[Comments]])/Table1[[#This Row],[Impressions]], 0)</f>
        <v>9.023070704558174E-2</v>
      </c>
      <c r="P181" s="30" t="str" cm="1">
        <f t="array" ref="P181">IFERROR(INDEX('Campaign Metadata (2)'!$A$2:$A$10, MATCH(1, (C181&gt;='Campaign Metadata (2)'!$B$2:$B$10) * (C181&lt;='Campaign Metadata (2)'!$C$2:$C$10), 0)), "No Campaign")</f>
        <v>No Campaign</v>
      </c>
      <c r="Q181" s="33" t="e">
        <f>VLOOKUP(Table1[[#This Row],[Campaign_Name2]],Table3[#All],2,)</f>
        <v>#N/A</v>
      </c>
      <c r="R181" s="33" t="e">
        <f>VLOOKUP(Table1[[#This Row],[Campaign_Name2]],Table3[#All],3,FALSE)</f>
        <v>#N/A</v>
      </c>
      <c r="S181" s="30" t="e">
        <f>VLOOKUP(Table1[[#This Row],[Campaign_Name2]],Table3[],5,FALSE)</f>
        <v>#N/A</v>
      </c>
      <c r="T181" s="30">
        <f>IF(Table1[[#This Row],[Campaign_Name2]]="No Campaign", 0, Table1[[#This Row],[Budget]]/COUNTIF(Table1[Campaign_Name2],Table1[[#This Row],[Campaign_Name2]]))</f>
        <v>0</v>
      </c>
    </row>
    <row r="182" spans="1:20" ht="14.25" customHeight="1" x14ac:dyDescent="0.3">
      <c r="A182" s="3" t="s">
        <v>381</v>
      </c>
      <c r="B182" s="3" t="s">
        <v>27</v>
      </c>
      <c r="C182" s="11">
        <v>45737</v>
      </c>
      <c r="D182" s="3" t="s">
        <v>52</v>
      </c>
      <c r="E182" s="3" t="s">
        <v>53</v>
      </c>
      <c r="F182" s="12">
        <v>606</v>
      </c>
      <c r="G182" s="12">
        <v>789</v>
      </c>
      <c r="H182" s="12">
        <v>470</v>
      </c>
      <c r="I182" s="12">
        <v>7878</v>
      </c>
      <c r="J182" s="12">
        <v>7389</v>
      </c>
      <c r="K182" s="12">
        <v>239</v>
      </c>
      <c r="L182" s="4" t="s">
        <v>37</v>
      </c>
      <c r="M182" s="5" t="s">
        <v>31</v>
      </c>
      <c r="N182" s="31">
        <f t="shared" si="2"/>
        <v>1865</v>
      </c>
      <c r="O182" s="32">
        <f>IFERROR((Table1[[#This Row],[Likes]]+Table1[[#This Row],[Shares]]+Table1[[#This Row],[Comments]])/Table1[[#This Row],[Impressions]], 0)</f>
        <v>0.23673521198273673</v>
      </c>
      <c r="P182" s="30" t="str" cm="1">
        <f t="array" ref="P182">IFERROR(INDEX('Campaign Metadata (2)'!$A$2:$A$10, MATCH(1, (C182&gt;='Campaign Metadata (2)'!$B$2:$B$10) * (C182&lt;='Campaign Metadata (2)'!$C$2:$C$10), 0)), "No Campaign")</f>
        <v>DailyWellness</v>
      </c>
      <c r="Q182" s="33">
        <f>VLOOKUP(Table1[[#This Row],[Campaign_Name2]],Table3[#All],2,)</f>
        <v>45717</v>
      </c>
      <c r="R182" s="33">
        <f>VLOOKUP(Table1[[#This Row],[Campaign_Name2]],Table3[#All],3,FALSE)</f>
        <v>45747</v>
      </c>
      <c r="S182" s="30">
        <f>VLOOKUP(Table1[[#This Row],[Campaign_Name2]],Table3[],5,FALSE)</f>
        <v>180000</v>
      </c>
      <c r="T182" s="30">
        <f>IF(Table1[[#This Row],[Campaign_Name2]]="No Campaign", 0, Table1[[#This Row],[Budget]]/COUNTIF(Table1[Campaign_Name2],Table1[[#This Row],[Campaign_Name2]]))</f>
        <v>5625</v>
      </c>
    </row>
    <row r="183" spans="1:20" ht="14.25" customHeight="1" x14ac:dyDescent="0.3">
      <c r="A183" s="3" t="s">
        <v>383</v>
      </c>
      <c r="B183" s="3" t="s">
        <v>43</v>
      </c>
      <c r="C183" s="11">
        <v>45504</v>
      </c>
      <c r="D183" s="3" t="s">
        <v>52</v>
      </c>
      <c r="E183" s="3" t="s">
        <v>59</v>
      </c>
      <c r="F183" s="12">
        <v>4689</v>
      </c>
      <c r="G183" s="12">
        <v>134</v>
      </c>
      <c r="H183" s="12">
        <v>403</v>
      </c>
      <c r="I183" s="12">
        <v>51579</v>
      </c>
      <c r="J183" s="12">
        <v>50924</v>
      </c>
      <c r="K183" s="12">
        <v>173</v>
      </c>
      <c r="L183" s="4" t="s">
        <v>30</v>
      </c>
      <c r="M183" s="5" t="s">
        <v>38</v>
      </c>
      <c r="N183" s="31">
        <f t="shared" si="2"/>
        <v>5226</v>
      </c>
      <c r="O183" s="32">
        <f>IFERROR((Table1[[#This Row],[Likes]]+Table1[[#This Row],[Shares]]+Table1[[#This Row],[Comments]])/Table1[[#This Row],[Impressions]], 0)</f>
        <v>0.10132030477519921</v>
      </c>
      <c r="P183" s="30" t="str" cm="1">
        <f t="array" ref="P183">IFERROR(INDEX('Campaign Metadata (2)'!$A$2:$A$10, MATCH(1, (C183&gt;='Campaign Metadata (2)'!$B$2:$B$10) * (C183&lt;='Campaign Metadata (2)'!$C$2:$C$10), 0)), "No Campaign")</f>
        <v>No Campaign</v>
      </c>
      <c r="Q183" s="33" t="e">
        <f>VLOOKUP(Table1[[#This Row],[Campaign_Name2]],Table3[#All],2,)</f>
        <v>#N/A</v>
      </c>
      <c r="R183" s="33" t="e">
        <f>VLOOKUP(Table1[[#This Row],[Campaign_Name2]],Table3[#All],3,FALSE)</f>
        <v>#N/A</v>
      </c>
      <c r="S183" s="30" t="e">
        <f>VLOOKUP(Table1[[#This Row],[Campaign_Name2]],Table3[],5,FALSE)</f>
        <v>#N/A</v>
      </c>
      <c r="T183" s="30">
        <f>IF(Table1[[#This Row],[Campaign_Name2]]="No Campaign", 0, Table1[[#This Row],[Budget]]/COUNTIF(Table1[Campaign_Name2],Table1[[#This Row],[Campaign_Name2]]))</f>
        <v>0</v>
      </c>
    </row>
    <row r="184" spans="1:20" ht="14.25" customHeight="1" x14ac:dyDescent="0.3">
      <c r="A184" s="3" t="s">
        <v>384</v>
      </c>
      <c r="B184" s="3" t="s">
        <v>33</v>
      </c>
      <c r="C184" s="11">
        <v>45643</v>
      </c>
      <c r="D184" s="3" t="s">
        <v>35</v>
      </c>
      <c r="E184" s="3" t="s">
        <v>36</v>
      </c>
      <c r="F184" s="12">
        <v>360</v>
      </c>
      <c r="G184" s="12">
        <v>590</v>
      </c>
      <c r="H184" s="12">
        <v>393</v>
      </c>
      <c r="I184" s="12">
        <v>4680</v>
      </c>
      <c r="J184" s="12">
        <v>4322</v>
      </c>
      <c r="K184" s="12">
        <v>208</v>
      </c>
      <c r="L184" s="4" t="s">
        <v>62</v>
      </c>
      <c r="M184" s="5" t="s">
        <v>25</v>
      </c>
      <c r="N184" s="31">
        <f t="shared" si="2"/>
        <v>1343</v>
      </c>
      <c r="O184" s="32">
        <f>IFERROR((Table1[[#This Row],[Likes]]+Table1[[#This Row],[Shares]]+Table1[[#This Row],[Comments]])/Table1[[#This Row],[Impressions]], 0)</f>
        <v>0.28696581196581195</v>
      </c>
      <c r="P184" s="30" t="str" cm="1">
        <f t="array" ref="P184">IFERROR(INDEX('Campaign Metadata (2)'!$A$2:$A$10, MATCH(1, (C184&gt;='Campaign Metadata (2)'!$B$2:$B$10) * (C184&lt;='Campaign Metadata (2)'!$C$2:$C$10), 0)), "No Campaign")</f>
        <v>No Campaign</v>
      </c>
      <c r="Q184" s="33" t="e">
        <f>VLOOKUP(Table1[[#This Row],[Campaign_Name2]],Table3[#All],2,)</f>
        <v>#N/A</v>
      </c>
      <c r="R184" s="33" t="e">
        <f>VLOOKUP(Table1[[#This Row],[Campaign_Name2]],Table3[#All],3,FALSE)</f>
        <v>#N/A</v>
      </c>
      <c r="S184" s="30" t="e">
        <f>VLOOKUP(Table1[[#This Row],[Campaign_Name2]],Table3[],5,FALSE)</f>
        <v>#N/A</v>
      </c>
      <c r="T184" s="30">
        <f>IF(Table1[[#This Row],[Campaign_Name2]]="No Campaign", 0, Table1[[#This Row],[Budget]]/COUNTIF(Table1[Campaign_Name2],Table1[[#This Row],[Campaign_Name2]]))</f>
        <v>0</v>
      </c>
    </row>
    <row r="185" spans="1:20" ht="14.25" customHeight="1" x14ac:dyDescent="0.3">
      <c r="A185" s="3" t="s">
        <v>386</v>
      </c>
      <c r="B185" s="3" t="s">
        <v>14</v>
      </c>
      <c r="C185" s="11">
        <v>45501</v>
      </c>
      <c r="D185" s="3" t="s">
        <v>52</v>
      </c>
      <c r="E185" s="3" t="s">
        <v>132</v>
      </c>
      <c r="F185" s="12">
        <v>3215</v>
      </c>
      <c r="G185" s="12">
        <v>960</v>
      </c>
      <c r="H185" s="12">
        <v>202</v>
      </c>
      <c r="I185" s="12">
        <v>32150</v>
      </c>
      <c r="J185" s="12">
        <v>31404</v>
      </c>
      <c r="K185" s="12">
        <v>251</v>
      </c>
      <c r="L185" s="4" t="s">
        <v>37</v>
      </c>
      <c r="M185" s="5" t="s">
        <v>19</v>
      </c>
      <c r="N185" s="31">
        <f t="shared" si="2"/>
        <v>4377</v>
      </c>
      <c r="O185" s="32">
        <f>IFERROR((Table1[[#This Row],[Likes]]+Table1[[#This Row],[Shares]]+Table1[[#This Row],[Comments]])/Table1[[#This Row],[Impressions]], 0)</f>
        <v>0.13614307931570763</v>
      </c>
      <c r="P185" s="30" t="str" cm="1">
        <f t="array" ref="P185">IFERROR(INDEX('Campaign Metadata (2)'!$A$2:$A$10, MATCH(1, (C185&gt;='Campaign Metadata (2)'!$B$2:$B$10) * (C185&lt;='Campaign Metadata (2)'!$C$2:$C$10), 0)), "No Campaign")</f>
        <v>No Campaign</v>
      </c>
      <c r="Q185" s="33" t="e">
        <f>VLOOKUP(Table1[[#This Row],[Campaign_Name2]],Table3[#All],2,)</f>
        <v>#N/A</v>
      </c>
      <c r="R185" s="33" t="e">
        <f>VLOOKUP(Table1[[#This Row],[Campaign_Name2]],Table3[#All],3,FALSE)</f>
        <v>#N/A</v>
      </c>
      <c r="S185" s="30" t="e">
        <f>VLOOKUP(Table1[[#This Row],[Campaign_Name2]],Table3[],5,FALSE)</f>
        <v>#N/A</v>
      </c>
      <c r="T185" s="30">
        <f>IF(Table1[[#This Row],[Campaign_Name2]]="No Campaign", 0, Table1[[#This Row],[Budget]]/COUNTIF(Table1[Campaign_Name2],Table1[[#This Row],[Campaign_Name2]]))</f>
        <v>0</v>
      </c>
    </row>
    <row r="186" spans="1:20" ht="14.25" customHeight="1" x14ac:dyDescent="0.3">
      <c r="A186" s="3" t="s">
        <v>388</v>
      </c>
      <c r="B186" s="3" t="s">
        <v>33</v>
      </c>
      <c r="C186" s="11">
        <v>45668</v>
      </c>
      <c r="D186" s="3" t="s">
        <v>45</v>
      </c>
      <c r="E186" s="3" t="s">
        <v>88</v>
      </c>
      <c r="F186" s="12">
        <v>4523</v>
      </c>
      <c r="G186" s="12">
        <v>61</v>
      </c>
      <c r="H186" s="12">
        <v>157</v>
      </c>
      <c r="I186" s="12">
        <v>49753</v>
      </c>
      <c r="J186" s="12">
        <v>49329</v>
      </c>
      <c r="K186" s="12">
        <v>71</v>
      </c>
      <c r="L186" s="4" t="s">
        <v>37</v>
      </c>
      <c r="M186" s="5"/>
      <c r="N186" s="31">
        <f t="shared" si="2"/>
        <v>4741</v>
      </c>
      <c r="O186" s="32">
        <f>IFERROR((Table1[[#This Row],[Likes]]+Table1[[#This Row],[Shares]]+Table1[[#This Row],[Comments]])/Table1[[#This Row],[Impressions]], 0)</f>
        <v>9.5290736237010829E-2</v>
      </c>
      <c r="P186" s="30" t="str" cm="1">
        <f t="array" ref="P186">IFERROR(INDEX('Campaign Metadata (2)'!$A$2:$A$10, MATCH(1, (C186&gt;='Campaign Metadata (2)'!$B$2:$B$10) * (C186&lt;='Campaign Metadata (2)'!$C$2:$C$10), 0)), "No Campaign")</f>
        <v>No Campaign</v>
      </c>
      <c r="Q186" s="33" t="e">
        <f>VLOOKUP(Table1[[#This Row],[Campaign_Name2]],Table3[#All],2,)</f>
        <v>#N/A</v>
      </c>
      <c r="R186" s="33" t="e">
        <f>VLOOKUP(Table1[[#This Row],[Campaign_Name2]],Table3[#All],3,FALSE)</f>
        <v>#N/A</v>
      </c>
      <c r="S186" s="30" t="e">
        <f>VLOOKUP(Table1[[#This Row],[Campaign_Name2]],Table3[],5,FALSE)</f>
        <v>#N/A</v>
      </c>
      <c r="T186" s="30">
        <f>IF(Table1[[#This Row],[Campaign_Name2]]="No Campaign", 0, Table1[[#This Row],[Budget]]/COUNTIF(Table1[Campaign_Name2],Table1[[#This Row],[Campaign_Name2]]))</f>
        <v>0</v>
      </c>
    </row>
    <row r="187" spans="1:20" ht="14.25" customHeight="1" x14ac:dyDescent="0.3">
      <c r="A187" s="3" t="s">
        <v>390</v>
      </c>
      <c r="B187" s="3" t="s">
        <v>43</v>
      </c>
      <c r="C187" s="11">
        <v>45528</v>
      </c>
      <c r="D187" s="3" t="s">
        <v>45</v>
      </c>
      <c r="E187" s="3" t="s">
        <v>46</v>
      </c>
      <c r="F187" s="12">
        <v>4292</v>
      </c>
      <c r="G187" s="12">
        <v>51</v>
      </c>
      <c r="H187" s="12">
        <v>392</v>
      </c>
      <c r="I187" s="12">
        <v>55796</v>
      </c>
      <c r="J187" s="12">
        <v>54826</v>
      </c>
      <c r="K187" s="12">
        <v>264</v>
      </c>
      <c r="L187" s="4" t="s">
        <v>37</v>
      </c>
      <c r="M187" s="5" t="s">
        <v>31</v>
      </c>
      <c r="N187" s="31">
        <f t="shared" si="2"/>
        <v>4735</v>
      </c>
      <c r="O187" s="32">
        <f>IFERROR((Table1[[#This Row],[Likes]]+Table1[[#This Row],[Shares]]+Table1[[#This Row],[Comments]])/Table1[[#This Row],[Impressions]], 0)</f>
        <v>8.4862714173059003E-2</v>
      </c>
      <c r="P187" s="30" t="str" cm="1">
        <f t="array" ref="P187">IFERROR(INDEX('Campaign Metadata (2)'!$A$2:$A$10, MATCH(1, (C187&gt;='Campaign Metadata (2)'!$B$2:$B$10) * (C187&lt;='Campaign Metadata (2)'!$C$2:$C$10), 0)), "No Campaign")</f>
        <v>No Campaign</v>
      </c>
      <c r="Q187" s="33" t="e">
        <f>VLOOKUP(Table1[[#This Row],[Campaign_Name2]],Table3[#All],2,)</f>
        <v>#N/A</v>
      </c>
      <c r="R187" s="33" t="e">
        <f>VLOOKUP(Table1[[#This Row],[Campaign_Name2]],Table3[#All],3,FALSE)</f>
        <v>#N/A</v>
      </c>
      <c r="S187" s="30" t="e">
        <f>VLOOKUP(Table1[[#This Row],[Campaign_Name2]],Table3[],5,FALSE)</f>
        <v>#N/A</v>
      </c>
      <c r="T187" s="30">
        <f>IF(Table1[[#This Row],[Campaign_Name2]]="No Campaign", 0, Table1[[#This Row],[Budget]]/COUNTIF(Table1[Campaign_Name2],Table1[[#This Row],[Campaign_Name2]]))</f>
        <v>0</v>
      </c>
    </row>
    <row r="188" spans="1:20" ht="14.25" customHeight="1" x14ac:dyDescent="0.3">
      <c r="A188" s="3" t="s">
        <v>391</v>
      </c>
      <c r="B188" s="3" t="s">
        <v>14</v>
      </c>
      <c r="C188" s="11">
        <v>45648</v>
      </c>
      <c r="D188" s="3" t="s">
        <v>16</v>
      </c>
      <c r="E188" s="3" t="s">
        <v>17</v>
      </c>
      <c r="F188" s="12">
        <v>1644</v>
      </c>
      <c r="G188" s="12">
        <v>546</v>
      </c>
      <c r="H188" s="12">
        <v>150</v>
      </c>
      <c r="I188" s="12">
        <v>27948</v>
      </c>
      <c r="J188" s="12">
        <v>27184</v>
      </c>
      <c r="K188" s="12">
        <v>300</v>
      </c>
      <c r="L188" s="4" t="s">
        <v>37</v>
      </c>
      <c r="M188" s="5" t="s">
        <v>31</v>
      </c>
      <c r="N188" s="31">
        <f t="shared" si="2"/>
        <v>2340</v>
      </c>
      <c r="O188" s="32">
        <f>IFERROR((Table1[[#This Row],[Likes]]+Table1[[#This Row],[Shares]]+Table1[[#This Row],[Comments]])/Table1[[#This Row],[Impressions]], 0)</f>
        <v>8.3726921425504502E-2</v>
      </c>
      <c r="P188" s="30" t="str" cm="1">
        <f t="array" ref="P188">IFERROR(INDEX('Campaign Metadata (2)'!$A$2:$A$10, MATCH(1, (C188&gt;='Campaign Metadata (2)'!$B$2:$B$10) * (C188&lt;='Campaign Metadata (2)'!$C$2:$C$10), 0)), "No Campaign")</f>
        <v>No Campaign</v>
      </c>
      <c r="Q188" s="33" t="e">
        <f>VLOOKUP(Table1[[#This Row],[Campaign_Name2]],Table3[#All],2,)</f>
        <v>#N/A</v>
      </c>
      <c r="R188" s="33" t="e">
        <f>VLOOKUP(Table1[[#This Row],[Campaign_Name2]],Table3[#All],3,FALSE)</f>
        <v>#N/A</v>
      </c>
      <c r="S188" s="30" t="e">
        <f>VLOOKUP(Table1[[#This Row],[Campaign_Name2]],Table3[],5,FALSE)</f>
        <v>#N/A</v>
      </c>
      <c r="T188" s="30">
        <f>IF(Table1[[#This Row],[Campaign_Name2]]="No Campaign", 0, Table1[[#This Row],[Budget]]/COUNTIF(Table1[Campaign_Name2],Table1[[#This Row],[Campaign_Name2]]))</f>
        <v>0</v>
      </c>
    </row>
    <row r="189" spans="1:20" ht="14.25" customHeight="1" x14ac:dyDescent="0.3">
      <c r="A189" s="3" t="s">
        <v>393</v>
      </c>
      <c r="B189" s="3" t="s">
        <v>27</v>
      </c>
      <c r="C189" s="11">
        <v>45449</v>
      </c>
      <c r="D189" s="3" t="s">
        <v>16</v>
      </c>
      <c r="E189" s="3" t="s">
        <v>29</v>
      </c>
      <c r="F189" s="12">
        <v>2728</v>
      </c>
      <c r="G189" s="12">
        <v>533</v>
      </c>
      <c r="H189" s="12">
        <v>215</v>
      </c>
      <c r="I189" s="12">
        <v>40920</v>
      </c>
      <c r="J189" s="12">
        <v>40816</v>
      </c>
      <c r="K189" s="12">
        <v>137</v>
      </c>
      <c r="L189" s="4" t="s">
        <v>62</v>
      </c>
      <c r="M189" s="5" t="s">
        <v>25</v>
      </c>
      <c r="N189" s="31">
        <f t="shared" si="2"/>
        <v>3476</v>
      </c>
      <c r="O189" s="32">
        <f>IFERROR((Table1[[#This Row],[Likes]]+Table1[[#This Row],[Shares]]+Table1[[#This Row],[Comments]])/Table1[[#This Row],[Impressions]], 0)</f>
        <v>8.4946236559139784E-2</v>
      </c>
      <c r="P189" s="30" t="str" cm="1">
        <f t="array" ref="P189">IFERROR(INDEX('Campaign Metadata (2)'!$A$2:$A$10, MATCH(1, (C189&gt;='Campaign Metadata (2)'!$B$2:$B$10) * (C189&lt;='Campaign Metadata (2)'!$C$2:$C$10), 0)), "No Campaign")</f>
        <v>No Campaign</v>
      </c>
      <c r="Q189" s="33" t="e">
        <f>VLOOKUP(Table1[[#This Row],[Campaign_Name2]],Table3[#All],2,)</f>
        <v>#N/A</v>
      </c>
      <c r="R189" s="33" t="e">
        <f>VLOOKUP(Table1[[#This Row],[Campaign_Name2]],Table3[#All],3,FALSE)</f>
        <v>#N/A</v>
      </c>
      <c r="S189" s="30" t="e">
        <f>VLOOKUP(Table1[[#This Row],[Campaign_Name2]],Table3[],5,FALSE)</f>
        <v>#N/A</v>
      </c>
      <c r="T189" s="30">
        <f>IF(Table1[[#This Row],[Campaign_Name2]]="No Campaign", 0, Table1[[#This Row],[Budget]]/COUNTIF(Table1[Campaign_Name2],Table1[[#This Row],[Campaign_Name2]]))</f>
        <v>0</v>
      </c>
    </row>
    <row r="190" spans="1:20" ht="14.25" customHeight="1" x14ac:dyDescent="0.3">
      <c r="A190" s="3" t="s">
        <v>394</v>
      </c>
      <c r="B190" s="3" t="s">
        <v>43</v>
      </c>
      <c r="C190" s="11">
        <v>45740</v>
      </c>
      <c r="D190" s="3" t="s">
        <v>16</v>
      </c>
      <c r="E190" s="3" t="s">
        <v>65</v>
      </c>
      <c r="F190" s="12">
        <v>3360</v>
      </c>
      <c r="G190" s="12">
        <v>525</v>
      </c>
      <c r="H190" s="12">
        <v>500</v>
      </c>
      <c r="I190" s="12">
        <v>60480</v>
      </c>
      <c r="J190" s="12">
        <v>59610</v>
      </c>
      <c r="K190" s="12">
        <v>192</v>
      </c>
      <c r="L190" s="4" t="s">
        <v>30</v>
      </c>
      <c r="M190" s="5" t="s">
        <v>19</v>
      </c>
      <c r="N190" s="31">
        <f t="shared" si="2"/>
        <v>4385</v>
      </c>
      <c r="O190" s="32">
        <f>IFERROR((Table1[[#This Row],[Likes]]+Table1[[#This Row],[Shares]]+Table1[[#This Row],[Comments]])/Table1[[#This Row],[Impressions]], 0)</f>
        <v>7.2503306878306875E-2</v>
      </c>
      <c r="P190" s="30" t="str" cm="1">
        <f t="array" ref="P190">IFERROR(INDEX('Campaign Metadata (2)'!$A$2:$A$10, MATCH(1, (C190&gt;='Campaign Metadata (2)'!$B$2:$B$10) * (C190&lt;='Campaign Metadata (2)'!$C$2:$C$10), 0)), "No Campaign")</f>
        <v>DailyWellness</v>
      </c>
      <c r="Q190" s="33">
        <f>VLOOKUP(Table1[[#This Row],[Campaign_Name2]],Table3[#All],2,)</f>
        <v>45717</v>
      </c>
      <c r="R190" s="33">
        <f>VLOOKUP(Table1[[#This Row],[Campaign_Name2]],Table3[#All],3,FALSE)</f>
        <v>45747</v>
      </c>
      <c r="S190" s="30">
        <f>VLOOKUP(Table1[[#This Row],[Campaign_Name2]],Table3[],5,FALSE)</f>
        <v>180000</v>
      </c>
      <c r="T190" s="30">
        <f>IF(Table1[[#This Row],[Campaign_Name2]]="No Campaign", 0, Table1[[#This Row],[Budget]]/COUNTIF(Table1[Campaign_Name2],Table1[[#This Row],[Campaign_Name2]]))</f>
        <v>5625</v>
      </c>
    </row>
    <row r="191" spans="1:20" ht="14.25" customHeight="1" x14ac:dyDescent="0.3">
      <c r="A191" s="3" t="s">
        <v>395</v>
      </c>
      <c r="B191" s="3" t="s">
        <v>27</v>
      </c>
      <c r="C191" s="11">
        <v>45569</v>
      </c>
      <c r="D191" s="3" t="s">
        <v>22</v>
      </c>
      <c r="E191" s="3" t="s">
        <v>104</v>
      </c>
      <c r="F191" s="12">
        <v>1963</v>
      </c>
      <c r="G191" s="12">
        <v>213</v>
      </c>
      <c r="H191" s="12">
        <v>19</v>
      </c>
      <c r="I191" s="12">
        <v>39260</v>
      </c>
      <c r="J191" s="12">
        <v>38771</v>
      </c>
      <c r="K191" s="12">
        <v>145</v>
      </c>
      <c r="L191" s="4" t="s">
        <v>62</v>
      </c>
      <c r="M191" s="5"/>
      <c r="N191" s="31">
        <f t="shared" si="2"/>
        <v>2195</v>
      </c>
      <c r="O191" s="32">
        <f>IFERROR((Table1[[#This Row],[Likes]]+Table1[[#This Row],[Shares]]+Table1[[#This Row],[Comments]])/Table1[[#This Row],[Impressions]], 0)</f>
        <v>5.5909322465613857E-2</v>
      </c>
      <c r="P191" s="30" t="str" cm="1">
        <f t="array" ref="P191">IFERROR(INDEX('Campaign Metadata (2)'!$A$2:$A$10, MATCH(1, (C191&gt;='Campaign Metadata (2)'!$B$2:$B$10) * (C191&lt;='Campaign Metadata (2)'!$C$2:$C$10), 0)), "No Campaign")</f>
        <v>FestiveRadiance</v>
      </c>
      <c r="Q191" s="33">
        <f>VLOOKUP(Table1[[#This Row],[Campaign_Name2]],Table3[#All],2,)</f>
        <v>45566</v>
      </c>
      <c r="R191" s="33">
        <f>VLOOKUP(Table1[[#This Row],[Campaign_Name2]],Table3[#All],3,FALSE)</f>
        <v>45596</v>
      </c>
      <c r="S191" s="30">
        <f>VLOOKUP(Table1[[#This Row],[Campaign_Name2]],Table3[],5,FALSE)</f>
        <v>200000</v>
      </c>
      <c r="T191" s="30">
        <f>IF(Table1[[#This Row],[Campaign_Name2]]="No Campaign", 0, Table1[[#This Row],[Budget]]/COUNTIF(Table1[Campaign_Name2],Table1[[#This Row],[Campaign_Name2]]))</f>
        <v>5714.2857142857147</v>
      </c>
    </row>
    <row r="192" spans="1:20" ht="14.25" customHeight="1" x14ac:dyDescent="0.3">
      <c r="A192" s="3" t="s">
        <v>397</v>
      </c>
      <c r="B192" s="3" t="s">
        <v>27</v>
      </c>
      <c r="C192" s="11">
        <v>45629</v>
      </c>
      <c r="D192" s="3" t="s">
        <v>35</v>
      </c>
      <c r="E192" s="3" t="s">
        <v>154</v>
      </c>
      <c r="F192" s="12">
        <v>4285</v>
      </c>
      <c r="G192" s="12">
        <v>886</v>
      </c>
      <c r="H192" s="12">
        <v>376</v>
      </c>
      <c r="I192" s="12">
        <v>55705</v>
      </c>
      <c r="J192" s="12">
        <v>55556</v>
      </c>
      <c r="K192" s="12">
        <v>51</v>
      </c>
      <c r="L192" s="4" t="s">
        <v>62</v>
      </c>
      <c r="M192" s="5" t="s">
        <v>31</v>
      </c>
      <c r="N192" s="31">
        <f t="shared" si="2"/>
        <v>5547</v>
      </c>
      <c r="O192" s="32">
        <f>IFERROR((Table1[[#This Row],[Likes]]+Table1[[#This Row],[Shares]]+Table1[[#This Row],[Comments]])/Table1[[#This Row],[Impressions]], 0)</f>
        <v>9.9578134817341346E-2</v>
      </c>
      <c r="P192" s="30" t="str" cm="1">
        <f t="array" ref="P192">IFERROR(INDEX('Campaign Metadata (2)'!$A$2:$A$10, MATCH(1, (C192&gt;='Campaign Metadata (2)'!$B$2:$B$10) * (C192&lt;='Campaign Metadata (2)'!$C$2:$C$10), 0)), "No Campaign")</f>
        <v>No Campaign</v>
      </c>
      <c r="Q192" s="33" t="e">
        <f>VLOOKUP(Table1[[#This Row],[Campaign_Name2]],Table3[#All],2,)</f>
        <v>#N/A</v>
      </c>
      <c r="R192" s="33" t="e">
        <f>VLOOKUP(Table1[[#This Row],[Campaign_Name2]],Table3[#All],3,FALSE)</f>
        <v>#N/A</v>
      </c>
      <c r="S192" s="30" t="e">
        <f>VLOOKUP(Table1[[#This Row],[Campaign_Name2]],Table3[],5,FALSE)</f>
        <v>#N/A</v>
      </c>
      <c r="T192" s="30">
        <f>IF(Table1[[#This Row],[Campaign_Name2]]="No Campaign", 0, Table1[[#This Row],[Budget]]/COUNTIF(Table1[Campaign_Name2],Table1[[#This Row],[Campaign_Name2]]))</f>
        <v>0</v>
      </c>
    </row>
    <row r="193" spans="1:20" ht="14.25" customHeight="1" x14ac:dyDescent="0.3">
      <c r="A193" s="3" t="s">
        <v>398</v>
      </c>
      <c r="B193" s="3" t="s">
        <v>33</v>
      </c>
      <c r="C193" s="11">
        <v>45625</v>
      </c>
      <c r="D193" s="3" t="s">
        <v>74</v>
      </c>
      <c r="E193" s="3" t="s">
        <v>85</v>
      </c>
      <c r="F193" s="12">
        <v>1176</v>
      </c>
      <c r="G193" s="12">
        <v>464</v>
      </c>
      <c r="H193" s="12">
        <v>394</v>
      </c>
      <c r="I193" s="12">
        <v>14112</v>
      </c>
      <c r="J193" s="12">
        <v>13588</v>
      </c>
      <c r="K193" s="12">
        <v>272</v>
      </c>
      <c r="L193" s="4" t="s">
        <v>37</v>
      </c>
      <c r="M193" s="5"/>
      <c r="N193" s="31">
        <f t="shared" si="2"/>
        <v>2034</v>
      </c>
      <c r="O193" s="32">
        <f>IFERROR((Table1[[#This Row],[Likes]]+Table1[[#This Row],[Shares]]+Table1[[#This Row],[Comments]])/Table1[[#This Row],[Impressions]], 0)</f>
        <v>0.1441326530612245</v>
      </c>
      <c r="P193" s="30" t="str" cm="1">
        <f t="array" ref="P193">IFERROR(INDEX('Campaign Metadata (2)'!$A$2:$A$10, MATCH(1, (C193&gt;='Campaign Metadata (2)'!$B$2:$B$10) * (C193&lt;='Campaign Metadata (2)'!$C$2:$C$10), 0)), "No Campaign")</f>
        <v>No Campaign</v>
      </c>
      <c r="Q193" s="33" t="e">
        <f>VLOOKUP(Table1[[#This Row],[Campaign_Name2]],Table3[#All],2,)</f>
        <v>#N/A</v>
      </c>
      <c r="R193" s="33" t="e">
        <f>VLOOKUP(Table1[[#This Row],[Campaign_Name2]],Table3[#All],3,FALSE)</f>
        <v>#N/A</v>
      </c>
      <c r="S193" s="30" t="e">
        <f>VLOOKUP(Table1[[#This Row],[Campaign_Name2]],Table3[],5,FALSE)</f>
        <v>#N/A</v>
      </c>
      <c r="T193" s="30">
        <f>IF(Table1[[#This Row],[Campaign_Name2]]="No Campaign", 0, Table1[[#This Row],[Budget]]/COUNTIF(Table1[Campaign_Name2],Table1[[#This Row],[Campaign_Name2]]))</f>
        <v>0</v>
      </c>
    </row>
    <row r="194" spans="1:20" ht="14.25" customHeight="1" x14ac:dyDescent="0.3">
      <c r="A194" s="3" t="s">
        <v>400</v>
      </c>
      <c r="B194" s="3" t="s">
        <v>14</v>
      </c>
      <c r="C194" s="11">
        <v>45546</v>
      </c>
      <c r="D194" s="3" t="s">
        <v>52</v>
      </c>
      <c r="E194" s="3" t="s">
        <v>132</v>
      </c>
      <c r="F194" s="12">
        <v>4858</v>
      </c>
      <c r="G194" s="12">
        <v>317</v>
      </c>
      <c r="H194" s="12">
        <v>129</v>
      </c>
      <c r="I194" s="12">
        <v>53438</v>
      </c>
      <c r="J194" s="12">
        <v>52687</v>
      </c>
      <c r="K194" s="12">
        <v>223</v>
      </c>
      <c r="L194" s="4" t="s">
        <v>37</v>
      </c>
      <c r="M194" s="5" t="s">
        <v>31</v>
      </c>
      <c r="N194" s="31">
        <f t="shared" ref="N194:N257" si="3">SUM(F194,G194,H194)</f>
        <v>5304</v>
      </c>
      <c r="O194" s="32">
        <f>IFERROR((Table1[[#This Row],[Likes]]+Table1[[#This Row],[Shares]]+Table1[[#This Row],[Comments]])/Table1[[#This Row],[Impressions]], 0)</f>
        <v>9.9255211647142488E-2</v>
      </c>
      <c r="P194" s="30" t="str" cm="1">
        <f t="array" ref="P194">IFERROR(INDEX('Campaign Metadata (2)'!$A$2:$A$10, MATCH(1, (C194&gt;='Campaign Metadata (2)'!$B$2:$B$10) * (C194&lt;='Campaign Metadata (2)'!$C$2:$C$10), 0)), "No Campaign")</f>
        <v>No Campaign</v>
      </c>
      <c r="Q194" s="33" t="e">
        <f>VLOOKUP(Table1[[#This Row],[Campaign_Name2]],Table3[#All],2,)</f>
        <v>#N/A</v>
      </c>
      <c r="R194" s="33" t="e">
        <f>VLOOKUP(Table1[[#This Row],[Campaign_Name2]],Table3[#All],3,FALSE)</f>
        <v>#N/A</v>
      </c>
      <c r="S194" s="30" t="e">
        <f>VLOOKUP(Table1[[#This Row],[Campaign_Name2]],Table3[],5,FALSE)</f>
        <v>#N/A</v>
      </c>
      <c r="T194" s="30">
        <f>IF(Table1[[#This Row],[Campaign_Name2]]="No Campaign", 0, Table1[[#This Row],[Budget]]/COUNTIF(Table1[Campaign_Name2],Table1[[#This Row],[Campaign_Name2]]))</f>
        <v>0</v>
      </c>
    </row>
    <row r="195" spans="1:20" ht="14.25" customHeight="1" x14ac:dyDescent="0.3">
      <c r="A195" s="3" t="s">
        <v>402</v>
      </c>
      <c r="B195" s="3" t="s">
        <v>27</v>
      </c>
      <c r="C195" s="11">
        <v>45567</v>
      </c>
      <c r="D195" s="3" t="s">
        <v>35</v>
      </c>
      <c r="E195" s="3" t="s">
        <v>154</v>
      </c>
      <c r="F195" s="12">
        <v>4350</v>
      </c>
      <c r="G195" s="12">
        <v>771</v>
      </c>
      <c r="H195" s="12">
        <v>7</v>
      </c>
      <c r="I195" s="12">
        <v>60900</v>
      </c>
      <c r="J195" s="12">
        <v>60592</v>
      </c>
      <c r="K195" s="12">
        <v>195</v>
      </c>
      <c r="L195" s="4" t="s">
        <v>37</v>
      </c>
      <c r="M195" s="5" t="s">
        <v>19</v>
      </c>
      <c r="N195" s="31">
        <f t="shared" si="3"/>
        <v>5128</v>
      </c>
      <c r="O195" s="32">
        <f>IFERROR((Table1[[#This Row],[Likes]]+Table1[[#This Row],[Shares]]+Table1[[#This Row],[Comments]])/Table1[[#This Row],[Impressions]], 0)</f>
        <v>8.4203612479474554E-2</v>
      </c>
      <c r="P195" s="30" t="str" cm="1">
        <f t="array" ref="P195">IFERROR(INDEX('Campaign Metadata (2)'!$A$2:$A$10, MATCH(1, (C195&gt;='Campaign Metadata (2)'!$B$2:$B$10) * (C195&lt;='Campaign Metadata (2)'!$C$2:$C$10), 0)), "No Campaign")</f>
        <v>FestiveRadiance</v>
      </c>
      <c r="Q195" s="33">
        <f>VLOOKUP(Table1[[#This Row],[Campaign_Name2]],Table3[#All],2,)</f>
        <v>45566</v>
      </c>
      <c r="R195" s="33">
        <f>VLOOKUP(Table1[[#This Row],[Campaign_Name2]],Table3[#All],3,FALSE)</f>
        <v>45596</v>
      </c>
      <c r="S195" s="30">
        <f>VLOOKUP(Table1[[#This Row],[Campaign_Name2]],Table3[],5,FALSE)</f>
        <v>200000</v>
      </c>
      <c r="T195" s="30">
        <f>IF(Table1[[#This Row],[Campaign_Name2]]="No Campaign", 0, Table1[[#This Row],[Budget]]/COUNTIF(Table1[Campaign_Name2],Table1[[#This Row],[Campaign_Name2]]))</f>
        <v>5714.2857142857147</v>
      </c>
    </row>
    <row r="196" spans="1:20" ht="14.25" customHeight="1" x14ac:dyDescent="0.3">
      <c r="A196" s="3" t="s">
        <v>403</v>
      </c>
      <c r="B196" s="3" t="s">
        <v>33</v>
      </c>
      <c r="C196" s="11">
        <v>45519</v>
      </c>
      <c r="D196" s="3" t="s">
        <v>45</v>
      </c>
      <c r="E196" s="3" t="s">
        <v>88</v>
      </c>
      <c r="F196" s="12">
        <v>914</v>
      </c>
      <c r="G196" s="12">
        <v>464</v>
      </c>
      <c r="H196" s="12">
        <v>246</v>
      </c>
      <c r="I196" s="12">
        <v>11882</v>
      </c>
      <c r="J196" s="12">
        <v>11500</v>
      </c>
      <c r="K196" s="12">
        <v>282</v>
      </c>
      <c r="L196" s="4" t="s">
        <v>216</v>
      </c>
      <c r="M196" s="5" t="s">
        <v>38</v>
      </c>
      <c r="N196" s="31">
        <f t="shared" si="3"/>
        <v>1624</v>
      </c>
      <c r="O196" s="32">
        <f>IFERROR((Table1[[#This Row],[Likes]]+Table1[[#This Row],[Shares]]+Table1[[#This Row],[Comments]])/Table1[[#This Row],[Impressions]], 0)</f>
        <v>0.13667732704931829</v>
      </c>
      <c r="P196" s="30" t="str" cm="1">
        <f t="array" ref="P196">IFERROR(INDEX('Campaign Metadata (2)'!$A$2:$A$10, MATCH(1, (C196&gt;='Campaign Metadata (2)'!$B$2:$B$10) * (C196&lt;='Campaign Metadata (2)'!$C$2:$C$10), 0)), "No Campaign")</f>
        <v>No Campaign</v>
      </c>
      <c r="Q196" s="33" t="e">
        <f>VLOOKUP(Table1[[#This Row],[Campaign_Name2]],Table3[#All],2,)</f>
        <v>#N/A</v>
      </c>
      <c r="R196" s="33" t="e">
        <f>VLOOKUP(Table1[[#This Row],[Campaign_Name2]],Table3[#All],3,FALSE)</f>
        <v>#N/A</v>
      </c>
      <c r="S196" s="30" t="e">
        <f>VLOOKUP(Table1[[#This Row],[Campaign_Name2]],Table3[],5,FALSE)</f>
        <v>#N/A</v>
      </c>
      <c r="T196" s="30">
        <f>IF(Table1[[#This Row],[Campaign_Name2]]="No Campaign", 0, Table1[[#This Row],[Budget]]/COUNTIF(Table1[Campaign_Name2],Table1[[#This Row],[Campaign_Name2]]))</f>
        <v>0</v>
      </c>
    </row>
    <row r="197" spans="1:20" ht="14.25" customHeight="1" x14ac:dyDescent="0.3">
      <c r="A197" s="3" t="s">
        <v>405</v>
      </c>
      <c r="B197" s="3" t="s">
        <v>33</v>
      </c>
      <c r="C197" s="11">
        <v>45645</v>
      </c>
      <c r="D197" s="3" t="s">
        <v>22</v>
      </c>
      <c r="E197" s="3" t="s">
        <v>113</v>
      </c>
      <c r="F197" s="12">
        <v>1813</v>
      </c>
      <c r="G197" s="12">
        <v>623</v>
      </c>
      <c r="H197" s="12">
        <v>72</v>
      </c>
      <c r="I197" s="12">
        <v>19943</v>
      </c>
      <c r="J197" s="12">
        <v>18959</v>
      </c>
      <c r="K197" s="12">
        <v>85</v>
      </c>
      <c r="L197" s="4" t="s">
        <v>37</v>
      </c>
      <c r="M197" s="5" t="s">
        <v>31</v>
      </c>
      <c r="N197" s="31">
        <f t="shared" si="3"/>
        <v>2508</v>
      </c>
      <c r="O197" s="32">
        <f>IFERROR((Table1[[#This Row],[Likes]]+Table1[[#This Row],[Shares]]+Table1[[#This Row],[Comments]])/Table1[[#This Row],[Impressions]], 0)</f>
        <v>0.12575841147269717</v>
      </c>
      <c r="P197" s="30" t="str" cm="1">
        <f t="array" ref="P197">IFERROR(INDEX('Campaign Metadata (2)'!$A$2:$A$10, MATCH(1, (C197&gt;='Campaign Metadata (2)'!$B$2:$B$10) * (C197&lt;='Campaign Metadata (2)'!$C$2:$C$10), 0)), "No Campaign")</f>
        <v>No Campaign</v>
      </c>
      <c r="Q197" s="33" t="e">
        <f>VLOOKUP(Table1[[#This Row],[Campaign_Name2]],Table3[#All],2,)</f>
        <v>#N/A</v>
      </c>
      <c r="R197" s="33" t="e">
        <f>VLOOKUP(Table1[[#This Row],[Campaign_Name2]],Table3[#All],3,FALSE)</f>
        <v>#N/A</v>
      </c>
      <c r="S197" s="30" t="e">
        <f>VLOOKUP(Table1[[#This Row],[Campaign_Name2]],Table3[],5,FALSE)</f>
        <v>#N/A</v>
      </c>
      <c r="T197" s="30">
        <f>IF(Table1[[#This Row],[Campaign_Name2]]="No Campaign", 0, Table1[[#This Row],[Budget]]/COUNTIF(Table1[Campaign_Name2],Table1[[#This Row],[Campaign_Name2]]))</f>
        <v>0</v>
      </c>
    </row>
    <row r="198" spans="1:20" ht="14.25" customHeight="1" x14ac:dyDescent="0.3">
      <c r="A198" s="3" t="s">
        <v>407</v>
      </c>
      <c r="B198" s="3" t="s">
        <v>14</v>
      </c>
      <c r="C198" s="11">
        <v>45587</v>
      </c>
      <c r="D198" s="3" t="s">
        <v>16</v>
      </c>
      <c r="E198" s="3" t="s">
        <v>17</v>
      </c>
      <c r="F198" s="12">
        <v>4782</v>
      </c>
      <c r="G198" s="12">
        <v>721</v>
      </c>
      <c r="H198" s="12">
        <v>82</v>
      </c>
      <c r="I198" s="12">
        <v>86076</v>
      </c>
      <c r="J198" s="12">
        <v>85339</v>
      </c>
      <c r="K198" s="12">
        <v>19</v>
      </c>
      <c r="L198" s="4" t="s">
        <v>37</v>
      </c>
      <c r="M198" s="5" t="s">
        <v>19</v>
      </c>
      <c r="N198" s="31">
        <f t="shared" si="3"/>
        <v>5585</v>
      </c>
      <c r="O198" s="32">
        <f>IFERROR((Table1[[#This Row],[Likes]]+Table1[[#This Row],[Shares]]+Table1[[#This Row],[Comments]])/Table1[[#This Row],[Impressions]], 0)</f>
        <v>6.4884520656164318E-2</v>
      </c>
      <c r="P198" s="30" t="str" cm="1">
        <f t="array" ref="P198">IFERROR(INDEX('Campaign Metadata (2)'!$A$2:$A$10, MATCH(1, (C198&gt;='Campaign Metadata (2)'!$B$2:$B$10) * (C198&lt;='Campaign Metadata (2)'!$C$2:$C$10), 0)), "No Campaign")</f>
        <v>FestiveRadiance</v>
      </c>
      <c r="Q198" s="33">
        <f>VLOOKUP(Table1[[#This Row],[Campaign_Name2]],Table3[#All],2,)</f>
        <v>45566</v>
      </c>
      <c r="R198" s="33">
        <f>VLOOKUP(Table1[[#This Row],[Campaign_Name2]],Table3[#All],3,FALSE)</f>
        <v>45596</v>
      </c>
      <c r="S198" s="30">
        <f>VLOOKUP(Table1[[#This Row],[Campaign_Name2]],Table3[],5,FALSE)</f>
        <v>200000</v>
      </c>
      <c r="T198" s="30">
        <f>IF(Table1[[#This Row],[Campaign_Name2]]="No Campaign", 0, Table1[[#This Row],[Budget]]/COUNTIF(Table1[Campaign_Name2],Table1[[#This Row],[Campaign_Name2]]))</f>
        <v>5714.2857142857147</v>
      </c>
    </row>
    <row r="199" spans="1:20" ht="14.25" customHeight="1" x14ac:dyDescent="0.3">
      <c r="A199" s="3" t="s">
        <v>408</v>
      </c>
      <c r="B199" s="3" t="s">
        <v>14</v>
      </c>
      <c r="C199" s="11">
        <v>45549</v>
      </c>
      <c r="D199" s="3" t="s">
        <v>52</v>
      </c>
      <c r="E199" s="3" t="s">
        <v>132</v>
      </c>
      <c r="F199" s="12">
        <v>1048</v>
      </c>
      <c r="G199" s="12">
        <v>374</v>
      </c>
      <c r="H199" s="12">
        <v>450</v>
      </c>
      <c r="I199" s="12">
        <v>9432</v>
      </c>
      <c r="J199" s="12">
        <v>8882</v>
      </c>
      <c r="K199" s="12">
        <v>158</v>
      </c>
      <c r="L199" s="4" t="s">
        <v>30</v>
      </c>
      <c r="M199" s="5" t="s">
        <v>31</v>
      </c>
      <c r="N199" s="31">
        <f t="shared" si="3"/>
        <v>1872</v>
      </c>
      <c r="O199" s="32">
        <f>IFERROR((Table1[[#This Row],[Likes]]+Table1[[#This Row],[Shares]]+Table1[[#This Row],[Comments]])/Table1[[#This Row],[Impressions]], 0)</f>
        <v>0.19847328244274809</v>
      </c>
      <c r="P199" s="30" t="str" cm="1">
        <f t="array" ref="P199">IFERROR(INDEX('Campaign Metadata (2)'!$A$2:$A$10, MATCH(1, (C199&gt;='Campaign Metadata (2)'!$B$2:$B$10) * (C199&lt;='Campaign Metadata (2)'!$C$2:$C$10), 0)), "No Campaign")</f>
        <v>No Campaign</v>
      </c>
      <c r="Q199" s="33" t="e">
        <f>VLOOKUP(Table1[[#This Row],[Campaign_Name2]],Table3[#All],2,)</f>
        <v>#N/A</v>
      </c>
      <c r="R199" s="33" t="e">
        <f>VLOOKUP(Table1[[#This Row],[Campaign_Name2]],Table3[#All],3,FALSE)</f>
        <v>#N/A</v>
      </c>
      <c r="S199" s="30" t="e">
        <f>VLOOKUP(Table1[[#This Row],[Campaign_Name2]],Table3[],5,FALSE)</f>
        <v>#N/A</v>
      </c>
      <c r="T199" s="30">
        <f>IF(Table1[[#This Row],[Campaign_Name2]]="No Campaign", 0, Table1[[#This Row],[Budget]]/COUNTIF(Table1[Campaign_Name2],Table1[[#This Row],[Campaign_Name2]]))</f>
        <v>0</v>
      </c>
    </row>
    <row r="200" spans="1:20" ht="14.25" customHeight="1" x14ac:dyDescent="0.3">
      <c r="A200" s="3" t="s">
        <v>410</v>
      </c>
      <c r="B200" s="3" t="s">
        <v>27</v>
      </c>
      <c r="C200" s="11">
        <v>45626</v>
      </c>
      <c r="D200" s="3" t="s">
        <v>45</v>
      </c>
      <c r="E200" s="3" t="s">
        <v>68</v>
      </c>
      <c r="F200" s="12">
        <v>2509</v>
      </c>
      <c r="G200" s="12">
        <v>324</v>
      </c>
      <c r="H200" s="12">
        <v>171</v>
      </c>
      <c r="I200" s="12">
        <v>35126</v>
      </c>
      <c r="J200" s="12">
        <v>34685</v>
      </c>
      <c r="K200" s="12">
        <v>277</v>
      </c>
      <c r="L200" s="4" t="s">
        <v>30</v>
      </c>
      <c r="M200" s="5" t="s">
        <v>25</v>
      </c>
      <c r="N200" s="31">
        <f t="shared" si="3"/>
        <v>3004</v>
      </c>
      <c r="O200" s="32">
        <f>IFERROR((Table1[[#This Row],[Likes]]+Table1[[#This Row],[Shares]]+Table1[[#This Row],[Comments]])/Table1[[#This Row],[Impressions]], 0)</f>
        <v>8.5520696919660646E-2</v>
      </c>
      <c r="P200" s="30" t="str" cm="1">
        <f t="array" ref="P200">IFERROR(INDEX('Campaign Metadata (2)'!$A$2:$A$10, MATCH(1, (C200&gt;='Campaign Metadata (2)'!$B$2:$B$10) * (C200&lt;='Campaign Metadata (2)'!$C$2:$C$10), 0)), "No Campaign")</f>
        <v>No Campaign</v>
      </c>
      <c r="Q200" s="33" t="e">
        <f>VLOOKUP(Table1[[#This Row],[Campaign_Name2]],Table3[#All],2,)</f>
        <v>#N/A</v>
      </c>
      <c r="R200" s="33" t="e">
        <f>VLOOKUP(Table1[[#This Row],[Campaign_Name2]],Table3[#All],3,FALSE)</f>
        <v>#N/A</v>
      </c>
      <c r="S200" s="30" t="e">
        <f>VLOOKUP(Table1[[#This Row],[Campaign_Name2]],Table3[],5,FALSE)</f>
        <v>#N/A</v>
      </c>
      <c r="T200" s="30">
        <f>IF(Table1[[#This Row],[Campaign_Name2]]="No Campaign", 0, Table1[[#This Row],[Budget]]/COUNTIF(Table1[Campaign_Name2],Table1[[#This Row],[Campaign_Name2]]))</f>
        <v>0</v>
      </c>
    </row>
    <row r="201" spans="1:20" ht="14.25" customHeight="1" x14ac:dyDescent="0.3">
      <c r="A201" s="3" t="s">
        <v>411</v>
      </c>
      <c r="B201" s="3" t="s">
        <v>43</v>
      </c>
      <c r="C201" s="11">
        <v>45754</v>
      </c>
      <c r="D201" s="3" t="s">
        <v>16</v>
      </c>
      <c r="E201" s="3" t="s">
        <v>65</v>
      </c>
      <c r="F201" s="12">
        <v>3718</v>
      </c>
      <c r="G201" s="12">
        <v>385</v>
      </c>
      <c r="H201" s="12">
        <v>310</v>
      </c>
      <c r="I201" s="12">
        <v>70642</v>
      </c>
      <c r="J201" s="12">
        <v>69749</v>
      </c>
      <c r="K201" s="12">
        <v>233</v>
      </c>
      <c r="L201" s="4" t="s">
        <v>30</v>
      </c>
      <c r="M201" s="5" t="s">
        <v>25</v>
      </c>
      <c r="N201" s="31">
        <f t="shared" si="3"/>
        <v>4413</v>
      </c>
      <c r="O201" s="32">
        <f>IFERROR((Table1[[#This Row],[Likes]]+Table1[[#This Row],[Shares]]+Table1[[#This Row],[Comments]])/Table1[[#This Row],[Impressions]], 0)</f>
        <v>6.246991874522239E-2</v>
      </c>
      <c r="P201" s="30" t="str" cm="1">
        <f t="array" ref="P201">IFERROR(INDEX('Campaign Metadata (2)'!$A$2:$A$10, MATCH(1, (C201&gt;='Campaign Metadata (2)'!$B$2:$B$10) * (C201&lt;='Campaign Metadata (2)'!$C$2:$C$10), 0)), "No Campaign")</f>
        <v>No Campaign</v>
      </c>
      <c r="Q201" s="33" t="e">
        <f>VLOOKUP(Table1[[#This Row],[Campaign_Name2]],Table3[#All],2,)</f>
        <v>#N/A</v>
      </c>
      <c r="R201" s="33" t="e">
        <f>VLOOKUP(Table1[[#This Row],[Campaign_Name2]],Table3[#All],3,FALSE)</f>
        <v>#N/A</v>
      </c>
      <c r="S201" s="30" t="e">
        <f>VLOOKUP(Table1[[#This Row],[Campaign_Name2]],Table3[],5,FALSE)</f>
        <v>#N/A</v>
      </c>
      <c r="T201" s="30">
        <f>IF(Table1[[#This Row],[Campaign_Name2]]="No Campaign", 0, Table1[[#This Row],[Budget]]/COUNTIF(Table1[Campaign_Name2],Table1[[#This Row],[Campaign_Name2]]))</f>
        <v>0</v>
      </c>
    </row>
    <row r="202" spans="1:20" ht="14.25" customHeight="1" x14ac:dyDescent="0.3">
      <c r="A202" s="3" t="s">
        <v>413</v>
      </c>
      <c r="B202" s="3" t="s">
        <v>14</v>
      </c>
      <c r="C202" s="11">
        <v>45672</v>
      </c>
      <c r="D202" s="3" t="s">
        <v>16</v>
      </c>
      <c r="E202" s="3" t="s">
        <v>17</v>
      </c>
      <c r="F202" s="12">
        <v>802</v>
      </c>
      <c r="G202" s="12">
        <v>262</v>
      </c>
      <c r="H202" s="12">
        <v>244</v>
      </c>
      <c r="I202" s="12">
        <v>14436</v>
      </c>
      <c r="J202" s="12">
        <v>14280</v>
      </c>
      <c r="K202" s="12">
        <v>49</v>
      </c>
      <c r="L202" s="4" t="s">
        <v>37</v>
      </c>
      <c r="M202" s="5" t="s">
        <v>19</v>
      </c>
      <c r="N202" s="31">
        <f t="shared" si="3"/>
        <v>1308</v>
      </c>
      <c r="O202" s="32">
        <f>IFERROR((Table1[[#This Row],[Likes]]+Table1[[#This Row],[Shares]]+Table1[[#This Row],[Comments]])/Table1[[#This Row],[Impressions]], 0)</f>
        <v>9.0606816292601824E-2</v>
      </c>
      <c r="P202" s="30" t="str" cm="1">
        <f t="array" ref="P202">IFERROR(INDEX('Campaign Metadata (2)'!$A$2:$A$10, MATCH(1, (C202&gt;='Campaign Metadata (2)'!$B$2:$B$10) * (C202&lt;='Campaign Metadata (2)'!$C$2:$C$10), 0)), "No Campaign")</f>
        <v>No Campaign</v>
      </c>
      <c r="Q202" s="33" t="e">
        <f>VLOOKUP(Table1[[#This Row],[Campaign_Name2]],Table3[#All],2,)</f>
        <v>#N/A</v>
      </c>
      <c r="R202" s="33" t="e">
        <f>VLOOKUP(Table1[[#This Row],[Campaign_Name2]],Table3[#All],3,FALSE)</f>
        <v>#N/A</v>
      </c>
      <c r="S202" s="30" t="e">
        <f>VLOOKUP(Table1[[#This Row],[Campaign_Name2]],Table3[],5,FALSE)</f>
        <v>#N/A</v>
      </c>
      <c r="T202" s="30">
        <f>IF(Table1[[#This Row],[Campaign_Name2]]="No Campaign", 0, Table1[[#This Row],[Budget]]/COUNTIF(Table1[Campaign_Name2],Table1[[#This Row],[Campaign_Name2]]))</f>
        <v>0</v>
      </c>
    </row>
    <row r="203" spans="1:20" ht="14.25" customHeight="1" x14ac:dyDescent="0.3">
      <c r="A203" s="3" t="s">
        <v>415</v>
      </c>
      <c r="B203" s="3" t="s">
        <v>43</v>
      </c>
      <c r="C203" s="11">
        <v>45445</v>
      </c>
      <c r="D203" s="3" t="s">
        <v>52</v>
      </c>
      <c r="E203" s="3" t="s">
        <v>59</v>
      </c>
      <c r="F203" s="12">
        <v>1871</v>
      </c>
      <c r="G203" s="12">
        <v>252</v>
      </c>
      <c r="H203" s="12">
        <v>335</v>
      </c>
      <c r="I203" s="12">
        <v>29936</v>
      </c>
      <c r="J203" s="12">
        <v>29576</v>
      </c>
      <c r="K203" s="12">
        <v>288</v>
      </c>
      <c r="L203" s="4" t="s">
        <v>37</v>
      </c>
      <c r="M203" s="5" t="s">
        <v>31</v>
      </c>
      <c r="N203" s="31">
        <f t="shared" si="3"/>
        <v>2458</v>
      </c>
      <c r="O203" s="32">
        <f>IFERROR((Table1[[#This Row],[Likes]]+Table1[[#This Row],[Shares]]+Table1[[#This Row],[Comments]])/Table1[[#This Row],[Impressions]], 0)</f>
        <v>8.2108498129342594E-2</v>
      </c>
      <c r="P203" s="30" t="str" cm="1">
        <f t="array" ref="P203">IFERROR(INDEX('Campaign Metadata (2)'!$A$2:$A$10, MATCH(1, (C203&gt;='Campaign Metadata (2)'!$B$2:$B$10) * (C203&lt;='Campaign Metadata (2)'!$C$2:$C$10), 0)), "No Campaign")</f>
        <v>No Campaign</v>
      </c>
      <c r="Q203" s="33" t="e">
        <f>VLOOKUP(Table1[[#This Row],[Campaign_Name2]],Table3[#All],2,)</f>
        <v>#N/A</v>
      </c>
      <c r="R203" s="33" t="e">
        <f>VLOOKUP(Table1[[#This Row],[Campaign_Name2]],Table3[#All],3,FALSE)</f>
        <v>#N/A</v>
      </c>
      <c r="S203" s="30" t="e">
        <f>VLOOKUP(Table1[[#This Row],[Campaign_Name2]],Table3[],5,FALSE)</f>
        <v>#N/A</v>
      </c>
      <c r="T203" s="30">
        <f>IF(Table1[[#This Row],[Campaign_Name2]]="No Campaign", 0, Table1[[#This Row],[Budget]]/COUNTIF(Table1[Campaign_Name2],Table1[[#This Row],[Campaign_Name2]]))</f>
        <v>0</v>
      </c>
    </row>
    <row r="204" spans="1:20" ht="14.25" customHeight="1" x14ac:dyDescent="0.3">
      <c r="A204" s="3" t="s">
        <v>417</v>
      </c>
      <c r="B204" s="3" t="s">
        <v>33</v>
      </c>
      <c r="C204" s="11">
        <v>45617</v>
      </c>
      <c r="D204" s="3" t="s">
        <v>45</v>
      </c>
      <c r="E204" s="3" t="s">
        <v>88</v>
      </c>
      <c r="F204" s="12">
        <v>3773</v>
      </c>
      <c r="G204" s="12">
        <v>299</v>
      </c>
      <c r="H204" s="12">
        <v>38</v>
      </c>
      <c r="I204" s="12">
        <v>71687</v>
      </c>
      <c r="J204" s="12">
        <v>71447</v>
      </c>
      <c r="K204" s="12">
        <v>286</v>
      </c>
      <c r="L204" s="4" t="s">
        <v>62</v>
      </c>
      <c r="M204" s="5" t="s">
        <v>19</v>
      </c>
      <c r="N204" s="31">
        <f t="shared" si="3"/>
        <v>4110</v>
      </c>
      <c r="O204" s="32">
        <f>IFERROR((Table1[[#This Row],[Likes]]+Table1[[#This Row],[Shares]]+Table1[[#This Row],[Comments]])/Table1[[#This Row],[Impressions]], 0)</f>
        <v>5.7332570758993957E-2</v>
      </c>
      <c r="P204" s="30" t="str" cm="1">
        <f t="array" ref="P204">IFERROR(INDEX('Campaign Metadata (2)'!$A$2:$A$10, MATCH(1, (C204&gt;='Campaign Metadata (2)'!$B$2:$B$10) * (C204&lt;='Campaign Metadata (2)'!$C$2:$C$10), 0)), "No Campaign")</f>
        <v>No Campaign</v>
      </c>
      <c r="Q204" s="33" t="e">
        <f>VLOOKUP(Table1[[#This Row],[Campaign_Name2]],Table3[#All],2,)</f>
        <v>#N/A</v>
      </c>
      <c r="R204" s="33" t="e">
        <f>VLOOKUP(Table1[[#This Row],[Campaign_Name2]],Table3[#All],3,FALSE)</f>
        <v>#N/A</v>
      </c>
      <c r="S204" s="30" t="e">
        <f>VLOOKUP(Table1[[#This Row],[Campaign_Name2]],Table3[],5,FALSE)</f>
        <v>#N/A</v>
      </c>
      <c r="T204" s="30">
        <f>IF(Table1[[#This Row],[Campaign_Name2]]="No Campaign", 0, Table1[[#This Row],[Budget]]/COUNTIF(Table1[Campaign_Name2],Table1[[#This Row],[Campaign_Name2]]))</f>
        <v>0</v>
      </c>
    </row>
    <row r="205" spans="1:20" ht="14.25" customHeight="1" x14ac:dyDescent="0.3">
      <c r="A205" s="3" t="s">
        <v>419</v>
      </c>
      <c r="B205" s="3" t="s">
        <v>33</v>
      </c>
      <c r="C205" s="11">
        <v>45658</v>
      </c>
      <c r="D205" s="3" t="s">
        <v>45</v>
      </c>
      <c r="E205" s="3" t="s">
        <v>88</v>
      </c>
      <c r="F205" s="12">
        <v>2234</v>
      </c>
      <c r="G205" s="12">
        <v>653</v>
      </c>
      <c r="H205" s="12">
        <v>432</v>
      </c>
      <c r="I205" s="12">
        <v>11170</v>
      </c>
      <c r="J205" s="12">
        <v>10569</v>
      </c>
      <c r="K205" s="12">
        <v>198</v>
      </c>
      <c r="L205" s="4" t="s">
        <v>62</v>
      </c>
      <c r="M205" s="5" t="s">
        <v>31</v>
      </c>
      <c r="N205" s="31">
        <f t="shared" si="3"/>
        <v>3319</v>
      </c>
      <c r="O205" s="32">
        <f>IFERROR((Table1[[#This Row],[Likes]]+Table1[[#This Row],[Shares]]+Table1[[#This Row],[Comments]])/Table1[[#This Row],[Impressions]], 0)</f>
        <v>0.29713518352730528</v>
      </c>
      <c r="P205" s="30" t="str" cm="1">
        <f t="array" ref="P205">IFERROR(INDEX('Campaign Metadata (2)'!$A$2:$A$10, MATCH(1, (C205&gt;='Campaign Metadata (2)'!$B$2:$B$10) * (C205&lt;='Campaign Metadata (2)'!$C$2:$C$10), 0)), "No Campaign")</f>
        <v>NewYearRefresh</v>
      </c>
      <c r="Q205" s="33">
        <f>VLOOKUP(Table1[[#This Row],[Campaign_Name2]],Table3[#All],2,)</f>
        <v>45651</v>
      </c>
      <c r="R205" s="33">
        <f>VLOOKUP(Table1[[#This Row],[Campaign_Name2]],Table3[#All],3,FALSE)</f>
        <v>45667</v>
      </c>
      <c r="S205" s="30">
        <f>VLOOKUP(Table1[[#This Row],[Campaign_Name2]],Table3[],5,FALSE)</f>
        <v>250000</v>
      </c>
      <c r="T205" s="30">
        <f>IF(Table1[[#This Row],[Campaign_Name2]]="No Campaign", 0, Table1[[#This Row],[Budget]]/COUNTIF(Table1[Campaign_Name2],Table1[[#This Row],[Campaign_Name2]]))</f>
        <v>25000</v>
      </c>
    </row>
    <row r="206" spans="1:20" ht="14.25" customHeight="1" x14ac:dyDescent="0.3">
      <c r="A206" s="3" t="s">
        <v>420</v>
      </c>
      <c r="B206" s="3" t="s">
        <v>14</v>
      </c>
      <c r="C206" s="11">
        <v>45771</v>
      </c>
      <c r="D206" s="3" t="s">
        <v>74</v>
      </c>
      <c r="E206" s="3" t="s">
        <v>145</v>
      </c>
      <c r="F206" s="12">
        <v>3820</v>
      </c>
      <c r="G206" s="12">
        <v>697</v>
      </c>
      <c r="H206" s="12">
        <v>268</v>
      </c>
      <c r="I206" s="12">
        <v>45840</v>
      </c>
      <c r="J206" s="12">
        <v>45631</v>
      </c>
      <c r="K206" s="12">
        <v>171</v>
      </c>
      <c r="L206" s="4" t="s">
        <v>421</v>
      </c>
      <c r="M206" s="5" t="s">
        <v>38</v>
      </c>
      <c r="N206" s="31">
        <f t="shared" si="3"/>
        <v>4785</v>
      </c>
      <c r="O206" s="32">
        <f>IFERROR((Table1[[#This Row],[Likes]]+Table1[[#This Row],[Shares]]+Table1[[#This Row],[Comments]])/Table1[[#This Row],[Impressions]], 0)</f>
        <v>0.1043848167539267</v>
      </c>
      <c r="P206" s="30" t="str" cm="1">
        <f t="array" ref="P206">IFERROR(INDEX('Campaign Metadata (2)'!$A$2:$A$10, MATCH(1, (C206&gt;='Campaign Metadata (2)'!$B$2:$B$10) * (C206&lt;='Campaign Metadata (2)'!$C$2:$C$10), 0)), "No Campaign")</f>
        <v>No Campaign</v>
      </c>
      <c r="Q206" s="33" t="e">
        <f>VLOOKUP(Table1[[#This Row],[Campaign_Name2]],Table3[#All],2,)</f>
        <v>#N/A</v>
      </c>
      <c r="R206" s="33" t="e">
        <f>VLOOKUP(Table1[[#This Row],[Campaign_Name2]],Table3[#All],3,FALSE)</f>
        <v>#N/A</v>
      </c>
      <c r="S206" s="30" t="e">
        <f>VLOOKUP(Table1[[#This Row],[Campaign_Name2]],Table3[],5,FALSE)</f>
        <v>#N/A</v>
      </c>
      <c r="T206" s="30">
        <f>IF(Table1[[#This Row],[Campaign_Name2]]="No Campaign", 0, Table1[[#This Row],[Budget]]/COUNTIF(Table1[Campaign_Name2],Table1[[#This Row],[Campaign_Name2]]))</f>
        <v>0</v>
      </c>
    </row>
    <row r="207" spans="1:20" ht="14.25" customHeight="1" x14ac:dyDescent="0.3">
      <c r="A207" s="3" t="s">
        <v>422</v>
      </c>
      <c r="B207" s="3" t="s">
        <v>14</v>
      </c>
      <c r="C207" s="11">
        <v>45467</v>
      </c>
      <c r="D207" s="3" t="s">
        <v>22</v>
      </c>
      <c r="E207" s="3" t="s">
        <v>23</v>
      </c>
      <c r="F207" s="12">
        <v>941</v>
      </c>
      <c r="G207" s="12">
        <v>121</v>
      </c>
      <c r="H207" s="12">
        <v>458</v>
      </c>
      <c r="I207" s="12">
        <v>14115</v>
      </c>
      <c r="J207" s="12">
        <v>13838</v>
      </c>
      <c r="K207" s="12">
        <v>87</v>
      </c>
      <c r="L207" s="4" t="s">
        <v>37</v>
      </c>
      <c r="M207" s="5" t="s">
        <v>19</v>
      </c>
      <c r="N207" s="31">
        <f t="shared" si="3"/>
        <v>1520</v>
      </c>
      <c r="O207" s="32">
        <f>IFERROR((Table1[[#This Row],[Likes]]+Table1[[#This Row],[Shares]]+Table1[[#This Row],[Comments]])/Table1[[#This Row],[Impressions]], 0)</f>
        <v>0.10768685795253277</v>
      </c>
      <c r="P207" s="30" t="str" cm="1">
        <f t="array" ref="P207">IFERROR(INDEX('Campaign Metadata (2)'!$A$2:$A$10, MATCH(1, (C207&gt;='Campaign Metadata (2)'!$B$2:$B$10) * (C207&lt;='Campaign Metadata (2)'!$C$2:$C$10), 0)), "No Campaign")</f>
        <v>SummerSplash</v>
      </c>
      <c r="Q207" s="33">
        <f>VLOOKUP(Table1[[#This Row],[Campaign_Name2]],Table3[#All],2,)</f>
        <v>45458</v>
      </c>
      <c r="R207" s="33">
        <f>VLOOKUP(Table1[[#This Row],[Campaign_Name2]],Table3[#All],3,FALSE)</f>
        <v>45488</v>
      </c>
      <c r="S207" s="30">
        <f>VLOOKUP(Table1[[#This Row],[Campaign_Name2]],Table3[],5,FALSE)</f>
        <v>150000</v>
      </c>
      <c r="T207" s="30">
        <f>IF(Table1[[#This Row],[Campaign_Name2]]="No Campaign", 0, Table1[[#This Row],[Budget]]/COUNTIF(Table1[Campaign_Name2],Table1[[#This Row],[Campaign_Name2]]))</f>
        <v>5555.5555555555557</v>
      </c>
    </row>
    <row r="208" spans="1:20" ht="14.25" customHeight="1" x14ac:dyDescent="0.3">
      <c r="A208" s="3" t="s">
        <v>423</v>
      </c>
      <c r="B208" s="3" t="s">
        <v>14</v>
      </c>
      <c r="C208" s="11">
        <v>45655</v>
      </c>
      <c r="D208" s="3" t="s">
        <v>45</v>
      </c>
      <c r="E208" s="3" t="s">
        <v>49</v>
      </c>
      <c r="F208" s="12">
        <v>4274</v>
      </c>
      <c r="G208" s="12">
        <v>340</v>
      </c>
      <c r="H208" s="12">
        <v>281</v>
      </c>
      <c r="I208" s="12">
        <v>34192</v>
      </c>
      <c r="J208" s="12">
        <v>33446</v>
      </c>
      <c r="K208" s="12">
        <v>129</v>
      </c>
      <c r="L208" s="4" t="s">
        <v>421</v>
      </c>
      <c r="M208" s="5" t="s">
        <v>31</v>
      </c>
      <c r="N208" s="31">
        <f t="shared" si="3"/>
        <v>4895</v>
      </c>
      <c r="O208" s="32">
        <f>IFERROR((Table1[[#This Row],[Likes]]+Table1[[#This Row],[Shares]]+Table1[[#This Row],[Comments]])/Table1[[#This Row],[Impressions]], 0)</f>
        <v>0.14316214319138981</v>
      </c>
      <c r="P208" s="30" t="str" cm="1">
        <f t="array" ref="P208">IFERROR(INDEX('Campaign Metadata (2)'!$A$2:$A$10, MATCH(1, (C208&gt;='Campaign Metadata (2)'!$B$2:$B$10) * (C208&lt;='Campaign Metadata (2)'!$C$2:$C$10), 0)), "No Campaign")</f>
        <v>NewYearRefresh</v>
      </c>
      <c r="Q208" s="33">
        <f>VLOOKUP(Table1[[#This Row],[Campaign_Name2]],Table3[#All],2,)</f>
        <v>45651</v>
      </c>
      <c r="R208" s="33">
        <f>VLOOKUP(Table1[[#This Row],[Campaign_Name2]],Table3[#All],3,FALSE)</f>
        <v>45667</v>
      </c>
      <c r="S208" s="30">
        <f>VLOOKUP(Table1[[#This Row],[Campaign_Name2]],Table3[],5,FALSE)</f>
        <v>250000</v>
      </c>
      <c r="T208" s="30">
        <f>IF(Table1[[#This Row],[Campaign_Name2]]="No Campaign", 0, Table1[[#This Row],[Budget]]/COUNTIF(Table1[Campaign_Name2],Table1[[#This Row],[Campaign_Name2]]))</f>
        <v>25000</v>
      </c>
    </row>
    <row r="209" spans="1:20" ht="14.25" customHeight="1" x14ac:dyDescent="0.3">
      <c r="A209" s="3" t="s">
        <v>425</v>
      </c>
      <c r="B209" s="3" t="s">
        <v>27</v>
      </c>
      <c r="C209" s="11">
        <v>45467</v>
      </c>
      <c r="D209" s="3" t="s">
        <v>74</v>
      </c>
      <c r="E209" s="3" t="s">
        <v>219</v>
      </c>
      <c r="F209" s="12">
        <v>2949</v>
      </c>
      <c r="G209" s="12">
        <v>476</v>
      </c>
      <c r="H209" s="12">
        <v>403</v>
      </c>
      <c r="I209" s="12">
        <v>44235</v>
      </c>
      <c r="J209" s="12">
        <v>43705</v>
      </c>
      <c r="K209" s="12">
        <v>135</v>
      </c>
      <c r="L209" s="4" t="s">
        <v>30</v>
      </c>
      <c r="M209" s="5" t="s">
        <v>25</v>
      </c>
      <c r="N209" s="31">
        <f t="shared" si="3"/>
        <v>3828</v>
      </c>
      <c r="O209" s="32">
        <f>IFERROR((Table1[[#This Row],[Likes]]+Table1[[#This Row],[Shares]]+Table1[[#This Row],[Comments]])/Table1[[#This Row],[Impressions]], 0)</f>
        <v>8.6537809426924378E-2</v>
      </c>
      <c r="P209" s="30" t="str" cm="1">
        <f t="array" ref="P209">IFERROR(INDEX('Campaign Metadata (2)'!$A$2:$A$10, MATCH(1, (C209&gt;='Campaign Metadata (2)'!$B$2:$B$10) * (C209&lt;='Campaign Metadata (2)'!$C$2:$C$10), 0)), "No Campaign")</f>
        <v>SummerSplash</v>
      </c>
      <c r="Q209" s="33">
        <f>VLOOKUP(Table1[[#This Row],[Campaign_Name2]],Table3[#All],2,)</f>
        <v>45458</v>
      </c>
      <c r="R209" s="33">
        <f>VLOOKUP(Table1[[#This Row],[Campaign_Name2]],Table3[#All],3,FALSE)</f>
        <v>45488</v>
      </c>
      <c r="S209" s="30">
        <f>VLOOKUP(Table1[[#This Row],[Campaign_Name2]],Table3[],5,FALSE)</f>
        <v>150000</v>
      </c>
      <c r="T209" s="30">
        <f>IF(Table1[[#This Row],[Campaign_Name2]]="No Campaign", 0, Table1[[#This Row],[Budget]]/COUNTIF(Table1[Campaign_Name2],Table1[[#This Row],[Campaign_Name2]]))</f>
        <v>5555.5555555555557</v>
      </c>
    </row>
    <row r="210" spans="1:20" ht="14.25" customHeight="1" x14ac:dyDescent="0.3">
      <c r="A210" s="3" t="s">
        <v>426</v>
      </c>
      <c r="B210" s="3" t="s">
        <v>14</v>
      </c>
      <c r="C210" s="11">
        <v>45735</v>
      </c>
      <c r="D210" s="3" t="s">
        <v>74</v>
      </c>
      <c r="E210" s="3" t="s">
        <v>145</v>
      </c>
      <c r="F210" s="12">
        <v>3160</v>
      </c>
      <c r="G210" s="12">
        <v>204</v>
      </c>
      <c r="H210" s="12">
        <v>297</v>
      </c>
      <c r="I210" s="12">
        <v>44240</v>
      </c>
      <c r="J210" s="12">
        <v>43666</v>
      </c>
      <c r="K210" s="12">
        <v>49</v>
      </c>
      <c r="L210" s="4" t="s">
        <v>18</v>
      </c>
      <c r="M210" s="5" t="s">
        <v>38</v>
      </c>
      <c r="N210" s="31">
        <f t="shared" si="3"/>
        <v>3661</v>
      </c>
      <c r="O210" s="32">
        <f>IFERROR((Table1[[#This Row],[Likes]]+Table1[[#This Row],[Shares]]+Table1[[#This Row],[Comments]])/Table1[[#This Row],[Impressions]], 0)</f>
        <v>8.2753164556962022E-2</v>
      </c>
      <c r="P210" s="30" t="str" cm="1">
        <f t="array" ref="P210">IFERROR(INDEX('Campaign Metadata (2)'!$A$2:$A$10, MATCH(1, (C210&gt;='Campaign Metadata (2)'!$B$2:$B$10) * (C210&lt;='Campaign Metadata (2)'!$C$2:$C$10), 0)), "No Campaign")</f>
        <v>DailyWellness</v>
      </c>
      <c r="Q210" s="33">
        <f>VLOOKUP(Table1[[#This Row],[Campaign_Name2]],Table3[#All],2,)</f>
        <v>45717</v>
      </c>
      <c r="R210" s="33">
        <f>VLOOKUP(Table1[[#This Row],[Campaign_Name2]],Table3[#All],3,FALSE)</f>
        <v>45747</v>
      </c>
      <c r="S210" s="30">
        <f>VLOOKUP(Table1[[#This Row],[Campaign_Name2]],Table3[],5,FALSE)</f>
        <v>180000</v>
      </c>
      <c r="T210" s="30">
        <f>IF(Table1[[#This Row],[Campaign_Name2]]="No Campaign", 0, Table1[[#This Row],[Budget]]/COUNTIF(Table1[Campaign_Name2],Table1[[#This Row],[Campaign_Name2]]))</f>
        <v>5625</v>
      </c>
    </row>
    <row r="211" spans="1:20" ht="14.25" customHeight="1" x14ac:dyDescent="0.3">
      <c r="A211" s="3" t="s">
        <v>428</v>
      </c>
      <c r="B211" s="3" t="s">
        <v>27</v>
      </c>
      <c r="C211" s="11">
        <v>45707</v>
      </c>
      <c r="D211" s="3" t="s">
        <v>52</v>
      </c>
      <c r="E211" s="3" t="s">
        <v>53</v>
      </c>
      <c r="F211" s="12">
        <v>257</v>
      </c>
      <c r="G211" s="12">
        <v>966</v>
      </c>
      <c r="H211" s="12">
        <v>398</v>
      </c>
      <c r="I211" s="12">
        <v>3341</v>
      </c>
      <c r="J211" s="12">
        <v>2753</v>
      </c>
      <c r="K211" s="12">
        <v>287</v>
      </c>
      <c r="L211" s="4" t="s">
        <v>62</v>
      </c>
      <c r="M211" s="5" t="s">
        <v>19</v>
      </c>
      <c r="N211" s="31">
        <f t="shared" si="3"/>
        <v>1621</v>
      </c>
      <c r="O211" s="32">
        <f>IFERROR((Table1[[#This Row],[Likes]]+Table1[[#This Row],[Shares]]+Table1[[#This Row],[Comments]])/Table1[[#This Row],[Impressions]], 0)</f>
        <v>0.48518407662376534</v>
      </c>
      <c r="P211" s="30" t="str" cm="1">
        <f t="array" ref="P211">IFERROR(INDEX('Campaign Metadata (2)'!$A$2:$A$10, MATCH(1, (C211&gt;='Campaign Metadata (2)'!$B$2:$B$10) * (C211&lt;='Campaign Metadata (2)'!$C$2:$C$10), 0)), "No Campaign")</f>
        <v>No Campaign</v>
      </c>
      <c r="Q211" s="33" t="e">
        <f>VLOOKUP(Table1[[#This Row],[Campaign_Name2]],Table3[#All],2,)</f>
        <v>#N/A</v>
      </c>
      <c r="R211" s="33" t="e">
        <f>VLOOKUP(Table1[[#This Row],[Campaign_Name2]],Table3[#All],3,FALSE)</f>
        <v>#N/A</v>
      </c>
      <c r="S211" s="30" t="e">
        <f>VLOOKUP(Table1[[#This Row],[Campaign_Name2]],Table3[],5,FALSE)</f>
        <v>#N/A</v>
      </c>
      <c r="T211" s="30">
        <f>IF(Table1[[#This Row],[Campaign_Name2]]="No Campaign", 0, Table1[[#This Row],[Budget]]/COUNTIF(Table1[Campaign_Name2],Table1[[#This Row],[Campaign_Name2]]))</f>
        <v>0</v>
      </c>
    </row>
    <row r="212" spans="1:20" ht="14.25" customHeight="1" x14ac:dyDescent="0.3">
      <c r="A212" s="3" t="s">
        <v>429</v>
      </c>
      <c r="B212" s="3" t="s">
        <v>14</v>
      </c>
      <c r="C212" s="11">
        <v>45491</v>
      </c>
      <c r="D212" s="3" t="s">
        <v>45</v>
      </c>
      <c r="E212" s="3" t="s">
        <v>49</v>
      </c>
      <c r="F212" s="12">
        <v>2120</v>
      </c>
      <c r="G212" s="12">
        <v>38</v>
      </c>
      <c r="H212" s="12">
        <v>212</v>
      </c>
      <c r="I212" s="12">
        <v>12720</v>
      </c>
      <c r="J212" s="12">
        <v>12564</v>
      </c>
      <c r="K212" s="12">
        <v>21</v>
      </c>
      <c r="L212" s="4" t="s">
        <v>62</v>
      </c>
      <c r="M212" s="5" t="s">
        <v>38</v>
      </c>
      <c r="N212" s="31">
        <f t="shared" si="3"/>
        <v>2370</v>
      </c>
      <c r="O212" s="32">
        <f>IFERROR((Table1[[#This Row],[Likes]]+Table1[[#This Row],[Shares]]+Table1[[#This Row],[Comments]])/Table1[[#This Row],[Impressions]], 0)</f>
        <v>0.18632075471698112</v>
      </c>
      <c r="P212" s="30" t="str" cm="1">
        <f t="array" ref="P212">IFERROR(INDEX('Campaign Metadata (2)'!$A$2:$A$10, MATCH(1, (C212&gt;='Campaign Metadata (2)'!$B$2:$B$10) * (C212&lt;='Campaign Metadata (2)'!$C$2:$C$10), 0)), "No Campaign")</f>
        <v>No Campaign</v>
      </c>
      <c r="Q212" s="33" t="e">
        <f>VLOOKUP(Table1[[#This Row],[Campaign_Name2]],Table3[#All],2,)</f>
        <v>#N/A</v>
      </c>
      <c r="R212" s="33" t="e">
        <f>VLOOKUP(Table1[[#This Row],[Campaign_Name2]],Table3[#All],3,FALSE)</f>
        <v>#N/A</v>
      </c>
      <c r="S212" s="30" t="e">
        <f>VLOOKUP(Table1[[#This Row],[Campaign_Name2]],Table3[],5,FALSE)</f>
        <v>#N/A</v>
      </c>
      <c r="T212" s="30">
        <f>IF(Table1[[#This Row],[Campaign_Name2]]="No Campaign", 0, Table1[[#This Row],[Budget]]/COUNTIF(Table1[Campaign_Name2],Table1[[#This Row],[Campaign_Name2]]))</f>
        <v>0</v>
      </c>
    </row>
    <row r="213" spans="1:20" ht="14.25" customHeight="1" x14ac:dyDescent="0.3">
      <c r="A213" s="3" t="s">
        <v>431</v>
      </c>
      <c r="B213" s="3" t="s">
        <v>27</v>
      </c>
      <c r="C213" s="11">
        <v>45719</v>
      </c>
      <c r="D213" s="3" t="s">
        <v>74</v>
      </c>
      <c r="E213" s="3" t="s">
        <v>219</v>
      </c>
      <c r="F213" s="12">
        <v>3874</v>
      </c>
      <c r="G213" s="12">
        <v>884</v>
      </c>
      <c r="H213" s="12">
        <v>19</v>
      </c>
      <c r="I213" s="12">
        <v>38740</v>
      </c>
      <c r="J213" s="12">
        <v>38552</v>
      </c>
      <c r="K213" s="12">
        <v>219</v>
      </c>
      <c r="L213" s="4" t="s">
        <v>30</v>
      </c>
      <c r="M213" s="5" t="s">
        <v>25</v>
      </c>
      <c r="N213" s="31">
        <f t="shared" si="3"/>
        <v>4777</v>
      </c>
      <c r="O213" s="32">
        <f>IFERROR((Table1[[#This Row],[Likes]]+Table1[[#This Row],[Shares]]+Table1[[#This Row],[Comments]])/Table1[[#This Row],[Impressions]], 0)</f>
        <v>0.123309241094476</v>
      </c>
      <c r="P213" s="30" t="str" cm="1">
        <f t="array" ref="P213">IFERROR(INDEX('Campaign Metadata (2)'!$A$2:$A$10, MATCH(1, (C213&gt;='Campaign Metadata (2)'!$B$2:$B$10) * (C213&lt;='Campaign Metadata (2)'!$C$2:$C$10), 0)), "No Campaign")</f>
        <v>DailyWellness</v>
      </c>
      <c r="Q213" s="33">
        <f>VLOOKUP(Table1[[#This Row],[Campaign_Name2]],Table3[#All],2,)</f>
        <v>45717</v>
      </c>
      <c r="R213" s="33">
        <f>VLOOKUP(Table1[[#This Row],[Campaign_Name2]],Table3[#All],3,FALSE)</f>
        <v>45747</v>
      </c>
      <c r="S213" s="30">
        <f>VLOOKUP(Table1[[#This Row],[Campaign_Name2]],Table3[],5,FALSE)</f>
        <v>180000</v>
      </c>
      <c r="T213" s="30">
        <f>IF(Table1[[#This Row],[Campaign_Name2]]="No Campaign", 0, Table1[[#This Row],[Budget]]/COUNTIF(Table1[Campaign_Name2],Table1[[#This Row],[Campaign_Name2]]))</f>
        <v>5625</v>
      </c>
    </row>
    <row r="214" spans="1:20" ht="14.25" customHeight="1" x14ac:dyDescent="0.3">
      <c r="A214" s="3" t="s">
        <v>432</v>
      </c>
      <c r="B214" s="3" t="s">
        <v>43</v>
      </c>
      <c r="C214" s="11">
        <v>45778</v>
      </c>
      <c r="D214" s="3" t="s">
        <v>45</v>
      </c>
      <c r="E214" s="3" t="s">
        <v>46</v>
      </c>
      <c r="F214" s="12">
        <v>2696</v>
      </c>
      <c r="G214" s="12">
        <v>628</v>
      </c>
      <c r="H214" s="12">
        <v>443</v>
      </c>
      <c r="I214" s="12">
        <v>45832</v>
      </c>
      <c r="J214" s="12">
        <v>45632</v>
      </c>
      <c r="K214" s="12">
        <v>248</v>
      </c>
      <c r="L214" s="4" t="s">
        <v>37</v>
      </c>
      <c r="M214" s="5" t="s">
        <v>38</v>
      </c>
      <c r="N214" s="31">
        <f t="shared" si="3"/>
        <v>3767</v>
      </c>
      <c r="O214" s="32">
        <f>IFERROR((Table1[[#This Row],[Likes]]+Table1[[#This Row],[Shares]]+Table1[[#This Row],[Comments]])/Table1[[#This Row],[Impressions]], 0)</f>
        <v>8.21914819340199E-2</v>
      </c>
      <c r="P214" s="30" t="str" cm="1">
        <f t="array" ref="P214">IFERROR(INDEX('Campaign Metadata (2)'!$A$2:$A$10, MATCH(1, (C214&gt;='Campaign Metadata (2)'!$B$2:$B$10) * (C214&lt;='Campaign Metadata (2)'!$C$2:$C$10), 0)), "No Campaign")</f>
        <v>No Campaign</v>
      </c>
      <c r="Q214" s="33" t="e">
        <f>VLOOKUP(Table1[[#This Row],[Campaign_Name2]],Table3[#All],2,)</f>
        <v>#N/A</v>
      </c>
      <c r="R214" s="33" t="e">
        <f>VLOOKUP(Table1[[#This Row],[Campaign_Name2]],Table3[#All],3,FALSE)</f>
        <v>#N/A</v>
      </c>
      <c r="S214" s="30" t="e">
        <f>VLOOKUP(Table1[[#This Row],[Campaign_Name2]],Table3[],5,FALSE)</f>
        <v>#N/A</v>
      </c>
      <c r="T214" s="30">
        <f>IF(Table1[[#This Row],[Campaign_Name2]]="No Campaign", 0, Table1[[#This Row],[Budget]]/COUNTIF(Table1[Campaign_Name2],Table1[[#This Row],[Campaign_Name2]]))</f>
        <v>0</v>
      </c>
    </row>
    <row r="215" spans="1:20" ht="14.25" customHeight="1" x14ac:dyDescent="0.3">
      <c r="A215" s="3" t="s">
        <v>434</v>
      </c>
      <c r="B215" s="3" t="s">
        <v>33</v>
      </c>
      <c r="C215" s="11">
        <v>45649</v>
      </c>
      <c r="D215" s="3" t="s">
        <v>52</v>
      </c>
      <c r="E215" s="3" t="s">
        <v>215</v>
      </c>
      <c r="F215" s="12">
        <v>521</v>
      </c>
      <c r="G215" s="12">
        <v>746</v>
      </c>
      <c r="H215" s="12">
        <v>315</v>
      </c>
      <c r="I215" s="12">
        <v>4168</v>
      </c>
      <c r="J215" s="12">
        <v>3399</v>
      </c>
      <c r="K215" s="12">
        <v>282</v>
      </c>
      <c r="L215" s="4" t="s">
        <v>62</v>
      </c>
      <c r="M215" s="5" t="s">
        <v>25</v>
      </c>
      <c r="N215" s="31">
        <f t="shared" si="3"/>
        <v>1582</v>
      </c>
      <c r="O215" s="32">
        <f>IFERROR((Table1[[#This Row],[Likes]]+Table1[[#This Row],[Shares]]+Table1[[#This Row],[Comments]])/Table1[[#This Row],[Impressions]], 0)</f>
        <v>0.37955854126679461</v>
      </c>
      <c r="P215" s="30" t="str" cm="1">
        <f t="array" ref="P215">IFERROR(INDEX('Campaign Metadata (2)'!$A$2:$A$10, MATCH(1, (C215&gt;='Campaign Metadata (2)'!$B$2:$B$10) * (C215&lt;='Campaign Metadata (2)'!$C$2:$C$10), 0)), "No Campaign")</f>
        <v>No Campaign</v>
      </c>
      <c r="Q215" s="33" t="e">
        <f>VLOOKUP(Table1[[#This Row],[Campaign_Name2]],Table3[#All],2,)</f>
        <v>#N/A</v>
      </c>
      <c r="R215" s="33" t="e">
        <f>VLOOKUP(Table1[[#This Row],[Campaign_Name2]],Table3[#All],3,FALSE)</f>
        <v>#N/A</v>
      </c>
      <c r="S215" s="30" t="e">
        <f>VLOOKUP(Table1[[#This Row],[Campaign_Name2]],Table3[],5,FALSE)</f>
        <v>#N/A</v>
      </c>
      <c r="T215" s="30">
        <f>IF(Table1[[#This Row],[Campaign_Name2]]="No Campaign", 0, Table1[[#This Row],[Budget]]/COUNTIF(Table1[Campaign_Name2],Table1[[#This Row],[Campaign_Name2]]))</f>
        <v>0</v>
      </c>
    </row>
    <row r="216" spans="1:20" ht="14.25" customHeight="1" x14ac:dyDescent="0.3">
      <c r="A216" s="3" t="s">
        <v>435</v>
      </c>
      <c r="B216" s="3" t="s">
        <v>43</v>
      </c>
      <c r="C216" s="11">
        <v>45783</v>
      </c>
      <c r="D216" s="3" t="s">
        <v>52</v>
      </c>
      <c r="E216" s="3" t="s">
        <v>59</v>
      </c>
      <c r="F216" s="12">
        <v>4872</v>
      </c>
      <c r="G216" s="12">
        <v>925</v>
      </c>
      <c r="H216" s="12">
        <v>176</v>
      </c>
      <c r="I216" s="12">
        <v>82824</v>
      </c>
      <c r="J216" s="12">
        <v>82543</v>
      </c>
      <c r="K216" s="12">
        <v>89</v>
      </c>
      <c r="L216" s="4" t="s">
        <v>37</v>
      </c>
      <c r="M216" s="5" t="s">
        <v>25</v>
      </c>
      <c r="N216" s="31">
        <f t="shared" si="3"/>
        <v>5973</v>
      </c>
      <c r="O216" s="32">
        <f>IFERROR((Table1[[#This Row],[Likes]]+Table1[[#This Row],[Shares]]+Table1[[#This Row],[Comments]])/Table1[[#This Row],[Impressions]], 0)</f>
        <v>7.2116777745580993E-2</v>
      </c>
      <c r="P216" s="30" t="str" cm="1">
        <f t="array" ref="P216">IFERROR(INDEX('Campaign Metadata (2)'!$A$2:$A$10, MATCH(1, (C216&gt;='Campaign Metadata (2)'!$B$2:$B$10) * (C216&lt;='Campaign Metadata (2)'!$C$2:$C$10), 0)), "No Campaign")</f>
        <v>No Campaign</v>
      </c>
      <c r="Q216" s="33" t="e">
        <f>VLOOKUP(Table1[[#This Row],[Campaign_Name2]],Table3[#All],2,)</f>
        <v>#N/A</v>
      </c>
      <c r="R216" s="33" t="e">
        <f>VLOOKUP(Table1[[#This Row],[Campaign_Name2]],Table3[#All],3,FALSE)</f>
        <v>#N/A</v>
      </c>
      <c r="S216" s="30" t="e">
        <f>VLOOKUP(Table1[[#This Row],[Campaign_Name2]],Table3[],5,FALSE)</f>
        <v>#N/A</v>
      </c>
      <c r="T216" s="30">
        <f>IF(Table1[[#This Row],[Campaign_Name2]]="No Campaign", 0, Table1[[#This Row],[Budget]]/COUNTIF(Table1[Campaign_Name2],Table1[[#This Row],[Campaign_Name2]]))</f>
        <v>0</v>
      </c>
    </row>
    <row r="217" spans="1:20" ht="14.25" customHeight="1" x14ac:dyDescent="0.3">
      <c r="A217" s="3" t="s">
        <v>437</v>
      </c>
      <c r="B217" s="3" t="s">
        <v>27</v>
      </c>
      <c r="C217" s="11">
        <v>45502</v>
      </c>
      <c r="D217" s="3" t="s">
        <v>35</v>
      </c>
      <c r="E217" s="3" t="s">
        <v>154</v>
      </c>
      <c r="F217" s="12">
        <v>1509</v>
      </c>
      <c r="G217" s="12">
        <v>88</v>
      </c>
      <c r="H217" s="12">
        <v>163</v>
      </c>
      <c r="I217" s="12">
        <v>30180</v>
      </c>
      <c r="J217" s="12">
        <v>29689</v>
      </c>
      <c r="K217" s="12">
        <v>119</v>
      </c>
      <c r="L217" s="4" t="s">
        <v>37</v>
      </c>
      <c r="M217" s="5" t="s">
        <v>25</v>
      </c>
      <c r="N217" s="31">
        <f t="shared" si="3"/>
        <v>1760</v>
      </c>
      <c r="O217" s="32">
        <f>IFERROR((Table1[[#This Row],[Likes]]+Table1[[#This Row],[Shares]]+Table1[[#This Row],[Comments]])/Table1[[#This Row],[Impressions]], 0)</f>
        <v>5.8316766070245198E-2</v>
      </c>
      <c r="P217" s="30" t="str" cm="1">
        <f t="array" ref="P217">IFERROR(INDEX('Campaign Metadata (2)'!$A$2:$A$10, MATCH(1, (C217&gt;='Campaign Metadata (2)'!$B$2:$B$10) * (C217&lt;='Campaign Metadata (2)'!$C$2:$C$10), 0)), "No Campaign")</f>
        <v>No Campaign</v>
      </c>
      <c r="Q217" s="33" t="e">
        <f>VLOOKUP(Table1[[#This Row],[Campaign_Name2]],Table3[#All],2,)</f>
        <v>#N/A</v>
      </c>
      <c r="R217" s="33" t="e">
        <f>VLOOKUP(Table1[[#This Row],[Campaign_Name2]],Table3[#All],3,FALSE)</f>
        <v>#N/A</v>
      </c>
      <c r="S217" s="30" t="e">
        <f>VLOOKUP(Table1[[#This Row],[Campaign_Name2]],Table3[],5,FALSE)</f>
        <v>#N/A</v>
      </c>
      <c r="T217" s="30">
        <f>IF(Table1[[#This Row],[Campaign_Name2]]="No Campaign", 0, Table1[[#This Row],[Budget]]/COUNTIF(Table1[Campaign_Name2],Table1[[#This Row],[Campaign_Name2]]))</f>
        <v>0</v>
      </c>
    </row>
    <row r="218" spans="1:20" ht="14.25" customHeight="1" x14ac:dyDescent="0.3">
      <c r="A218" s="3" t="s">
        <v>438</v>
      </c>
      <c r="B218" s="3" t="s">
        <v>43</v>
      </c>
      <c r="C218" s="11">
        <v>45629</v>
      </c>
      <c r="D218" s="3" t="s">
        <v>52</v>
      </c>
      <c r="E218" s="3" t="s">
        <v>59</v>
      </c>
      <c r="F218" s="12">
        <v>4606</v>
      </c>
      <c r="G218" s="12">
        <v>931</v>
      </c>
      <c r="H218" s="12">
        <v>230</v>
      </c>
      <c r="I218" s="12">
        <v>92120</v>
      </c>
      <c r="J218" s="12">
        <v>91440</v>
      </c>
      <c r="K218" s="12">
        <v>56</v>
      </c>
      <c r="L218" s="4" t="s">
        <v>30</v>
      </c>
      <c r="M218" s="5"/>
      <c r="N218" s="31">
        <f t="shared" si="3"/>
        <v>5767</v>
      </c>
      <c r="O218" s="32">
        <f>IFERROR((Table1[[#This Row],[Likes]]+Table1[[#This Row],[Shares]]+Table1[[#This Row],[Comments]])/Table1[[#This Row],[Impressions]], 0)</f>
        <v>6.2603126356925748E-2</v>
      </c>
      <c r="P218" s="30" t="str" cm="1">
        <f t="array" ref="P218">IFERROR(INDEX('Campaign Metadata (2)'!$A$2:$A$10, MATCH(1, (C218&gt;='Campaign Metadata (2)'!$B$2:$B$10) * (C218&lt;='Campaign Metadata (2)'!$C$2:$C$10), 0)), "No Campaign")</f>
        <v>No Campaign</v>
      </c>
      <c r="Q218" s="33" t="e">
        <f>VLOOKUP(Table1[[#This Row],[Campaign_Name2]],Table3[#All],2,)</f>
        <v>#N/A</v>
      </c>
      <c r="R218" s="33" t="e">
        <f>VLOOKUP(Table1[[#This Row],[Campaign_Name2]],Table3[#All],3,FALSE)</f>
        <v>#N/A</v>
      </c>
      <c r="S218" s="30" t="e">
        <f>VLOOKUP(Table1[[#This Row],[Campaign_Name2]],Table3[],5,FALSE)</f>
        <v>#N/A</v>
      </c>
      <c r="T218" s="30">
        <f>IF(Table1[[#This Row],[Campaign_Name2]]="No Campaign", 0, Table1[[#This Row],[Budget]]/COUNTIF(Table1[Campaign_Name2],Table1[[#This Row],[Campaign_Name2]]))</f>
        <v>0</v>
      </c>
    </row>
    <row r="219" spans="1:20" ht="14.25" customHeight="1" x14ac:dyDescent="0.3">
      <c r="A219" s="3" t="s">
        <v>439</v>
      </c>
      <c r="B219" s="3" t="s">
        <v>43</v>
      </c>
      <c r="C219" s="11">
        <v>45454</v>
      </c>
      <c r="D219" s="3" t="s">
        <v>45</v>
      </c>
      <c r="E219" s="3" t="s">
        <v>46</v>
      </c>
      <c r="F219" s="12">
        <v>1869</v>
      </c>
      <c r="G219" s="12">
        <v>453</v>
      </c>
      <c r="H219" s="12">
        <v>490</v>
      </c>
      <c r="I219" s="12">
        <v>14952</v>
      </c>
      <c r="J219" s="12">
        <v>14309</v>
      </c>
      <c r="K219" s="12">
        <v>275</v>
      </c>
      <c r="L219" s="4" t="s">
        <v>30</v>
      </c>
      <c r="M219" s="5" t="s">
        <v>38</v>
      </c>
      <c r="N219" s="31">
        <f t="shared" si="3"/>
        <v>2812</v>
      </c>
      <c r="O219" s="32">
        <f>IFERROR((Table1[[#This Row],[Likes]]+Table1[[#This Row],[Shares]]+Table1[[#This Row],[Comments]])/Table1[[#This Row],[Impressions]], 0)</f>
        <v>0.18806848582129482</v>
      </c>
      <c r="P219" s="30" t="str" cm="1">
        <f t="array" ref="P219">IFERROR(INDEX('Campaign Metadata (2)'!$A$2:$A$10, MATCH(1, (C219&gt;='Campaign Metadata (2)'!$B$2:$B$10) * (C219&lt;='Campaign Metadata (2)'!$C$2:$C$10), 0)), "No Campaign")</f>
        <v>No Campaign</v>
      </c>
      <c r="Q219" s="33" t="e">
        <f>VLOOKUP(Table1[[#This Row],[Campaign_Name2]],Table3[#All],2,)</f>
        <v>#N/A</v>
      </c>
      <c r="R219" s="33" t="e">
        <f>VLOOKUP(Table1[[#This Row],[Campaign_Name2]],Table3[#All],3,FALSE)</f>
        <v>#N/A</v>
      </c>
      <c r="S219" s="30" t="e">
        <f>VLOOKUP(Table1[[#This Row],[Campaign_Name2]],Table3[],5,FALSE)</f>
        <v>#N/A</v>
      </c>
      <c r="T219" s="30">
        <f>IF(Table1[[#This Row],[Campaign_Name2]]="No Campaign", 0, Table1[[#This Row],[Budget]]/COUNTIF(Table1[Campaign_Name2],Table1[[#This Row],[Campaign_Name2]]))</f>
        <v>0</v>
      </c>
    </row>
    <row r="220" spans="1:20" ht="14.25" customHeight="1" x14ac:dyDescent="0.3">
      <c r="A220" s="3" t="s">
        <v>440</v>
      </c>
      <c r="B220" s="3" t="s">
        <v>14</v>
      </c>
      <c r="C220" s="11">
        <v>45685</v>
      </c>
      <c r="D220" s="3" t="s">
        <v>16</v>
      </c>
      <c r="E220" s="3" t="s">
        <v>17</v>
      </c>
      <c r="F220" s="12">
        <v>1188</v>
      </c>
      <c r="G220" s="12">
        <v>470</v>
      </c>
      <c r="H220" s="12">
        <v>174</v>
      </c>
      <c r="I220" s="12">
        <v>7128</v>
      </c>
      <c r="J220" s="12">
        <v>6145</v>
      </c>
      <c r="K220" s="12">
        <v>270</v>
      </c>
      <c r="L220" s="4" t="s">
        <v>30</v>
      </c>
      <c r="M220" s="5" t="s">
        <v>38</v>
      </c>
      <c r="N220" s="31">
        <f t="shared" si="3"/>
        <v>1832</v>
      </c>
      <c r="O220" s="32">
        <f>IFERROR((Table1[[#This Row],[Likes]]+Table1[[#This Row],[Shares]]+Table1[[#This Row],[Comments]])/Table1[[#This Row],[Impressions]], 0)</f>
        <v>0.25701459034792368</v>
      </c>
      <c r="P220" s="30" t="str" cm="1">
        <f t="array" ref="P220">IFERROR(INDEX('Campaign Metadata (2)'!$A$2:$A$10, MATCH(1, (C220&gt;='Campaign Metadata (2)'!$B$2:$B$10) * (C220&lt;='Campaign Metadata (2)'!$C$2:$C$10), 0)), "No Campaign")</f>
        <v>No Campaign</v>
      </c>
      <c r="Q220" s="33" t="e">
        <f>VLOOKUP(Table1[[#This Row],[Campaign_Name2]],Table3[#All],2,)</f>
        <v>#N/A</v>
      </c>
      <c r="R220" s="33" t="e">
        <f>VLOOKUP(Table1[[#This Row],[Campaign_Name2]],Table3[#All],3,FALSE)</f>
        <v>#N/A</v>
      </c>
      <c r="S220" s="30" t="e">
        <f>VLOOKUP(Table1[[#This Row],[Campaign_Name2]],Table3[],5,FALSE)</f>
        <v>#N/A</v>
      </c>
      <c r="T220" s="30">
        <f>IF(Table1[[#This Row],[Campaign_Name2]]="No Campaign", 0, Table1[[#This Row],[Budget]]/COUNTIF(Table1[Campaign_Name2],Table1[[#This Row],[Campaign_Name2]]))</f>
        <v>0</v>
      </c>
    </row>
    <row r="221" spans="1:20" ht="14.25" customHeight="1" x14ac:dyDescent="0.3">
      <c r="A221" s="3" t="s">
        <v>441</v>
      </c>
      <c r="B221" s="3" t="s">
        <v>33</v>
      </c>
      <c r="C221" s="11">
        <v>45445</v>
      </c>
      <c r="D221" s="3" t="s">
        <v>35</v>
      </c>
      <c r="E221" s="3" t="s">
        <v>36</v>
      </c>
      <c r="F221" s="12">
        <v>84</v>
      </c>
      <c r="G221" s="12">
        <v>897</v>
      </c>
      <c r="H221" s="12">
        <v>85</v>
      </c>
      <c r="I221" s="12">
        <v>588</v>
      </c>
      <c r="J221" s="12">
        <v>8</v>
      </c>
      <c r="K221" s="12">
        <v>12</v>
      </c>
      <c r="L221" s="4" t="s">
        <v>37</v>
      </c>
      <c r="M221" s="5"/>
      <c r="N221" s="31">
        <f t="shared" si="3"/>
        <v>1066</v>
      </c>
      <c r="O221" s="32">
        <f>IFERROR((Table1[[#This Row],[Likes]]+Table1[[#This Row],[Shares]]+Table1[[#This Row],[Comments]])/Table1[[#This Row],[Impressions]], 0)</f>
        <v>1.8129251700680271</v>
      </c>
      <c r="P221" s="30" t="str" cm="1">
        <f t="array" ref="P221">IFERROR(INDEX('Campaign Metadata (2)'!$A$2:$A$10, MATCH(1, (C221&gt;='Campaign Metadata (2)'!$B$2:$B$10) * (C221&lt;='Campaign Metadata (2)'!$C$2:$C$10), 0)), "No Campaign")</f>
        <v>No Campaign</v>
      </c>
      <c r="Q221" s="33" t="e">
        <f>VLOOKUP(Table1[[#This Row],[Campaign_Name2]],Table3[#All],2,)</f>
        <v>#N/A</v>
      </c>
      <c r="R221" s="33" t="e">
        <f>VLOOKUP(Table1[[#This Row],[Campaign_Name2]],Table3[#All],3,FALSE)</f>
        <v>#N/A</v>
      </c>
      <c r="S221" s="30" t="e">
        <f>VLOOKUP(Table1[[#This Row],[Campaign_Name2]],Table3[],5,FALSE)</f>
        <v>#N/A</v>
      </c>
      <c r="T221" s="30">
        <f>IF(Table1[[#This Row],[Campaign_Name2]]="No Campaign", 0, Table1[[#This Row],[Budget]]/COUNTIF(Table1[Campaign_Name2],Table1[[#This Row],[Campaign_Name2]]))</f>
        <v>0</v>
      </c>
    </row>
    <row r="222" spans="1:20" ht="14.25" customHeight="1" x14ac:dyDescent="0.3">
      <c r="A222" s="3" t="s">
        <v>442</v>
      </c>
      <c r="B222" s="3" t="s">
        <v>43</v>
      </c>
      <c r="C222" s="11">
        <v>45739</v>
      </c>
      <c r="D222" s="3" t="s">
        <v>74</v>
      </c>
      <c r="E222" s="3" t="s">
        <v>75</v>
      </c>
      <c r="F222" s="12">
        <v>4453</v>
      </c>
      <c r="G222" s="12">
        <v>111</v>
      </c>
      <c r="H222" s="12">
        <v>420</v>
      </c>
      <c r="I222" s="12">
        <v>31171</v>
      </c>
      <c r="J222" s="12">
        <v>30565</v>
      </c>
      <c r="K222" s="12">
        <v>23</v>
      </c>
      <c r="L222" s="4" t="s">
        <v>30</v>
      </c>
      <c r="M222" s="5"/>
      <c r="N222" s="31">
        <f t="shared" si="3"/>
        <v>4984</v>
      </c>
      <c r="O222" s="32">
        <f>IFERROR((Table1[[#This Row],[Likes]]+Table1[[#This Row],[Shares]]+Table1[[#This Row],[Comments]])/Table1[[#This Row],[Impressions]], 0)</f>
        <v>0.15989220750056141</v>
      </c>
      <c r="P222" s="30" t="str" cm="1">
        <f t="array" ref="P222">IFERROR(INDEX('Campaign Metadata (2)'!$A$2:$A$10, MATCH(1, (C222&gt;='Campaign Metadata (2)'!$B$2:$B$10) * (C222&lt;='Campaign Metadata (2)'!$C$2:$C$10), 0)), "No Campaign")</f>
        <v>DailyWellness</v>
      </c>
      <c r="Q222" s="33">
        <f>VLOOKUP(Table1[[#This Row],[Campaign_Name2]],Table3[#All],2,)</f>
        <v>45717</v>
      </c>
      <c r="R222" s="33">
        <f>VLOOKUP(Table1[[#This Row],[Campaign_Name2]],Table3[#All],3,FALSE)</f>
        <v>45747</v>
      </c>
      <c r="S222" s="30">
        <f>VLOOKUP(Table1[[#This Row],[Campaign_Name2]],Table3[],5,FALSE)</f>
        <v>180000</v>
      </c>
      <c r="T222" s="30">
        <f>IF(Table1[[#This Row],[Campaign_Name2]]="No Campaign", 0, Table1[[#This Row],[Budget]]/COUNTIF(Table1[Campaign_Name2],Table1[[#This Row],[Campaign_Name2]]))</f>
        <v>5625</v>
      </c>
    </row>
    <row r="223" spans="1:20" ht="14.25" customHeight="1" x14ac:dyDescent="0.3">
      <c r="A223" s="3" t="s">
        <v>443</v>
      </c>
      <c r="B223" s="3" t="s">
        <v>43</v>
      </c>
      <c r="C223" s="11">
        <v>45573</v>
      </c>
      <c r="D223" s="3" t="s">
        <v>16</v>
      </c>
      <c r="E223" s="3" t="s">
        <v>65</v>
      </c>
      <c r="F223" s="12">
        <v>1814</v>
      </c>
      <c r="G223" s="12">
        <v>653</v>
      </c>
      <c r="H223" s="12">
        <v>363</v>
      </c>
      <c r="I223" s="12">
        <v>25396</v>
      </c>
      <c r="J223" s="12">
        <v>25286</v>
      </c>
      <c r="K223" s="12">
        <v>39</v>
      </c>
      <c r="L223" s="4" t="s">
        <v>445</v>
      </c>
      <c r="M223" s="5" t="s">
        <v>19</v>
      </c>
      <c r="N223" s="31">
        <f t="shared" si="3"/>
        <v>2830</v>
      </c>
      <c r="O223" s="32">
        <f>IFERROR((Table1[[#This Row],[Likes]]+Table1[[#This Row],[Shares]]+Table1[[#This Row],[Comments]])/Table1[[#This Row],[Impressions]], 0)</f>
        <v>0.11143487163332809</v>
      </c>
      <c r="P223" s="30" t="str" cm="1">
        <f t="array" ref="P223">IFERROR(INDEX('Campaign Metadata (2)'!$A$2:$A$10, MATCH(1, (C223&gt;='Campaign Metadata (2)'!$B$2:$B$10) * (C223&lt;='Campaign Metadata (2)'!$C$2:$C$10), 0)), "No Campaign")</f>
        <v>FestiveRadiance</v>
      </c>
      <c r="Q223" s="33">
        <f>VLOOKUP(Table1[[#This Row],[Campaign_Name2]],Table3[#All],2,)</f>
        <v>45566</v>
      </c>
      <c r="R223" s="33">
        <f>VLOOKUP(Table1[[#This Row],[Campaign_Name2]],Table3[#All],3,FALSE)</f>
        <v>45596</v>
      </c>
      <c r="S223" s="30">
        <f>VLOOKUP(Table1[[#This Row],[Campaign_Name2]],Table3[],5,FALSE)</f>
        <v>200000</v>
      </c>
      <c r="T223" s="30">
        <f>IF(Table1[[#This Row],[Campaign_Name2]]="No Campaign", 0, Table1[[#This Row],[Budget]]/COUNTIF(Table1[Campaign_Name2],Table1[[#This Row],[Campaign_Name2]]))</f>
        <v>5714.2857142857147</v>
      </c>
    </row>
    <row r="224" spans="1:20" ht="14.25" customHeight="1" x14ac:dyDescent="0.3">
      <c r="A224" s="3" t="s">
        <v>446</v>
      </c>
      <c r="B224" s="3" t="s">
        <v>14</v>
      </c>
      <c r="C224" s="11">
        <v>45608</v>
      </c>
      <c r="D224" s="3" t="s">
        <v>52</v>
      </c>
      <c r="E224" s="3" t="s">
        <v>132</v>
      </c>
      <c r="F224" s="12">
        <v>3338</v>
      </c>
      <c r="G224" s="12">
        <v>277</v>
      </c>
      <c r="H224" s="12">
        <v>118</v>
      </c>
      <c r="I224" s="12">
        <v>60084</v>
      </c>
      <c r="J224" s="12">
        <v>59842</v>
      </c>
      <c r="K224" s="12">
        <v>252</v>
      </c>
      <c r="L224" s="4" t="s">
        <v>30</v>
      </c>
      <c r="M224" s="5"/>
      <c r="N224" s="31">
        <f t="shared" si="3"/>
        <v>3733</v>
      </c>
      <c r="O224" s="32">
        <f>IFERROR((Table1[[#This Row],[Likes]]+Table1[[#This Row],[Shares]]+Table1[[#This Row],[Comments]])/Table1[[#This Row],[Impressions]], 0)</f>
        <v>6.2129685107516146E-2</v>
      </c>
      <c r="P224" s="30" t="str" cm="1">
        <f t="array" ref="P224">IFERROR(INDEX('Campaign Metadata (2)'!$A$2:$A$10, MATCH(1, (C224&gt;='Campaign Metadata (2)'!$B$2:$B$10) * (C224&lt;='Campaign Metadata (2)'!$C$2:$C$10), 0)), "No Campaign")</f>
        <v>No Campaign</v>
      </c>
      <c r="Q224" s="33" t="e">
        <f>VLOOKUP(Table1[[#This Row],[Campaign_Name2]],Table3[#All],2,)</f>
        <v>#N/A</v>
      </c>
      <c r="R224" s="33" t="e">
        <f>VLOOKUP(Table1[[#This Row],[Campaign_Name2]],Table3[#All],3,FALSE)</f>
        <v>#N/A</v>
      </c>
      <c r="S224" s="30" t="e">
        <f>VLOOKUP(Table1[[#This Row],[Campaign_Name2]],Table3[],5,FALSE)</f>
        <v>#N/A</v>
      </c>
      <c r="T224" s="30">
        <f>IF(Table1[[#This Row],[Campaign_Name2]]="No Campaign", 0, Table1[[#This Row],[Budget]]/COUNTIF(Table1[Campaign_Name2],Table1[[#This Row],[Campaign_Name2]]))</f>
        <v>0</v>
      </c>
    </row>
    <row r="225" spans="1:20" ht="14.25" customHeight="1" x14ac:dyDescent="0.3">
      <c r="A225" s="3" t="s">
        <v>447</v>
      </c>
      <c r="B225" s="3" t="s">
        <v>43</v>
      </c>
      <c r="C225" s="11">
        <v>45790</v>
      </c>
      <c r="D225" s="3" t="s">
        <v>52</v>
      </c>
      <c r="E225" s="3" t="s">
        <v>59</v>
      </c>
      <c r="F225" s="12">
        <v>602</v>
      </c>
      <c r="G225" s="12">
        <v>594</v>
      </c>
      <c r="H225" s="12">
        <v>156</v>
      </c>
      <c r="I225" s="12">
        <v>4214</v>
      </c>
      <c r="J225" s="12">
        <v>3363</v>
      </c>
      <c r="K225" s="12">
        <v>164</v>
      </c>
      <c r="L225" s="4" t="s">
        <v>30</v>
      </c>
      <c r="M225" s="5" t="s">
        <v>31</v>
      </c>
      <c r="N225" s="31">
        <f t="shared" si="3"/>
        <v>1352</v>
      </c>
      <c r="O225" s="32">
        <f>IFERROR((Table1[[#This Row],[Likes]]+Table1[[#This Row],[Shares]]+Table1[[#This Row],[Comments]])/Table1[[#This Row],[Impressions]], 0)</f>
        <v>0.32083531086853345</v>
      </c>
      <c r="P225" s="30" t="str" cm="1">
        <f t="array" ref="P225">IFERROR(INDEX('Campaign Metadata (2)'!$A$2:$A$10, MATCH(1, (C225&gt;='Campaign Metadata (2)'!$B$2:$B$10) * (C225&lt;='Campaign Metadata (2)'!$C$2:$C$10), 0)), "No Campaign")</f>
        <v>No Campaign</v>
      </c>
      <c r="Q225" s="33" t="e">
        <f>VLOOKUP(Table1[[#This Row],[Campaign_Name2]],Table3[#All],2,)</f>
        <v>#N/A</v>
      </c>
      <c r="R225" s="33" t="e">
        <f>VLOOKUP(Table1[[#This Row],[Campaign_Name2]],Table3[#All],3,FALSE)</f>
        <v>#N/A</v>
      </c>
      <c r="S225" s="30" t="e">
        <f>VLOOKUP(Table1[[#This Row],[Campaign_Name2]],Table3[],5,FALSE)</f>
        <v>#N/A</v>
      </c>
      <c r="T225" s="30">
        <f>IF(Table1[[#This Row],[Campaign_Name2]]="No Campaign", 0, Table1[[#This Row],[Budget]]/COUNTIF(Table1[Campaign_Name2],Table1[[#This Row],[Campaign_Name2]]))</f>
        <v>0</v>
      </c>
    </row>
    <row r="226" spans="1:20" ht="14.25" customHeight="1" x14ac:dyDescent="0.3">
      <c r="A226" s="3" t="s">
        <v>449</v>
      </c>
      <c r="B226" s="3" t="s">
        <v>14</v>
      </c>
      <c r="C226" s="11">
        <v>45463</v>
      </c>
      <c r="D226" s="3" t="s">
        <v>45</v>
      </c>
      <c r="E226" s="3" t="s">
        <v>49</v>
      </c>
      <c r="F226" s="12">
        <v>4672</v>
      </c>
      <c r="G226" s="12">
        <v>325</v>
      </c>
      <c r="H226" s="12">
        <v>32</v>
      </c>
      <c r="I226" s="12">
        <v>88768</v>
      </c>
      <c r="J226" s="12">
        <v>87833</v>
      </c>
      <c r="K226" s="12">
        <v>118</v>
      </c>
      <c r="L226" s="4" t="s">
        <v>37</v>
      </c>
      <c r="M226" s="5"/>
      <c r="N226" s="31">
        <f t="shared" si="3"/>
        <v>5029</v>
      </c>
      <c r="O226" s="32">
        <f>IFERROR((Table1[[#This Row],[Likes]]+Table1[[#This Row],[Shares]]+Table1[[#This Row],[Comments]])/Table1[[#This Row],[Impressions]], 0)</f>
        <v>5.6653298485940883E-2</v>
      </c>
      <c r="P226" s="30" t="str" cm="1">
        <f t="array" ref="P226">IFERROR(INDEX('Campaign Metadata (2)'!$A$2:$A$10, MATCH(1, (C226&gt;='Campaign Metadata (2)'!$B$2:$B$10) * (C226&lt;='Campaign Metadata (2)'!$C$2:$C$10), 0)), "No Campaign")</f>
        <v>SummerSplash</v>
      </c>
      <c r="Q226" s="33">
        <f>VLOOKUP(Table1[[#This Row],[Campaign_Name2]],Table3[#All],2,)</f>
        <v>45458</v>
      </c>
      <c r="R226" s="33">
        <f>VLOOKUP(Table1[[#This Row],[Campaign_Name2]],Table3[#All],3,FALSE)</f>
        <v>45488</v>
      </c>
      <c r="S226" s="30">
        <f>VLOOKUP(Table1[[#This Row],[Campaign_Name2]],Table3[],5,FALSE)</f>
        <v>150000</v>
      </c>
      <c r="T226" s="30">
        <f>IF(Table1[[#This Row],[Campaign_Name2]]="No Campaign", 0, Table1[[#This Row],[Budget]]/COUNTIF(Table1[Campaign_Name2],Table1[[#This Row],[Campaign_Name2]]))</f>
        <v>5555.5555555555557</v>
      </c>
    </row>
    <row r="227" spans="1:20" ht="14.25" customHeight="1" x14ac:dyDescent="0.3">
      <c r="A227" s="3" t="s">
        <v>450</v>
      </c>
      <c r="B227" s="3" t="s">
        <v>33</v>
      </c>
      <c r="C227" s="11">
        <v>45511</v>
      </c>
      <c r="D227" s="3" t="s">
        <v>45</v>
      </c>
      <c r="E227" s="3" t="s">
        <v>88</v>
      </c>
      <c r="F227" s="12">
        <v>1741</v>
      </c>
      <c r="G227" s="12">
        <v>164</v>
      </c>
      <c r="H227" s="12">
        <v>318</v>
      </c>
      <c r="I227" s="12">
        <v>8705</v>
      </c>
      <c r="J227" s="12">
        <v>8272</v>
      </c>
      <c r="K227" s="12">
        <v>121</v>
      </c>
      <c r="L227" s="4" t="s">
        <v>30</v>
      </c>
      <c r="M227" s="5"/>
      <c r="N227" s="31">
        <f t="shared" si="3"/>
        <v>2223</v>
      </c>
      <c r="O227" s="32">
        <f>IFERROR((Table1[[#This Row],[Likes]]+Table1[[#This Row],[Shares]]+Table1[[#This Row],[Comments]])/Table1[[#This Row],[Impressions]], 0)</f>
        <v>0.25537047673750718</v>
      </c>
      <c r="P227" s="30" t="str" cm="1">
        <f t="array" ref="P227">IFERROR(INDEX('Campaign Metadata (2)'!$A$2:$A$10, MATCH(1, (C227&gt;='Campaign Metadata (2)'!$B$2:$B$10) * (C227&lt;='Campaign Metadata (2)'!$C$2:$C$10), 0)), "No Campaign")</f>
        <v>No Campaign</v>
      </c>
      <c r="Q227" s="33" t="e">
        <f>VLOOKUP(Table1[[#This Row],[Campaign_Name2]],Table3[#All],2,)</f>
        <v>#N/A</v>
      </c>
      <c r="R227" s="33" t="e">
        <f>VLOOKUP(Table1[[#This Row],[Campaign_Name2]],Table3[#All],3,FALSE)</f>
        <v>#N/A</v>
      </c>
      <c r="S227" s="30" t="e">
        <f>VLOOKUP(Table1[[#This Row],[Campaign_Name2]],Table3[],5,FALSE)</f>
        <v>#N/A</v>
      </c>
      <c r="T227" s="30">
        <f>IF(Table1[[#This Row],[Campaign_Name2]]="No Campaign", 0, Table1[[#This Row],[Budget]]/COUNTIF(Table1[Campaign_Name2],Table1[[#This Row],[Campaign_Name2]]))</f>
        <v>0</v>
      </c>
    </row>
    <row r="228" spans="1:20" ht="14.25" customHeight="1" x14ac:dyDescent="0.3">
      <c r="A228" s="3" t="s">
        <v>452</v>
      </c>
      <c r="B228" s="3" t="s">
        <v>33</v>
      </c>
      <c r="C228" s="11">
        <v>45455</v>
      </c>
      <c r="D228" s="3" t="s">
        <v>22</v>
      </c>
      <c r="E228" s="3" t="s">
        <v>113</v>
      </c>
      <c r="F228" s="12">
        <v>246</v>
      </c>
      <c r="G228" s="12">
        <v>149</v>
      </c>
      <c r="H228" s="12">
        <v>130</v>
      </c>
      <c r="I228" s="12">
        <v>4674</v>
      </c>
      <c r="J228" s="12">
        <v>4390</v>
      </c>
      <c r="K228" s="12">
        <v>217</v>
      </c>
      <c r="L228" s="4" t="s">
        <v>62</v>
      </c>
      <c r="M228" s="5" t="s">
        <v>31</v>
      </c>
      <c r="N228" s="31">
        <f t="shared" si="3"/>
        <v>525</v>
      </c>
      <c r="O228" s="32">
        <f>IFERROR((Table1[[#This Row],[Likes]]+Table1[[#This Row],[Shares]]+Table1[[#This Row],[Comments]])/Table1[[#This Row],[Impressions]], 0)</f>
        <v>0.11232349165596919</v>
      </c>
      <c r="P228" s="30" t="str" cm="1">
        <f t="array" ref="P228">IFERROR(INDEX('Campaign Metadata (2)'!$A$2:$A$10, MATCH(1, (C228&gt;='Campaign Metadata (2)'!$B$2:$B$10) * (C228&lt;='Campaign Metadata (2)'!$C$2:$C$10), 0)), "No Campaign")</f>
        <v>No Campaign</v>
      </c>
      <c r="Q228" s="33" t="e">
        <f>VLOOKUP(Table1[[#This Row],[Campaign_Name2]],Table3[#All],2,)</f>
        <v>#N/A</v>
      </c>
      <c r="R228" s="33" t="e">
        <f>VLOOKUP(Table1[[#This Row],[Campaign_Name2]],Table3[#All],3,FALSE)</f>
        <v>#N/A</v>
      </c>
      <c r="S228" s="30" t="e">
        <f>VLOOKUP(Table1[[#This Row],[Campaign_Name2]],Table3[],5,FALSE)</f>
        <v>#N/A</v>
      </c>
      <c r="T228" s="30">
        <f>IF(Table1[[#This Row],[Campaign_Name2]]="No Campaign", 0, Table1[[#This Row],[Budget]]/COUNTIF(Table1[Campaign_Name2],Table1[[#This Row],[Campaign_Name2]]))</f>
        <v>0</v>
      </c>
    </row>
    <row r="229" spans="1:20" ht="14.25" customHeight="1" x14ac:dyDescent="0.3">
      <c r="A229" s="3" t="s">
        <v>454</v>
      </c>
      <c r="B229" s="3" t="s">
        <v>33</v>
      </c>
      <c r="C229" s="11">
        <v>45474</v>
      </c>
      <c r="D229" s="3" t="s">
        <v>35</v>
      </c>
      <c r="E229" s="3" t="s">
        <v>36</v>
      </c>
      <c r="F229" s="12">
        <v>4808</v>
      </c>
      <c r="G229" s="12">
        <v>772</v>
      </c>
      <c r="H229" s="12">
        <v>320</v>
      </c>
      <c r="I229" s="12">
        <v>72120</v>
      </c>
      <c r="J229" s="12">
        <v>71696</v>
      </c>
      <c r="K229" s="12">
        <v>195</v>
      </c>
      <c r="L229" s="4" t="s">
        <v>37</v>
      </c>
      <c r="M229" s="5" t="s">
        <v>19</v>
      </c>
      <c r="N229" s="31">
        <f t="shared" si="3"/>
        <v>5900</v>
      </c>
      <c r="O229" s="32">
        <f>IFERROR((Table1[[#This Row],[Likes]]+Table1[[#This Row],[Shares]]+Table1[[#This Row],[Comments]])/Table1[[#This Row],[Impressions]], 0)</f>
        <v>8.1808097615085965E-2</v>
      </c>
      <c r="P229" s="30" t="str" cm="1">
        <f t="array" ref="P229">IFERROR(INDEX('Campaign Metadata (2)'!$A$2:$A$10, MATCH(1, (C229&gt;='Campaign Metadata (2)'!$B$2:$B$10) * (C229&lt;='Campaign Metadata (2)'!$C$2:$C$10), 0)), "No Campaign")</f>
        <v>SummerSplash</v>
      </c>
      <c r="Q229" s="33">
        <f>VLOOKUP(Table1[[#This Row],[Campaign_Name2]],Table3[#All],2,)</f>
        <v>45458</v>
      </c>
      <c r="R229" s="33">
        <f>VLOOKUP(Table1[[#This Row],[Campaign_Name2]],Table3[#All],3,FALSE)</f>
        <v>45488</v>
      </c>
      <c r="S229" s="30">
        <f>VLOOKUP(Table1[[#This Row],[Campaign_Name2]],Table3[],5,FALSE)</f>
        <v>150000</v>
      </c>
      <c r="T229" s="30">
        <f>IF(Table1[[#This Row],[Campaign_Name2]]="No Campaign", 0, Table1[[#This Row],[Budget]]/COUNTIF(Table1[Campaign_Name2],Table1[[#This Row],[Campaign_Name2]]))</f>
        <v>5555.5555555555557</v>
      </c>
    </row>
    <row r="230" spans="1:20" ht="14.25" customHeight="1" x14ac:dyDescent="0.3">
      <c r="A230" s="3" t="s">
        <v>456</v>
      </c>
      <c r="B230" s="3" t="s">
        <v>33</v>
      </c>
      <c r="C230" s="11">
        <v>45476</v>
      </c>
      <c r="D230" s="3" t="s">
        <v>45</v>
      </c>
      <c r="E230" s="3" t="s">
        <v>88</v>
      </c>
      <c r="F230" s="12">
        <v>4799</v>
      </c>
      <c r="G230" s="12">
        <v>694</v>
      </c>
      <c r="H230" s="12">
        <v>289</v>
      </c>
      <c r="I230" s="12">
        <v>43191</v>
      </c>
      <c r="J230" s="12">
        <v>42228</v>
      </c>
      <c r="K230" s="12">
        <v>118</v>
      </c>
      <c r="L230" s="4" t="s">
        <v>30</v>
      </c>
      <c r="M230" s="5"/>
      <c r="N230" s="31">
        <f t="shared" si="3"/>
        <v>5782</v>
      </c>
      <c r="O230" s="32">
        <f>IFERROR((Table1[[#This Row],[Likes]]+Table1[[#This Row],[Shares]]+Table1[[#This Row],[Comments]])/Table1[[#This Row],[Impressions]], 0)</f>
        <v>0.13387048227640017</v>
      </c>
      <c r="P230" s="30" t="str" cm="1">
        <f t="array" ref="P230">IFERROR(INDEX('Campaign Metadata (2)'!$A$2:$A$10, MATCH(1, (C230&gt;='Campaign Metadata (2)'!$B$2:$B$10) * (C230&lt;='Campaign Metadata (2)'!$C$2:$C$10), 0)), "No Campaign")</f>
        <v>SummerSplash</v>
      </c>
      <c r="Q230" s="33">
        <f>VLOOKUP(Table1[[#This Row],[Campaign_Name2]],Table3[#All],2,)</f>
        <v>45458</v>
      </c>
      <c r="R230" s="33">
        <f>VLOOKUP(Table1[[#This Row],[Campaign_Name2]],Table3[#All],3,FALSE)</f>
        <v>45488</v>
      </c>
      <c r="S230" s="30">
        <f>VLOOKUP(Table1[[#This Row],[Campaign_Name2]],Table3[],5,FALSE)</f>
        <v>150000</v>
      </c>
      <c r="T230" s="30">
        <f>IF(Table1[[#This Row],[Campaign_Name2]]="No Campaign", 0, Table1[[#This Row],[Budget]]/COUNTIF(Table1[Campaign_Name2],Table1[[#This Row],[Campaign_Name2]]))</f>
        <v>5555.5555555555557</v>
      </c>
    </row>
    <row r="231" spans="1:20" ht="14.25" customHeight="1" x14ac:dyDescent="0.3">
      <c r="A231" s="3" t="s">
        <v>457</v>
      </c>
      <c r="B231" s="3" t="s">
        <v>43</v>
      </c>
      <c r="C231" s="11">
        <v>45488</v>
      </c>
      <c r="D231" s="3" t="s">
        <v>16</v>
      </c>
      <c r="E231" s="3" t="s">
        <v>65</v>
      </c>
      <c r="F231" s="12">
        <v>3663</v>
      </c>
      <c r="G231" s="12">
        <v>17</v>
      </c>
      <c r="H231" s="12">
        <v>295</v>
      </c>
      <c r="I231" s="12">
        <v>51282</v>
      </c>
      <c r="J231" s="12">
        <v>50567</v>
      </c>
      <c r="K231" s="12">
        <v>84</v>
      </c>
      <c r="L231" s="4" t="s">
        <v>37</v>
      </c>
      <c r="M231" s="5" t="s">
        <v>31</v>
      </c>
      <c r="N231" s="31">
        <f t="shared" si="3"/>
        <v>3975</v>
      </c>
      <c r="O231" s="32">
        <f>IFERROR((Table1[[#This Row],[Likes]]+Table1[[#This Row],[Shares]]+Table1[[#This Row],[Comments]])/Table1[[#This Row],[Impressions]], 0)</f>
        <v>7.7512577512577507E-2</v>
      </c>
      <c r="P231" s="30" t="str" cm="1">
        <f t="array" ref="P231">IFERROR(INDEX('Campaign Metadata (2)'!$A$2:$A$10, MATCH(1, (C231&gt;='Campaign Metadata (2)'!$B$2:$B$10) * (C231&lt;='Campaign Metadata (2)'!$C$2:$C$10), 0)), "No Campaign")</f>
        <v>SummerSplash</v>
      </c>
      <c r="Q231" s="33">
        <f>VLOOKUP(Table1[[#This Row],[Campaign_Name2]],Table3[#All],2,)</f>
        <v>45458</v>
      </c>
      <c r="R231" s="33">
        <f>VLOOKUP(Table1[[#This Row],[Campaign_Name2]],Table3[#All],3,FALSE)</f>
        <v>45488</v>
      </c>
      <c r="S231" s="30">
        <f>VLOOKUP(Table1[[#This Row],[Campaign_Name2]],Table3[],5,FALSE)</f>
        <v>150000</v>
      </c>
      <c r="T231" s="30">
        <f>IF(Table1[[#This Row],[Campaign_Name2]]="No Campaign", 0, Table1[[#This Row],[Budget]]/COUNTIF(Table1[Campaign_Name2],Table1[[#This Row],[Campaign_Name2]]))</f>
        <v>5555.5555555555557</v>
      </c>
    </row>
    <row r="232" spans="1:20" ht="14.25" customHeight="1" x14ac:dyDescent="0.3">
      <c r="A232" s="3" t="s">
        <v>458</v>
      </c>
      <c r="B232" s="3" t="s">
        <v>33</v>
      </c>
      <c r="C232" s="11">
        <v>45778</v>
      </c>
      <c r="D232" s="3" t="s">
        <v>22</v>
      </c>
      <c r="E232" s="3" t="s">
        <v>113</v>
      </c>
      <c r="F232" s="12">
        <v>1430</v>
      </c>
      <c r="G232" s="12">
        <v>376</v>
      </c>
      <c r="H232" s="12">
        <v>33</v>
      </c>
      <c r="I232" s="12">
        <v>21450</v>
      </c>
      <c r="J232" s="12">
        <v>20509</v>
      </c>
      <c r="K232" s="12">
        <v>251</v>
      </c>
      <c r="L232" s="4" t="s">
        <v>62</v>
      </c>
      <c r="M232" s="5" t="s">
        <v>19</v>
      </c>
      <c r="N232" s="31">
        <f t="shared" si="3"/>
        <v>1839</v>
      </c>
      <c r="O232" s="32">
        <f>IFERROR((Table1[[#This Row],[Likes]]+Table1[[#This Row],[Shares]]+Table1[[#This Row],[Comments]])/Table1[[#This Row],[Impressions]], 0)</f>
        <v>8.5734265734265735E-2</v>
      </c>
      <c r="P232" s="30" t="str" cm="1">
        <f t="array" ref="P232">IFERROR(INDEX('Campaign Metadata (2)'!$A$2:$A$10, MATCH(1, (C232&gt;='Campaign Metadata (2)'!$B$2:$B$10) * (C232&lt;='Campaign Metadata (2)'!$C$2:$C$10), 0)), "No Campaign")</f>
        <v>No Campaign</v>
      </c>
      <c r="Q232" s="33" t="e">
        <f>VLOOKUP(Table1[[#This Row],[Campaign_Name2]],Table3[#All],2,)</f>
        <v>#N/A</v>
      </c>
      <c r="R232" s="33" t="e">
        <f>VLOOKUP(Table1[[#This Row],[Campaign_Name2]],Table3[#All],3,FALSE)</f>
        <v>#N/A</v>
      </c>
      <c r="S232" s="30" t="e">
        <f>VLOOKUP(Table1[[#This Row],[Campaign_Name2]],Table3[],5,FALSE)</f>
        <v>#N/A</v>
      </c>
      <c r="T232" s="30">
        <f>IF(Table1[[#This Row],[Campaign_Name2]]="No Campaign", 0, Table1[[#This Row],[Budget]]/COUNTIF(Table1[Campaign_Name2],Table1[[#This Row],[Campaign_Name2]]))</f>
        <v>0</v>
      </c>
    </row>
    <row r="233" spans="1:20" ht="14.25" customHeight="1" x14ac:dyDescent="0.3">
      <c r="A233" s="3" t="s">
        <v>459</v>
      </c>
      <c r="B233" s="3" t="s">
        <v>14</v>
      </c>
      <c r="C233" s="11">
        <v>45776</v>
      </c>
      <c r="D233" s="3" t="s">
        <v>35</v>
      </c>
      <c r="E233" s="3" t="s">
        <v>149</v>
      </c>
      <c r="F233" s="12">
        <v>249</v>
      </c>
      <c r="G233" s="12">
        <v>592</v>
      </c>
      <c r="H233" s="12">
        <v>230</v>
      </c>
      <c r="I233" s="12">
        <v>1494</v>
      </c>
      <c r="J233" s="12">
        <v>1044</v>
      </c>
      <c r="K233" s="12">
        <v>201</v>
      </c>
      <c r="L233" s="4" t="s">
        <v>37</v>
      </c>
      <c r="M233" s="5" t="s">
        <v>38</v>
      </c>
      <c r="N233" s="31">
        <f t="shared" si="3"/>
        <v>1071</v>
      </c>
      <c r="O233" s="32">
        <f>IFERROR((Table1[[#This Row],[Likes]]+Table1[[#This Row],[Shares]]+Table1[[#This Row],[Comments]])/Table1[[#This Row],[Impressions]], 0)</f>
        <v>0.7168674698795181</v>
      </c>
      <c r="P233" s="30" t="str" cm="1">
        <f t="array" ref="P233">IFERROR(INDEX('Campaign Metadata (2)'!$A$2:$A$10, MATCH(1, (C233&gt;='Campaign Metadata (2)'!$B$2:$B$10) * (C233&lt;='Campaign Metadata (2)'!$C$2:$C$10), 0)), "No Campaign")</f>
        <v>No Campaign</v>
      </c>
      <c r="Q233" s="33" t="e">
        <f>VLOOKUP(Table1[[#This Row],[Campaign_Name2]],Table3[#All],2,)</f>
        <v>#N/A</v>
      </c>
      <c r="R233" s="33" t="e">
        <f>VLOOKUP(Table1[[#This Row],[Campaign_Name2]],Table3[#All],3,FALSE)</f>
        <v>#N/A</v>
      </c>
      <c r="S233" s="30" t="e">
        <f>VLOOKUP(Table1[[#This Row],[Campaign_Name2]],Table3[],5,FALSE)</f>
        <v>#N/A</v>
      </c>
      <c r="T233" s="30">
        <f>IF(Table1[[#This Row],[Campaign_Name2]]="No Campaign", 0, Table1[[#This Row],[Budget]]/COUNTIF(Table1[Campaign_Name2],Table1[[#This Row],[Campaign_Name2]]))</f>
        <v>0</v>
      </c>
    </row>
    <row r="234" spans="1:20" ht="14.25" customHeight="1" x14ac:dyDescent="0.3">
      <c r="A234" s="3" t="s">
        <v>461</v>
      </c>
      <c r="B234" s="3" t="s">
        <v>43</v>
      </c>
      <c r="C234" s="11">
        <v>45724</v>
      </c>
      <c r="D234" s="3" t="s">
        <v>52</v>
      </c>
      <c r="E234" s="3" t="s">
        <v>59</v>
      </c>
      <c r="F234" s="12">
        <v>2382</v>
      </c>
      <c r="G234" s="12">
        <v>265</v>
      </c>
      <c r="H234" s="12">
        <v>134</v>
      </c>
      <c r="I234" s="12">
        <v>38112</v>
      </c>
      <c r="J234" s="12">
        <v>37437</v>
      </c>
      <c r="K234" s="12">
        <v>249</v>
      </c>
      <c r="L234" s="4" t="s">
        <v>62</v>
      </c>
      <c r="M234" s="5" t="s">
        <v>38</v>
      </c>
      <c r="N234" s="31">
        <f t="shared" si="3"/>
        <v>2781</v>
      </c>
      <c r="O234" s="32">
        <f>IFERROR((Table1[[#This Row],[Likes]]+Table1[[#This Row],[Shares]]+Table1[[#This Row],[Comments]])/Table1[[#This Row],[Impressions]], 0)</f>
        <v>7.2969143576826198E-2</v>
      </c>
      <c r="P234" s="30" t="str" cm="1">
        <f t="array" ref="P234">IFERROR(INDEX('Campaign Metadata (2)'!$A$2:$A$10, MATCH(1, (C234&gt;='Campaign Metadata (2)'!$B$2:$B$10) * (C234&lt;='Campaign Metadata (2)'!$C$2:$C$10), 0)), "No Campaign")</f>
        <v>DailyWellness</v>
      </c>
      <c r="Q234" s="33">
        <f>VLOOKUP(Table1[[#This Row],[Campaign_Name2]],Table3[#All],2,)</f>
        <v>45717</v>
      </c>
      <c r="R234" s="33">
        <f>VLOOKUP(Table1[[#This Row],[Campaign_Name2]],Table3[#All],3,FALSE)</f>
        <v>45747</v>
      </c>
      <c r="S234" s="30">
        <f>VLOOKUP(Table1[[#This Row],[Campaign_Name2]],Table3[],5,FALSE)</f>
        <v>180000</v>
      </c>
      <c r="T234" s="30">
        <f>IF(Table1[[#This Row],[Campaign_Name2]]="No Campaign", 0, Table1[[#This Row],[Budget]]/COUNTIF(Table1[Campaign_Name2],Table1[[#This Row],[Campaign_Name2]]))</f>
        <v>5625</v>
      </c>
    </row>
    <row r="235" spans="1:20" ht="14.25" customHeight="1" x14ac:dyDescent="0.3">
      <c r="A235" s="3" t="s">
        <v>462</v>
      </c>
      <c r="B235" s="3" t="s">
        <v>43</v>
      </c>
      <c r="C235" s="11">
        <v>45444</v>
      </c>
      <c r="D235" s="3" t="s">
        <v>22</v>
      </c>
      <c r="E235" s="3" t="s">
        <v>56</v>
      </c>
      <c r="F235" s="12">
        <v>1272</v>
      </c>
      <c r="G235" s="12">
        <v>465</v>
      </c>
      <c r="H235" s="12">
        <v>99</v>
      </c>
      <c r="I235" s="12">
        <v>24168</v>
      </c>
      <c r="J235" s="12">
        <v>23719</v>
      </c>
      <c r="K235" s="12">
        <v>42</v>
      </c>
      <c r="L235" s="4" t="s">
        <v>30</v>
      </c>
      <c r="M235" s="5"/>
      <c r="N235" s="31">
        <f t="shared" si="3"/>
        <v>1836</v>
      </c>
      <c r="O235" s="32">
        <f>IFERROR((Table1[[#This Row],[Likes]]+Table1[[#This Row],[Shares]]+Table1[[#This Row],[Comments]])/Table1[[#This Row],[Impressions]], 0)</f>
        <v>7.5968222442899705E-2</v>
      </c>
      <c r="P235" s="30" t="str" cm="1">
        <f t="array" ref="P235">IFERROR(INDEX('Campaign Metadata (2)'!$A$2:$A$10, MATCH(1, (C235&gt;='Campaign Metadata (2)'!$B$2:$B$10) * (C235&lt;='Campaign Metadata (2)'!$C$2:$C$10), 0)), "No Campaign")</f>
        <v>No Campaign</v>
      </c>
      <c r="Q235" s="33" t="e">
        <f>VLOOKUP(Table1[[#This Row],[Campaign_Name2]],Table3[#All],2,)</f>
        <v>#N/A</v>
      </c>
      <c r="R235" s="33" t="e">
        <f>VLOOKUP(Table1[[#This Row],[Campaign_Name2]],Table3[#All],3,FALSE)</f>
        <v>#N/A</v>
      </c>
      <c r="S235" s="30" t="e">
        <f>VLOOKUP(Table1[[#This Row],[Campaign_Name2]],Table3[],5,FALSE)</f>
        <v>#N/A</v>
      </c>
      <c r="T235" s="30">
        <f>IF(Table1[[#This Row],[Campaign_Name2]]="No Campaign", 0, Table1[[#This Row],[Budget]]/COUNTIF(Table1[Campaign_Name2],Table1[[#This Row],[Campaign_Name2]]))</f>
        <v>0</v>
      </c>
    </row>
    <row r="236" spans="1:20" ht="14.25" customHeight="1" x14ac:dyDescent="0.3">
      <c r="A236" s="3" t="s">
        <v>464</v>
      </c>
      <c r="B236" s="3" t="s">
        <v>43</v>
      </c>
      <c r="C236" s="11">
        <v>45648</v>
      </c>
      <c r="D236" s="3" t="s">
        <v>52</v>
      </c>
      <c r="E236" s="3" t="s">
        <v>59</v>
      </c>
      <c r="F236" s="12">
        <v>3196</v>
      </c>
      <c r="G236" s="12">
        <v>941</v>
      </c>
      <c r="H236" s="12">
        <v>376</v>
      </c>
      <c r="I236" s="12">
        <v>35156</v>
      </c>
      <c r="J236" s="12">
        <v>34444</v>
      </c>
      <c r="K236" s="12">
        <v>241</v>
      </c>
      <c r="L236" s="4" t="s">
        <v>30</v>
      </c>
      <c r="M236" s="5" t="s">
        <v>31</v>
      </c>
      <c r="N236" s="31">
        <f t="shared" si="3"/>
        <v>4513</v>
      </c>
      <c r="O236" s="32">
        <f>IFERROR((Table1[[#This Row],[Likes]]+Table1[[#This Row],[Shares]]+Table1[[#This Row],[Comments]])/Table1[[#This Row],[Impressions]], 0)</f>
        <v>0.1283706906360223</v>
      </c>
      <c r="P236" s="30" t="str" cm="1">
        <f t="array" ref="P236">IFERROR(INDEX('Campaign Metadata (2)'!$A$2:$A$10, MATCH(1, (C236&gt;='Campaign Metadata (2)'!$B$2:$B$10) * (C236&lt;='Campaign Metadata (2)'!$C$2:$C$10), 0)), "No Campaign")</f>
        <v>No Campaign</v>
      </c>
      <c r="Q236" s="33" t="e">
        <f>VLOOKUP(Table1[[#This Row],[Campaign_Name2]],Table3[#All],2,)</f>
        <v>#N/A</v>
      </c>
      <c r="R236" s="33" t="e">
        <f>VLOOKUP(Table1[[#This Row],[Campaign_Name2]],Table3[#All],3,FALSE)</f>
        <v>#N/A</v>
      </c>
      <c r="S236" s="30" t="e">
        <f>VLOOKUP(Table1[[#This Row],[Campaign_Name2]],Table3[],5,FALSE)</f>
        <v>#N/A</v>
      </c>
      <c r="T236" s="30">
        <f>IF(Table1[[#This Row],[Campaign_Name2]]="No Campaign", 0, Table1[[#This Row],[Budget]]/COUNTIF(Table1[Campaign_Name2],Table1[[#This Row],[Campaign_Name2]]))</f>
        <v>0</v>
      </c>
    </row>
    <row r="237" spans="1:20" ht="14.25" customHeight="1" x14ac:dyDescent="0.3">
      <c r="A237" s="3" t="s">
        <v>465</v>
      </c>
      <c r="B237" s="3" t="s">
        <v>43</v>
      </c>
      <c r="C237" s="11">
        <v>45523</v>
      </c>
      <c r="D237" s="3" t="s">
        <v>22</v>
      </c>
      <c r="E237" s="3" t="s">
        <v>56</v>
      </c>
      <c r="F237" s="12">
        <v>1257</v>
      </c>
      <c r="G237" s="12">
        <v>19</v>
      </c>
      <c r="H237" s="12">
        <v>351</v>
      </c>
      <c r="I237" s="12">
        <v>12570</v>
      </c>
      <c r="J237" s="12">
        <v>11660</v>
      </c>
      <c r="K237" s="12">
        <v>194</v>
      </c>
      <c r="L237" s="4" t="s">
        <v>466</v>
      </c>
      <c r="M237" s="5" t="s">
        <v>25</v>
      </c>
      <c r="N237" s="31">
        <f t="shared" si="3"/>
        <v>1627</v>
      </c>
      <c r="O237" s="32">
        <f>IFERROR((Table1[[#This Row],[Likes]]+Table1[[#This Row],[Shares]]+Table1[[#This Row],[Comments]])/Table1[[#This Row],[Impressions]], 0)</f>
        <v>0.12943516308671441</v>
      </c>
      <c r="P237" s="30" t="str" cm="1">
        <f t="array" ref="P237">IFERROR(INDEX('Campaign Metadata (2)'!$A$2:$A$10, MATCH(1, (C237&gt;='Campaign Metadata (2)'!$B$2:$B$10) * (C237&lt;='Campaign Metadata (2)'!$C$2:$C$10), 0)), "No Campaign")</f>
        <v>No Campaign</v>
      </c>
      <c r="Q237" s="33" t="e">
        <f>VLOOKUP(Table1[[#This Row],[Campaign_Name2]],Table3[#All],2,)</f>
        <v>#N/A</v>
      </c>
      <c r="R237" s="33" t="e">
        <f>VLOOKUP(Table1[[#This Row],[Campaign_Name2]],Table3[#All],3,FALSE)</f>
        <v>#N/A</v>
      </c>
      <c r="S237" s="30" t="e">
        <f>VLOOKUP(Table1[[#This Row],[Campaign_Name2]],Table3[],5,FALSE)</f>
        <v>#N/A</v>
      </c>
      <c r="T237" s="30">
        <f>IF(Table1[[#This Row],[Campaign_Name2]]="No Campaign", 0, Table1[[#This Row],[Budget]]/COUNTIF(Table1[Campaign_Name2],Table1[[#This Row],[Campaign_Name2]]))</f>
        <v>0</v>
      </c>
    </row>
    <row r="238" spans="1:20" ht="14.25" customHeight="1" x14ac:dyDescent="0.3">
      <c r="A238" s="3" t="s">
        <v>467</v>
      </c>
      <c r="B238" s="3" t="s">
        <v>33</v>
      </c>
      <c r="C238" s="11">
        <v>45587</v>
      </c>
      <c r="D238" s="3" t="s">
        <v>35</v>
      </c>
      <c r="E238" s="3" t="s">
        <v>36</v>
      </c>
      <c r="F238" s="12">
        <v>3770</v>
      </c>
      <c r="G238" s="12">
        <v>917</v>
      </c>
      <c r="H238" s="12">
        <v>129</v>
      </c>
      <c r="I238" s="12">
        <v>71630</v>
      </c>
      <c r="J238" s="12">
        <v>71322</v>
      </c>
      <c r="K238" s="12">
        <v>76</v>
      </c>
      <c r="L238" s="4" t="s">
        <v>62</v>
      </c>
      <c r="M238" s="5" t="s">
        <v>19</v>
      </c>
      <c r="N238" s="31">
        <f t="shared" si="3"/>
        <v>4816</v>
      </c>
      <c r="O238" s="32">
        <f>IFERROR((Table1[[#This Row],[Likes]]+Table1[[#This Row],[Shares]]+Table1[[#This Row],[Comments]])/Table1[[#This Row],[Impressions]], 0)</f>
        <v>6.7234398994834563E-2</v>
      </c>
      <c r="P238" s="30" t="str" cm="1">
        <f t="array" ref="P238">IFERROR(INDEX('Campaign Metadata (2)'!$A$2:$A$10, MATCH(1, (C238&gt;='Campaign Metadata (2)'!$B$2:$B$10) * (C238&lt;='Campaign Metadata (2)'!$C$2:$C$10), 0)), "No Campaign")</f>
        <v>FestiveRadiance</v>
      </c>
      <c r="Q238" s="33">
        <f>VLOOKUP(Table1[[#This Row],[Campaign_Name2]],Table3[#All],2,)</f>
        <v>45566</v>
      </c>
      <c r="R238" s="33">
        <f>VLOOKUP(Table1[[#This Row],[Campaign_Name2]],Table3[#All],3,FALSE)</f>
        <v>45596</v>
      </c>
      <c r="S238" s="30">
        <f>VLOOKUP(Table1[[#This Row],[Campaign_Name2]],Table3[],5,FALSE)</f>
        <v>200000</v>
      </c>
      <c r="T238" s="30">
        <f>IF(Table1[[#This Row],[Campaign_Name2]]="No Campaign", 0, Table1[[#This Row],[Budget]]/COUNTIF(Table1[Campaign_Name2],Table1[[#This Row],[Campaign_Name2]]))</f>
        <v>5714.2857142857147</v>
      </c>
    </row>
    <row r="239" spans="1:20" ht="14.25" customHeight="1" x14ac:dyDescent="0.3">
      <c r="A239" s="3" t="s">
        <v>468</v>
      </c>
      <c r="B239" s="3" t="s">
        <v>14</v>
      </c>
      <c r="C239" s="11">
        <v>45489</v>
      </c>
      <c r="D239" s="3" t="s">
        <v>22</v>
      </c>
      <c r="E239" s="3" t="s">
        <v>23</v>
      </c>
      <c r="F239" s="12">
        <v>4725</v>
      </c>
      <c r="G239" s="12">
        <v>400</v>
      </c>
      <c r="H239" s="12">
        <v>362</v>
      </c>
      <c r="I239" s="12">
        <v>75600</v>
      </c>
      <c r="J239" s="12">
        <v>74927</v>
      </c>
      <c r="K239" s="12">
        <v>43</v>
      </c>
      <c r="L239" s="4" t="s">
        <v>62</v>
      </c>
      <c r="M239" s="5" t="s">
        <v>38</v>
      </c>
      <c r="N239" s="31">
        <f t="shared" si="3"/>
        <v>5487</v>
      </c>
      <c r="O239" s="32">
        <f>IFERROR((Table1[[#This Row],[Likes]]+Table1[[#This Row],[Shares]]+Table1[[#This Row],[Comments]])/Table1[[#This Row],[Impressions]], 0)</f>
        <v>7.2579365079365077E-2</v>
      </c>
      <c r="P239" s="30" t="str" cm="1">
        <f t="array" ref="P239">IFERROR(INDEX('Campaign Metadata (2)'!$A$2:$A$10, MATCH(1, (C239&gt;='Campaign Metadata (2)'!$B$2:$B$10) * (C239&lt;='Campaign Metadata (2)'!$C$2:$C$10), 0)), "No Campaign")</f>
        <v>No Campaign</v>
      </c>
      <c r="Q239" s="33" t="e">
        <f>VLOOKUP(Table1[[#This Row],[Campaign_Name2]],Table3[#All],2,)</f>
        <v>#N/A</v>
      </c>
      <c r="R239" s="33" t="e">
        <f>VLOOKUP(Table1[[#This Row],[Campaign_Name2]],Table3[#All],3,FALSE)</f>
        <v>#N/A</v>
      </c>
      <c r="S239" s="30" t="e">
        <f>VLOOKUP(Table1[[#This Row],[Campaign_Name2]],Table3[],5,FALSE)</f>
        <v>#N/A</v>
      </c>
      <c r="T239" s="30">
        <f>IF(Table1[[#This Row],[Campaign_Name2]]="No Campaign", 0, Table1[[#This Row],[Budget]]/COUNTIF(Table1[Campaign_Name2],Table1[[#This Row],[Campaign_Name2]]))</f>
        <v>0</v>
      </c>
    </row>
    <row r="240" spans="1:20" ht="14.25" customHeight="1" x14ac:dyDescent="0.3">
      <c r="A240" s="3" t="s">
        <v>470</v>
      </c>
      <c r="B240" s="3" t="s">
        <v>27</v>
      </c>
      <c r="C240" s="11">
        <v>45712</v>
      </c>
      <c r="D240" s="3" t="s">
        <v>22</v>
      </c>
      <c r="E240" s="3" t="s">
        <v>104</v>
      </c>
      <c r="F240" s="12">
        <v>4188</v>
      </c>
      <c r="G240" s="12">
        <v>942</v>
      </c>
      <c r="H240" s="12">
        <v>118</v>
      </c>
      <c r="I240" s="12">
        <v>20940</v>
      </c>
      <c r="J240" s="12">
        <v>20471</v>
      </c>
      <c r="K240" s="12">
        <v>102</v>
      </c>
      <c r="L240" s="4" t="s">
        <v>62</v>
      </c>
      <c r="M240" s="5"/>
      <c r="N240" s="31">
        <f t="shared" si="3"/>
        <v>5248</v>
      </c>
      <c r="O240" s="32">
        <f>IFERROR((Table1[[#This Row],[Likes]]+Table1[[#This Row],[Shares]]+Table1[[#This Row],[Comments]])/Table1[[#This Row],[Impressions]], 0)</f>
        <v>0.25062082139446035</v>
      </c>
      <c r="P240" s="30" t="str" cm="1">
        <f t="array" ref="P240">IFERROR(INDEX('Campaign Metadata (2)'!$A$2:$A$10, MATCH(1, (C240&gt;='Campaign Metadata (2)'!$B$2:$B$10) * (C240&lt;='Campaign Metadata (2)'!$C$2:$C$10), 0)), "No Campaign")</f>
        <v>No Campaign</v>
      </c>
      <c r="Q240" s="33" t="e">
        <f>VLOOKUP(Table1[[#This Row],[Campaign_Name2]],Table3[#All],2,)</f>
        <v>#N/A</v>
      </c>
      <c r="R240" s="33" t="e">
        <f>VLOOKUP(Table1[[#This Row],[Campaign_Name2]],Table3[#All],3,FALSE)</f>
        <v>#N/A</v>
      </c>
      <c r="S240" s="30" t="e">
        <f>VLOOKUP(Table1[[#This Row],[Campaign_Name2]],Table3[],5,FALSE)</f>
        <v>#N/A</v>
      </c>
      <c r="T240" s="30">
        <f>IF(Table1[[#This Row],[Campaign_Name2]]="No Campaign", 0, Table1[[#This Row],[Budget]]/COUNTIF(Table1[Campaign_Name2],Table1[[#This Row],[Campaign_Name2]]))</f>
        <v>0</v>
      </c>
    </row>
    <row r="241" spans="1:20" ht="14.25" customHeight="1" x14ac:dyDescent="0.3">
      <c r="A241" s="3" t="s">
        <v>471</v>
      </c>
      <c r="B241" s="3" t="s">
        <v>14</v>
      </c>
      <c r="C241" s="11">
        <v>45530</v>
      </c>
      <c r="D241" s="3" t="s">
        <v>45</v>
      </c>
      <c r="E241" s="3" t="s">
        <v>49</v>
      </c>
      <c r="F241" s="12">
        <v>929</v>
      </c>
      <c r="G241" s="12">
        <v>192</v>
      </c>
      <c r="H241" s="12">
        <v>322</v>
      </c>
      <c r="I241" s="12">
        <v>16722</v>
      </c>
      <c r="J241" s="12">
        <v>15996</v>
      </c>
      <c r="K241" s="12">
        <v>145</v>
      </c>
      <c r="L241" s="4" t="s">
        <v>175</v>
      </c>
      <c r="M241" s="5" t="s">
        <v>31</v>
      </c>
      <c r="N241" s="31">
        <f t="shared" si="3"/>
        <v>1443</v>
      </c>
      <c r="O241" s="32">
        <f>IFERROR((Table1[[#This Row],[Likes]]+Table1[[#This Row],[Shares]]+Table1[[#This Row],[Comments]])/Table1[[#This Row],[Impressions]], 0)</f>
        <v>8.6293505561535699E-2</v>
      </c>
      <c r="P241" s="30" t="str" cm="1">
        <f t="array" ref="P241">IFERROR(INDEX('Campaign Metadata (2)'!$A$2:$A$10, MATCH(1, (C241&gt;='Campaign Metadata (2)'!$B$2:$B$10) * (C241&lt;='Campaign Metadata (2)'!$C$2:$C$10), 0)), "No Campaign")</f>
        <v>No Campaign</v>
      </c>
      <c r="Q241" s="33" t="e">
        <f>VLOOKUP(Table1[[#This Row],[Campaign_Name2]],Table3[#All],2,)</f>
        <v>#N/A</v>
      </c>
      <c r="R241" s="33" t="e">
        <f>VLOOKUP(Table1[[#This Row],[Campaign_Name2]],Table3[#All],3,FALSE)</f>
        <v>#N/A</v>
      </c>
      <c r="S241" s="30" t="e">
        <f>VLOOKUP(Table1[[#This Row],[Campaign_Name2]],Table3[],5,FALSE)</f>
        <v>#N/A</v>
      </c>
      <c r="T241" s="30">
        <f>IF(Table1[[#This Row],[Campaign_Name2]]="No Campaign", 0, Table1[[#This Row],[Budget]]/COUNTIF(Table1[Campaign_Name2],Table1[[#This Row],[Campaign_Name2]]))</f>
        <v>0</v>
      </c>
    </row>
    <row r="242" spans="1:20" ht="14.25" customHeight="1" x14ac:dyDescent="0.3">
      <c r="A242" s="3" t="s">
        <v>472</v>
      </c>
      <c r="B242" s="3" t="s">
        <v>43</v>
      </c>
      <c r="C242" s="11">
        <v>45675</v>
      </c>
      <c r="D242" s="3" t="s">
        <v>35</v>
      </c>
      <c r="E242" s="3" t="s">
        <v>71</v>
      </c>
      <c r="F242" s="12">
        <v>4321</v>
      </c>
      <c r="G242" s="12">
        <v>874</v>
      </c>
      <c r="H242" s="12">
        <v>172</v>
      </c>
      <c r="I242" s="12">
        <v>30247</v>
      </c>
      <c r="J242" s="12">
        <v>29254</v>
      </c>
      <c r="K242" s="12">
        <v>122</v>
      </c>
      <c r="L242" s="4" t="s">
        <v>30</v>
      </c>
      <c r="M242" s="5" t="s">
        <v>38</v>
      </c>
      <c r="N242" s="31">
        <f t="shared" si="3"/>
        <v>5367</v>
      </c>
      <c r="O242" s="32">
        <f>IFERROR((Table1[[#This Row],[Likes]]+Table1[[#This Row],[Shares]]+Table1[[#This Row],[Comments]])/Table1[[#This Row],[Impressions]], 0)</f>
        <v>0.17743908486792079</v>
      </c>
      <c r="P242" s="30" t="str" cm="1">
        <f t="array" ref="P242">IFERROR(INDEX('Campaign Metadata (2)'!$A$2:$A$10, MATCH(1, (C242&gt;='Campaign Metadata (2)'!$B$2:$B$10) * (C242&lt;='Campaign Metadata (2)'!$C$2:$C$10), 0)), "No Campaign")</f>
        <v>No Campaign</v>
      </c>
      <c r="Q242" s="33" t="e">
        <f>VLOOKUP(Table1[[#This Row],[Campaign_Name2]],Table3[#All],2,)</f>
        <v>#N/A</v>
      </c>
      <c r="R242" s="33" t="e">
        <f>VLOOKUP(Table1[[#This Row],[Campaign_Name2]],Table3[#All],3,FALSE)</f>
        <v>#N/A</v>
      </c>
      <c r="S242" s="30" t="e">
        <f>VLOOKUP(Table1[[#This Row],[Campaign_Name2]],Table3[],5,FALSE)</f>
        <v>#N/A</v>
      </c>
      <c r="T242" s="30">
        <f>IF(Table1[[#This Row],[Campaign_Name2]]="No Campaign", 0, Table1[[#This Row],[Budget]]/COUNTIF(Table1[Campaign_Name2],Table1[[#This Row],[Campaign_Name2]]))</f>
        <v>0</v>
      </c>
    </row>
    <row r="243" spans="1:20" ht="14.25" customHeight="1" x14ac:dyDescent="0.3">
      <c r="A243" s="3" t="s">
        <v>474</v>
      </c>
      <c r="B243" s="3" t="s">
        <v>43</v>
      </c>
      <c r="C243" s="11">
        <v>45480</v>
      </c>
      <c r="D243" s="3" t="s">
        <v>16</v>
      </c>
      <c r="E243" s="3" t="s">
        <v>65</v>
      </c>
      <c r="F243" s="12">
        <v>4767</v>
      </c>
      <c r="G243" s="12">
        <v>190</v>
      </c>
      <c r="H243" s="12">
        <v>340</v>
      </c>
      <c r="I243" s="12">
        <v>28602</v>
      </c>
      <c r="J243" s="12">
        <v>28044</v>
      </c>
      <c r="K243" s="12">
        <v>210</v>
      </c>
      <c r="L243" s="4" t="s">
        <v>37</v>
      </c>
      <c r="M243" s="5" t="s">
        <v>31</v>
      </c>
      <c r="N243" s="31">
        <f t="shared" si="3"/>
        <v>5297</v>
      </c>
      <c r="O243" s="32">
        <f>IFERROR((Table1[[#This Row],[Likes]]+Table1[[#This Row],[Shares]]+Table1[[#This Row],[Comments]])/Table1[[#This Row],[Impressions]], 0)</f>
        <v>0.18519683938186141</v>
      </c>
      <c r="P243" s="30" t="str" cm="1">
        <f t="array" ref="P243">IFERROR(INDEX('Campaign Metadata (2)'!$A$2:$A$10, MATCH(1, (C243&gt;='Campaign Metadata (2)'!$B$2:$B$10) * (C243&lt;='Campaign Metadata (2)'!$C$2:$C$10), 0)), "No Campaign")</f>
        <v>SummerSplash</v>
      </c>
      <c r="Q243" s="33">
        <f>VLOOKUP(Table1[[#This Row],[Campaign_Name2]],Table3[#All],2,)</f>
        <v>45458</v>
      </c>
      <c r="R243" s="33">
        <f>VLOOKUP(Table1[[#This Row],[Campaign_Name2]],Table3[#All],3,FALSE)</f>
        <v>45488</v>
      </c>
      <c r="S243" s="30">
        <f>VLOOKUP(Table1[[#This Row],[Campaign_Name2]],Table3[],5,FALSE)</f>
        <v>150000</v>
      </c>
      <c r="T243" s="30">
        <f>IF(Table1[[#This Row],[Campaign_Name2]]="No Campaign", 0, Table1[[#This Row],[Budget]]/COUNTIF(Table1[Campaign_Name2],Table1[[#This Row],[Campaign_Name2]]))</f>
        <v>5555.5555555555557</v>
      </c>
    </row>
    <row r="244" spans="1:20" ht="14.25" customHeight="1" x14ac:dyDescent="0.3">
      <c r="A244" s="3" t="s">
        <v>475</v>
      </c>
      <c r="B244" s="3" t="s">
        <v>14</v>
      </c>
      <c r="C244" s="11">
        <v>45722</v>
      </c>
      <c r="D244" s="3" t="s">
        <v>52</v>
      </c>
      <c r="E244" s="3" t="s">
        <v>132</v>
      </c>
      <c r="F244" s="12">
        <v>3592</v>
      </c>
      <c r="G244" s="12">
        <v>911</v>
      </c>
      <c r="H244" s="12">
        <v>375</v>
      </c>
      <c r="I244" s="12">
        <v>50288</v>
      </c>
      <c r="J244" s="12">
        <v>49490</v>
      </c>
      <c r="K244" s="12">
        <v>32</v>
      </c>
      <c r="L244" s="4" t="s">
        <v>62</v>
      </c>
      <c r="M244" s="5" t="s">
        <v>38</v>
      </c>
      <c r="N244" s="31">
        <f t="shared" si="3"/>
        <v>4878</v>
      </c>
      <c r="O244" s="32">
        <f>IFERROR((Table1[[#This Row],[Likes]]+Table1[[#This Row],[Shares]]+Table1[[#This Row],[Comments]])/Table1[[#This Row],[Impressions]], 0)</f>
        <v>9.7001272669424113E-2</v>
      </c>
      <c r="P244" s="30" t="str" cm="1">
        <f t="array" ref="P244">IFERROR(INDEX('Campaign Metadata (2)'!$A$2:$A$10, MATCH(1, (C244&gt;='Campaign Metadata (2)'!$B$2:$B$10) * (C244&lt;='Campaign Metadata (2)'!$C$2:$C$10), 0)), "No Campaign")</f>
        <v>DailyWellness</v>
      </c>
      <c r="Q244" s="33">
        <f>VLOOKUP(Table1[[#This Row],[Campaign_Name2]],Table3[#All],2,)</f>
        <v>45717</v>
      </c>
      <c r="R244" s="33">
        <f>VLOOKUP(Table1[[#This Row],[Campaign_Name2]],Table3[#All],3,FALSE)</f>
        <v>45747</v>
      </c>
      <c r="S244" s="30">
        <f>VLOOKUP(Table1[[#This Row],[Campaign_Name2]],Table3[],5,FALSE)</f>
        <v>180000</v>
      </c>
      <c r="T244" s="30">
        <f>IF(Table1[[#This Row],[Campaign_Name2]]="No Campaign", 0, Table1[[#This Row],[Budget]]/COUNTIF(Table1[Campaign_Name2],Table1[[#This Row],[Campaign_Name2]]))</f>
        <v>5625</v>
      </c>
    </row>
    <row r="245" spans="1:20" ht="14.25" customHeight="1" x14ac:dyDescent="0.3">
      <c r="A245" s="3" t="s">
        <v>477</v>
      </c>
      <c r="B245" s="3" t="s">
        <v>27</v>
      </c>
      <c r="C245" s="11">
        <v>45590</v>
      </c>
      <c r="D245" s="3" t="s">
        <v>74</v>
      </c>
      <c r="E245" s="3" t="s">
        <v>219</v>
      </c>
      <c r="F245" s="12">
        <v>4661</v>
      </c>
      <c r="G245" s="12">
        <v>935</v>
      </c>
      <c r="H245" s="12">
        <v>433</v>
      </c>
      <c r="I245" s="12">
        <v>23305</v>
      </c>
      <c r="J245" s="12">
        <v>22583</v>
      </c>
      <c r="K245" s="12">
        <v>63</v>
      </c>
      <c r="L245" s="4" t="s">
        <v>62</v>
      </c>
      <c r="M245" s="5" t="s">
        <v>31</v>
      </c>
      <c r="N245" s="31">
        <f t="shared" si="3"/>
        <v>6029</v>
      </c>
      <c r="O245" s="32">
        <f>IFERROR((Table1[[#This Row],[Likes]]+Table1[[#This Row],[Shares]]+Table1[[#This Row],[Comments]])/Table1[[#This Row],[Impressions]], 0)</f>
        <v>0.25869984981763572</v>
      </c>
      <c r="P245" s="30" t="str" cm="1">
        <f t="array" ref="P245">IFERROR(INDEX('Campaign Metadata (2)'!$A$2:$A$10, MATCH(1, (C245&gt;='Campaign Metadata (2)'!$B$2:$B$10) * (C245&lt;='Campaign Metadata (2)'!$C$2:$C$10), 0)), "No Campaign")</f>
        <v>FestiveRadiance</v>
      </c>
      <c r="Q245" s="33">
        <f>VLOOKUP(Table1[[#This Row],[Campaign_Name2]],Table3[#All],2,)</f>
        <v>45566</v>
      </c>
      <c r="R245" s="33">
        <f>VLOOKUP(Table1[[#This Row],[Campaign_Name2]],Table3[#All],3,FALSE)</f>
        <v>45596</v>
      </c>
      <c r="S245" s="30">
        <f>VLOOKUP(Table1[[#This Row],[Campaign_Name2]],Table3[],5,FALSE)</f>
        <v>200000</v>
      </c>
      <c r="T245" s="30">
        <f>IF(Table1[[#This Row],[Campaign_Name2]]="No Campaign", 0, Table1[[#This Row],[Budget]]/COUNTIF(Table1[Campaign_Name2],Table1[[#This Row],[Campaign_Name2]]))</f>
        <v>5714.2857142857147</v>
      </c>
    </row>
    <row r="246" spans="1:20" ht="14.25" customHeight="1" x14ac:dyDescent="0.3">
      <c r="A246" s="3" t="s">
        <v>479</v>
      </c>
      <c r="B246" s="3" t="s">
        <v>43</v>
      </c>
      <c r="C246" s="11">
        <v>45669</v>
      </c>
      <c r="D246" s="3" t="s">
        <v>16</v>
      </c>
      <c r="E246" s="3" t="s">
        <v>65</v>
      </c>
      <c r="F246" s="12">
        <v>4134</v>
      </c>
      <c r="G246" s="12">
        <v>824</v>
      </c>
      <c r="H246" s="12">
        <v>99</v>
      </c>
      <c r="I246" s="12">
        <v>41340</v>
      </c>
      <c r="J246" s="12">
        <v>41050</v>
      </c>
      <c r="K246" s="12">
        <v>177</v>
      </c>
      <c r="L246" s="4" t="s">
        <v>37</v>
      </c>
      <c r="M246" s="5" t="s">
        <v>19</v>
      </c>
      <c r="N246" s="31">
        <f t="shared" si="3"/>
        <v>5057</v>
      </c>
      <c r="O246" s="32">
        <f>IFERROR((Table1[[#This Row],[Likes]]+Table1[[#This Row],[Shares]]+Table1[[#This Row],[Comments]])/Table1[[#This Row],[Impressions]], 0)</f>
        <v>0.12232704402515723</v>
      </c>
      <c r="P246" s="30" t="str" cm="1">
        <f t="array" ref="P246">IFERROR(INDEX('Campaign Metadata (2)'!$A$2:$A$10, MATCH(1, (C246&gt;='Campaign Metadata (2)'!$B$2:$B$10) * (C246&lt;='Campaign Metadata (2)'!$C$2:$C$10), 0)), "No Campaign")</f>
        <v>No Campaign</v>
      </c>
      <c r="Q246" s="33" t="e">
        <f>VLOOKUP(Table1[[#This Row],[Campaign_Name2]],Table3[#All],2,)</f>
        <v>#N/A</v>
      </c>
      <c r="R246" s="33" t="e">
        <f>VLOOKUP(Table1[[#This Row],[Campaign_Name2]],Table3[#All],3,FALSE)</f>
        <v>#N/A</v>
      </c>
      <c r="S246" s="30" t="e">
        <f>VLOOKUP(Table1[[#This Row],[Campaign_Name2]],Table3[],5,FALSE)</f>
        <v>#N/A</v>
      </c>
      <c r="T246" s="30">
        <f>IF(Table1[[#This Row],[Campaign_Name2]]="No Campaign", 0, Table1[[#This Row],[Budget]]/COUNTIF(Table1[Campaign_Name2],Table1[[#This Row],[Campaign_Name2]]))</f>
        <v>0</v>
      </c>
    </row>
    <row r="247" spans="1:20" ht="14.25" customHeight="1" x14ac:dyDescent="0.3">
      <c r="A247" s="3" t="s">
        <v>481</v>
      </c>
      <c r="B247" s="3" t="s">
        <v>43</v>
      </c>
      <c r="C247" s="11">
        <v>45576</v>
      </c>
      <c r="D247" s="3" t="s">
        <v>52</v>
      </c>
      <c r="E247" s="3" t="s">
        <v>59</v>
      </c>
      <c r="F247" s="12">
        <v>400</v>
      </c>
      <c r="G247" s="12">
        <v>680</v>
      </c>
      <c r="H247" s="12">
        <v>434</v>
      </c>
      <c r="I247" s="12">
        <v>6400</v>
      </c>
      <c r="J247" s="12">
        <v>5472</v>
      </c>
      <c r="K247" s="12">
        <v>160</v>
      </c>
      <c r="L247" s="4" t="s">
        <v>62</v>
      </c>
      <c r="M247" s="5" t="s">
        <v>25</v>
      </c>
      <c r="N247" s="31">
        <f t="shared" si="3"/>
        <v>1514</v>
      </c>
      <c r="O247" s="32">
        <f>IFERROR((Table1[[#This Row],[Likes]]+Table1[[#This Row],[Shares]]+Table1[[#This Row],[Comments]])/Table1[[#This Row],[Impressions]], 0)</f>
        <v>0.23656250000000001</v>
      </c>
      <c r="P247" s="30" t="str" cm="1">
        <f t="array" ref="P247">IFERROR(INDEX('Campaign Metadata (2)'!$A$2:$A$10, MATCH(1, (C247&gt;='Campaign Metadata (2)'!$B$2:$B$10) * (C247&lt;='Campaign Metadata (2)'!$C$2:$C$10), 0)), "No Campaign")</f>
        <v>FestiveRadiance</v>
      </c>
      <c r="Q247" s="33">
        <f>VLOOKUP(Table1[[#This Row],[Campaign_Name2]],Table3[#All],2,)</f>
        <v>45566</v>
      </c>
      <c r="R247" s="33">
        <f>VLOOKUP(Table1[[#This Row],[Campaign_Name2]],Table3[#All],3,FALSE)</f>
        <v>45596</v>
      </c>
      <c r="S247" s="30">
        <f>VLOOKUP(Table1[[#This Row],[Campaign_Name2]],Table3[],5,FALSE)</f>
        <v>200000</v>
      </c>
      <c r="T247" s="30">
        <f>IF(Table1[[#This Row],[Campaign_Name2]]="No Campaign", 0, Table1[[#This Row],[Budget]]/COUNTIF(Table1[Campaign_Name2],Table1[[#This Row],[Campaign_Name2]]))</f>
        <v>5714.2857142857147</v>
      </c>
    </row>
    <row r="248" spans="1:20" ht="14.25" customHeight="1" x14ac:dyDescent="0.3">
      <c r="A248" s="3" t="s">
        <v>483</v>
      </c>
      <c r="B248" s="3" t="s">
        <v>43</v>
      </c>
      <c r="C248" s="11">
        <v>45531</v>
      </c>
      <c r="D248" s="3" t="s">
        <v>16</v>
      </c>
      <c r="E248" s="3" t="s">
        <v>65</v>
      </c>
      <c r="F248" s="12">
        <v>3960</v>
      </c>
      <c r="G248" s="12">
        <v>266</v>
      </c>
      <c r="H248" s="12">
        <v>8</v>
      </c>
      <c r="I248" s="12">
        <v>35640</v>
      </c>
      <c r="J248" s="12">
        <v>34850</v>
      </c>
      <c r="K248" s="12">
        <v>208</v>
      </c>
      <c r="L248" s="4" t="s">
        <v>485</v>
      </c>
      <c r="M248" s="5"/>
      <c r="N248" s="31">
        <f t="shared" si="3"/>
        <v>4234</v>
      </c>
      <c r="O248" s="32">
        <f>IFERROR((Table1[[#This Row],[Likes]]+Table1[[#This Row],[Shares]]+Table1[[#This Row],[Comments]])/Table1[[#This Row],[Impressions]], 0)</f>
        <v>0.11879910213243547</v>
      </c>
      <c r="P248" s="30" t="str" cm="1">
        <f t="array" ref="P248">IFERROR(INDEX('Campaign Metadata (2)'!$A$2:$A$10, MATCH(1, (C248&gt;='Campaign Metadata (2)'!$B$2:$B$10) * (C248&lt;='Campaign Metadata (2)'!$C$2:$C$10), 0)), "No Campaign")</f>
        <v>No Campaign</v>
      </c>
      <c r="Q248" s="33" t="e">
        <f>VLOOKUP(Table1[[#This Row],[Campaign_Name2]],Table3[#All],2,)</f>
        <v>#N/A</v>
      </c>
      <c r="R248" s="33" t="e">
        <f>VLOOKUP(Table1[[#This Row],[Campaign_Name2]],Table3[#All],3,FALSE)</f>
        <v>#N/A</v>
      </c>
      <c r="S248" s="30" t="e">
        <f>VLOOKUP(Table1[[#This Row],[Campaign_Name2]],Table3[],5,FALSE)</f>
        <v>#N/A</v>
      </c>
      <c r="T248" s="30">
        <f>IF(Table1[[#This Row],[Campaign_Name2]]="No Campaign", 0, Table1[[#This Row],[Budget]]/COUNTIF(Table1[Campaign_Name2],Table1[[#This Row],[Campaign_Name2]]))</f>
        <v>0</v>
      </c>
    </row>
    <row r="249" spans="1:20" ht="14.25" customHeight="1" x14ac:dyDescent="0.3">
      <c r="A249" s="3" t="s">
        <v>486</v>
      </c>
      <c r="B249" s="3" t="s">
        <v>43</v>
      </c>
      <c r="C249" s="11">
        <v>45690</v>
      </c>
      <c r="D249" s="3" t="s">
        <v>35</v>
      </c>
      <c r="E249" s="3" t="s">
        <v>71</v>
      </c>
      <c r="F249" s="12">
        <v>886</v>
      </c>
      <c r="G249" s="12">
        <v>126</v>
      </c>
      <c r="H249" s="12">
        <v>153</v>
      </c>
      <c r="I249" s="12">
        <v>4430</v>
      </c>
      <c r="J249" s="12">
        <v>4037</v>
      </c>
      <c r="K249" s="12">
        <v>212</v>
      </c>
      <c r="L249" s="4" t="s">
        <v>37</v>
      </c>
      <c r="M249" s="5"/>
      <c r="N249" s="31">
        <f t="shared" si="3"/>
        <v>1165</v>
      </c>
      <c r="O249" s="32">
        <f>IFERROR((Table1[[#This Row],[Likes]]+Table1[[#This Row],[Shares]]+Table1[[#This Row],[Comments]])/Table1[[#This Row],[Impressions]], 0)</f>
        <v>0.26297968397291194</v>
      </c>
      <c r="P249" s="30" t="str" cm="1">
        <f t="array" ref="P249">IFERROR(INDEX('Campaign Metadata (2)'!$A$2:$A$10, MATCH(1, (C249&gt;='Campaign Metadata (2)'!$B$2:$B$10) * (C249&lt;='Campaign Metadata (2)'!$C$2:$C$10), 0)), "No Campaign")</f>
        <v>No Campaign</v>
      </c>
      <c r="Q249" s="33" t="e">
        <f>VLOOKUP(Table1[[#This Row],[Campaign_Name2]],Table3[#All],2,)</f>
        <v>#N/A</v>
      </c>
      <c r="R249" s="33" t="e">
        <f>VLOOKUP(Table1[[#This Row],[Campaign_Name2]],Table3[#All],3,FALSE)</f>
        <v>#N/A</v>
      </c>
      <c r="S249" s="30" t="e">
        <f>VLOOKUP(Table1[[#This Row],[Campaign_Name2]],Table3[],5,FALSE)</f>
        <v>#N/A</v>
      </c>
      <c r="T249" s="30">
        <f>IF(Table1[[#This Row],[Campaign_Name2]]="No Campaign", 0, Table1[[#This Row],[Budget]]/COUNTIF(Table1[Campaign_Name2],Table1[[#This Row],[Campaign_Name2]]))</f>
        <v>0</v>
      </c>
    </row>
    <row r="250" spans="1:20" ht="14.25" customHeight="1" x14ac:dyDescent="0.3">
      <c r="A250" s="3" t="s">
        <v>487</v>
      </c>
      <c r="B250" s="3" t="s">
        <v>14</v>
      </c>
      <c r="C250" s="11">
        <v>45491</v>
      </c>
      <c r="D250" s="3" t="s">
        <v>52</v>
      </c>
      <c r="E250" s="3" t="s">
        <v>132</v>
      </c>
      <c r="F250" s="12">
        <v>827</v>
      </c>
      <c r="G250" s="12">
        <v>77</v>
      </c>
      <c r="H250" s="12">
        <v>402</v>
      </c>
      <c r="I250" s="12">
        <v>14886</v>
      </c>
      <c r="J250" s="12">
        <v>14129</v>
      </c>
      <c r="K250" s="12">
        <v>254</v>
      </c>
      <c r="L250" s="4" t="s">
        <v>37</v>
      </c>
      <c r="M250" s="5" t="s">
        <v>25</v>
      </c>
      <c r="N250" s="31">
        <f t="shared" si="3"/>
        <v>1306</v>
      </c>
      <c r="O250" s="32">
        <f>IFERROR((Table1[[#This Row],[Likes]]+Table1[[#This Row],[Shares]]+Table1[[#This Row],[Comments]])/Table1[[#This Row],[Impressions]], 0)</f>
        <v>8.7733440816874911E-2</v>
      </c>
      <c r="P250" s="30" t="str" cm="1">
        <f t="array" ref="P250">IFERROR(INDEX('Campaign Metadata (2)'!$A$2:$A$10, MATCH(1, (C250&gt;='Campaign Metadata (2)'!$B$2:$B$10) * (C250&lt;='Campaign Metadata (2)'!$C$2:$C$10), 0)), "No Campaign")</f>
        <v>No Campaign</v>
      </c>
      <c r="Q250" s="33" t="e">
        <f>VLOOKUP(Table1[[#This Row],[Campaign_Name2]],Table3[#All],2,)</f>
        <v>#N/A</v>
      </c>
      <c r="R250" s="33" t="e">
        <f>VLOOKUP(Table1[[#This Row],[Campaign_Name2]],Table3[#All],3,FALSE)</f>
        <v>#N/A</v>
      </c>
      <c r="S250" s="30" t="e">
        <f>VLOOKUP(Table1[[#This Row],[Campaign_Name2]],Table3[],5,FALSE)</f>
        <v>#N/A</v>
      </c>
      <c r="T250" s="30">
        <f>IF(Table1[[#This Row],[Campaign_Name2]]="No Campaign", 0, Table1[[#This Row],[Budget]]/COUNTIF(Table1[Campaign_Name2],Table1[[#This Row],[Campaign_Name2]]))</f>
        <v>0</v>
      </c>
    </row>
    <row r="251" spans="1:20" ht="14.25" customHeight="1" x14ac:dyDescent="0.3">
      <c r="A251" s="3" t="s">
        <v>488</v>
      </c>
      <c r="B251" s="3" t="s">
        <v>43</v>
      </c>
      <c r="C251" s="11">
        <v>45465</v>
      </c>
      <c r="D251" s="3" t="s">
        <v>16</v>
      </c>
      <c r="E251" s="3" t="s">
        <v>65</v>
      </c>
      <c r="F251" s="12">
        <v>3813</v>
      </c>
      <c r="G251" s="12">
        <v>935</v>
      </c>
      <c r="H251" s="12">
        <v>274</v>
      </c>
      <c r="I251" s="12">
        <v>68634</v>
      </c>
      <c r="J251" s="12">
        <v>68488</v>
      </c>
      <c r="K251" s="12">
        <v>251</v>
      </c>
      <c r="L251" s="4" t="s">
        <v>62</v>
      </c>
      <c r="M251" s="5"/>
      <c r="N251" s="31">
        <f t="shared" si="3"/>
        <v>5022</v>
      </c>
      <c r="O251" s="32">
        <f>IFERROR((Table1[[#This Row],[Likes]]+Table1[[#This Row],[Shares]]+Table1[[#This Row],[Comments]])/Table1[[#This Row],[Impressions]], 0)</f>
        <v>7.3170731707317069E-2</v>
      </c>
      <c r="P251" s="30" t="str" cm="1">
        <f t="array" ref="P251">IFERROR(INDEX('Campaign Metadata (2)'!$A$2:$A$10, MATCH(1, (C251&gt;='Campaign Metadata (2)'!$B$2:$B$10) * (C251&lt;='Campaign Metadata (2)'!$C$2:$C$10), 0)), "No Campaign")</f>
        <v>SummerSplash</v>
      </c>
      <c r="Q251" s="33">
        <f>VLOOKUP(Table1[[#This Row],[Campaign_Name2]],Table3[#All],2,)</f>
        <v>45458</v>
      </c>
      <c r="R251" s="33">
        <f>VLOOKUP(Table1[[#This Row],[Campaign_Name2]],Table3[#All],3,FALSE)</f>
        <v>45488</v>
      </c>
      <c r="S251" s="30">
        <f>VLOOKUP(Table1[[#This Row],[Campaign_Name2]],Table3[],5,FALSE)</f>
        <v>150000</v>
      </c>
      <c r="T251" s="30">
        <f>IF(Table1[[#This Row],[Campaign_Name2]]="No Campaign", 0, Table1[[#This Row],[Budget]]/COUNTIF(Table1[Campaign_Name2],Table1[[#This Row],[Campaign_Name2]]))</f>
        <v>5555.5555555555557</v>
      </c>
    </row>
    <row r="252" spans="1:20" ht="14.25" customHeight="1" x14ac:dyDescent="0.3">
      <c r="A252" s="3" t="s">
        <v>489</v>
      </c>
      <c r="B252" s="3" t="s">
        <v>33</v>
      </c>
      <c r="C252" s="11">
        <v>45743</v>
      </c>
      <c r="D252" s="3" t="s">
        <v>45</v>
      </c>
      <c r="E252" s="3" t="s">
        <v>88</v>
      </c>
      <c r="F252" s="12">
        <v>1377</v>
      </c>
      <c r="G252" s="12">
        <v>796</v>
      </c>
      <c r="H252" s="12">
        <v>387</v>
      </c>
      <c r="I252" s="12">
        <v>22032</v>
      </c>
      <c r="J252" s="12">
        <v>21869</v>
      </c>
      <c r="K252" s="12">
        <v>189</v>
      </c>
      <c r="L252" s="4" t="s">
        <v>62</v>
      </c>
      <c r="M252" s="5"/>
      <c r="N252" s="31">
        <f t="shared" si="3"/>
        <v>2560</v>
      </c>
      <c r="O252" s="32">
        <f>IFERROR((Table1[[#This Row],[Likes]]+Table1[[#This Row],[Shares]]+Table1[[#This Row],[Comments]])/Table1[[#This Row],[Impressions]], 0)</f>
        <v>0.11619462599854757</v>
      </c>
      <c r="P252" s="30" t="str" cm="1">
        <f t="array" ref="P252">IFERROR(INDEX('Campaign Metadata (2)'!$A$2:$A$10, MATCH(1, (C252&gt;='Campaign Metadata (2)'!$B$2:$B$10) * (C252&lt;='Campaign Metadata (2)'!$C$2:$C$10), 0)), "No Campaign")</f>
        <v>DailyWellness</v>
      </c>
      <c r="Q252" s="33">
        <f>VLOOKUP(Table1[[#This Row],[Campaign_Name2]],Table3[#All],2,)</f>
        <v>45717</v>
      </c>
      <c r="R252" s="33">
        <f>VLOOKUP(Table1[[#This Row],[Campaign_Name2]],Table3[#All],3,FALSE)</f>
        <v>45747</v>
      </c>
      <c r="S252" s="30">
        <f>VLOOKUP(Table1[[#This Row],[Campaign_Name2]],Table3[],5,FALSE)</f>
        <v>180000</v>
      </c>
      <c r="T252" s="30">
        <f>IF(Table1[[#This Row],[Campaign_Name2]]="No Campaign", 0, Table1[[#This Row],[Budget]]/COUNTIF(Table1[Campaign_Name2],Table1[[#This Row],[Campaign_Name2]]))</f>
        <v>5625</v>
      </c>
    </row>
    <row r="253" spans="1:20" ht="14.25" customHeight="1" x14ac:dyDescent="0.3">
      <c r="A253" s="3" t="s">
        <v>491</v>
      </c>
      <c r="B253" s="3" t="s">
        <v>43</v>
      </c>
      <c r="C253" s="11">
        <v>45775</v>
      </c>
      <c r="D253" s="3" t="s">
        <v>45</v>
      </c>
      <c r="E253" s="3" t="s">
        <v>46</v>
      </c>
      <c r="F253" s="12">
        <v>2089</v>
      </c>
      <c r="G253" s="12">
        <v>476</v>
      </c>
      <c r="H253" s="12">
        <v>69</v>
      </c>
      <c r="I253" s="12">
        <v>16712</v>
      </c>
      <c r="J253" s="12">
        <v>16309</v>
      </c>
      <c r="K253" s="12">
        <v>64</v>
      </c>
      <c r="L253" s="4" t="s">
        <v>62</v>
      </c>
      <c r="M253" s="5" t="s">
        <v>31</v>
      </c>
      <c r="N253" s="31">
        <f t="shared" si="3"/>
        <v>2634</v>
      </c>
      <c r="O253" s="32">
        <f>IFERROR((Table1[[#This Row],[Likes]]+Table1[[#This Row],[Shares]]+Table1[[#This Row],[Comments]])/Table1[[#This Row],[Impressions]], 0)</f>
        <v>0.15761129727142173</v>
      </c>
      <c r="P253" s="30" t="str" cm="1">
        <f t="array" ref="P253">IFERROR(INDEX('Campaign Metadata (2)'!$A$2:$A$10, MATCH(1, (C253&gt;='Campaign Metadata (2)'!$B$2:$B$10) * (C253&lt;='Campaign Metadata (2)'!$C$2:$C$10), 0)), "No Campaign")</f>
        <v>No Campaign</v>
      </c>
      <c r="Q253" s="33" t="e">
        <f>VLOOKUP(Table1[[#This Row],[Campaign_Name2]],Table3[#All],2,)</f>
        <v>#N/A</v>
      </c>
      <c r="R253" s="33" t="e">
        <f>VLOOKUP(Table1[[#This Row],[Campaign_Name2]],Table3[#All],3,FALSE)</f>
        <v>#N/A</v>
      </c>
      <c r="S253" s="30" t="e">
        <f>VLOOKUP(Table1[[#This Row],[Campaign_Name2]],Table3[],5,FALSE)</f>
        <v>#N/A</v>
      </c>
      <c r="T253" s="30">
        <f>IF(Table1[[#This Row],[Campaign_Name2]]="No Campaign", 0, Table1[[#This Row],[Budget]]/COUNTIF(Table1[Campaign_Name2],Table1[[#This Row],[Campaign_Name2]]))</f>
        <v>0</v>
      </c>
    </row>
    <row r="254" spans="1:20" ht="14.25" customHeight="1" x14ac:dyDescent="0.3">
      <c r="A254" s="3" t="s">
        <v>492</v>
      </c>
      <c r="B254" s="3" t="s">
        <v>14</v>
      </c>
      <c r="C254" s="11">
        <v>45507</v>
      </c>
      <c r="D254" s="3" t="s">
        <v>16</v>
      </c>
      <c r="E254" s="3" t="s">
        <v>17</v>
      </c>
      <c r="F254" s="12">
        <v>3791</v>
      </c>
      <c r="G254" s="12">
        <v>593</v>
      </c>
      <c r="H254" s="12">
        <v>228</v>
      </c>
      <c r="I254" s="12">
        <v>53074</v>
      </c>
      <c r="J254" s="12">
        <v>52613</v>
      </c>
      <c r="K254" s="12">
        <v>205</v>
      </c>
      <c r="L254" s="4" t="s">
        <v>37</v>
      </c>
      <c r="M254" s="5"/>
      <c r="N254" s="31">
        <f t="shared" si="3"/>
        <v>4612</v>
      </c>
      <c r="O254" s="32">
        <f>IFERROR((Table1[[#This Row],[Likes]]+Table1[[#This Row],[Shares]]+Table1[[#This Row],[Comments]])/Table1[[#This Row],[Impressions]], 0)</f>
        <v>8.6897539284772202E-2</v>
      </c>
      <c r="P254" s="30" t="str" cm="1">
        <f t="array" ref="P254">IFERROR(INDEX('Campaign Metadata (2)'!$A$2:$A$10, MATCH(1, (C254&gt;='Campaign Metadata (2)'!$B$2:$B$10) * (C254&lt;='Campaign Metadata (2)'!$C$2:$C$10), 0)), "No Campaign")</f>
        <v>No Campaign</v>
      </c>
      <c r="Q254" s="33" t="e">
        <f>VLOOKUP(Table1[[#This Row],[Campaign_Name2]],Table3[#All],2,)</f>
        <v>#N/A</v>
      </c>
      <c r="R254" s="33" t="e">
        <f>VLOOKUP(Table1[[#This Row],[Campaign_Name2]],Table3[#All],3,FALSE)</f>
        <v>#N/A</v>
      </c>
      <c r="S254" s="30" t="e">
        <f>VLOOKUP(Table1[[#This Row],[Campaign_Name2]],Table3[],5,FALSE)</f>
        <v>#N/A</v>
      </c>
      <c r="T254" s="30">
        <f>IF(Table1[[#This Row],[Campaign_Name2]]="No Campaign", 0, Table1[[#This Row],[Budget]]/COUNTIF(Table1[Campaign_Name2],Table1[[#This Row],[Campaign_Name2]]))</f>
        <v>0</v>
      </c>
    </row>
    <row r="255" spans="1:20" ht="14.25" customHeight="1" x14ac:dyDescent="0.3">
      <c r="A255" s="3" t="s">
        <v>494</v>
      </c>
      <c r="B255" s="3" t="s">
        <v>14</v>
      </c>
      <c r="C255" s="11">
        <v>45671</v>
      </c>
      <c r="D255" s="3" t="s">
        <v>52</v>
      </c>
      <c r="E255" s="3" t="s">
        <v>132</v>
      </c>
      <c r="F255" s="12">
        <v>2692</v>
      </c>
      <c r="G255" s="12">
        <v>115</v>
      </c>
      <c r="H255" s="12">
        <v>64</v>
      </c>
      <c r="I255" s="12">
        <v>21536</v>
      </c>
      <c r="J255" s="12">
        <v>21120</v>
      </c>
      <c r="K255" s="12">
        <v>224</v>
      </c>
      <c r="L255" s="4" t="s">
        <v>62</v>
      </c>
      <c r="M255" s="5" t="s">
        <v>25</v>
      </c>
      <c r="N255" s="31">
        <f t="shared" si="3"/>
        <v>2871</v>
      </c>
      <c r="O255" s="32">
        <f>IFERROR((Table1[[#This Row],[Likes]]+Table1[[#This Row],[Shares]]+Table1[[#This Row],[Comments]])/Table1[[#This Row],[Impressions]], 0)</f>
        <v>0.13331166419019316</v>
      </c>
      <c r="P255" s="30" t="str" cm="1">
        <f t="array" ref="P255">IFERROR(INDEX('Campaign Metadata (2)'!$A$2:$A$10, MATCH(1, (C255&gt;='Campaign Metadata (2)'!$B$2:$B$10) * (C255&lt;='Campaign Metadata (2)'!$C$2:$C$10), 0)), "No Campaign")</f>
        <v>No Campaign</v>
      </c>
      <c r="Q255" s="33" t="e">
        <f>VLOOKUP(Table1[[#This Row],[Campaign_Name2]],Table3[#All],2,)</f>
        <v>#N/A</v>
      </c>
      <c r="R255" s="33" t="e">
        <f>VLOOKUP(Table1[[#This Row],[Campaign_Name2]],Table3[#All],3,FALSE)</f>
        <v>#N/A</v>
      </c>
      <c r="S255" s="30" t="e">
        <f>VLOOKUP(Table1[[#This Row],[Campaign_Name2]],Table3[],5,FALSE)</f>
        <v>#N/A</v>
      </c>
      <c r="T255" s="30">
        <f>IF(Table1[[#This Row],[Campaign_Name2]]="No Campaign", 0, Table1[[#This Row],[Budget]]/COUNTIF(Table1[Campaign_Name2],Table1[[#This Row],[Campaign_Name2]]))</f>
        <v>0</v>
      </c>
    </row>
    <row r="256" spans="1:20" ht="14.25" customHeight="1" x14ac:dyDescent="0.3">
      <c r="A256" s="3" t="s">
        <v>496</v>
      </c>
      <c r="B256" s="3" t="s">
        <v>43</v>
      </c>
      <c r="C256" s="11">
        <v>45750</v>
      </c>
      <c r="D256" s="3" t="s">
        <v>35</v>
      </c>
      <c r="E256" s="3" t="s">
        <v>71</v>
      </c>
      <c r="F256" s="12">
        <v>3767</v>
      </c>
      <c r="G256" s="12">
        <v>514</v>
      </c>
      <c r="H256" s="12">
        <v>238</v>
      </c>
      <c r="I256" s="12">
        <v>37670</v>
      </c>
      <c r="J256" s="12">
        <v>36807</v>
      </c>
      <c r="K256" s="12">
        <v>226</v>
      </c>
      <c r="L256" s="4" t="s">
        <v>62</v>
      </c>
      <c r="M256" s="5" t="s">
        <v>38</v>
      </c>
      <c r="N256" s="31">
        <f t="shared" si="3"/>
        <v>4519</v>
      </c>
      <c r="O256" s="32">
        <f>IFERROR((Table1[[#This Row],[Likes]]+Table1[[#This Row],[Shares]]+Table1[[#This Row],[Comments]])/Table1[[#This Row],[Impressions]], 0)</f>
        <v>0.11996283514733209</v>
      </c>
      <c r="P256" s="30" t="str" cm="1">
        <f t="array" ref="P256">IFERROR(INDEX('Campaign Metadata (2)'!$A$2:$A$10, MATCH(1, (C256&gt;='Campaign Metadata (2)'!$B$2:$B$10) * (C256&lt;='Campaign Metadata (2)'!$C$2:$C$10), 0)), "No Campaign")</f>
        <v>No Campaign</v>
      </c>
      <c r="Q256" s="33" t="e">
        <f>VLOOKUP(Table1[[#This Row],[Campaign_Name2]],Table3[#All],2,)</f>
        <v>#N/A</v>
      </c>
      <c r="R256" s="33" t="e">
        <f>VLOOKUP(Table1[[#This Row],[Campaign_Name2]],Table3[#All],3,FALSE)</f>
        <v>#N/A</v>
      </c>
      <c r="S256" s="30" t="e">
        <f>VLOOKUP(Table1[[#This Row],[Campaign_Name2]],Table3[],5,FALSE)</f>
        <v>#N/A</v>
      </c>
      <c r="T256" s="30">
        <f>IF(Table1[[#This Row],[Campaign_Name2]]="No Campaign", 0, Table1[[#This Row],[Budget]]/COUNTIF(Table1[Campaign_Name2],Table1[[#This Row],[Campaign_Name2]]))</f>
        <v>0</v>
      </c>
    </row>
    <row r="257" spans="1:20" ht="14.25" customHeight="1" x14ac:dyDescent="0.3">
      <c r="A257" s="3" t="s">
        <v>497</v>
      </c>
      <c r="B257" s="3" t="s">
        <v>27</v>
      </c>
      <c r="C257" s="11">
        <v>45553</v>
      </c>
      <c r="D257" s="3" t="s">
        <v>45</v>
      </c>
      <c r="E257" s="3" t="s">
        <v>68</v>
      </c>
      <c r="F257" s="12">
        <v>2143</v>
      </c>
      <c r="G257" s="12">
        <v>12</v>
      </c>
      <c r="H257" s="12">
        <v>204</v>
      </c>
      <c r="I257" s="12">
        <v>40717</v>
      </c>
      <c r="J257" s="12">
        <v>40125</v>
      </c>
      <c r="K257" s="12">
        <v>248</v>
      </c>
      <c r="L257" s="4" t="s">
        <v>37</v>
      </c>
      <c r="M257" s="5" t="s">
        <v>25</v>
      </c>
      <c r="N257" s="31">
        <f t="shared" si="3"/>
        <v>2359</v>
      </c>
      <c r="O257" s="32">
        <f>IFERROR((Table1[[#This Row],[Likes]]+Table1[[#This Row],[Shares]]+Table1[[#This Row],[Comments]])/Table1[[#This Row],[Impressions]], 0)</f>
        <v>5.7936488444630008E-2</v>
      </c>
      <c r="P257" s="30" t="str" cm="1">
        <f t="array" ref="P257">IFERROR(INDEX('Campaign Metadata (2)'!$A$2:$A$10, MATCH(1, (C257&gt;='Campaign Metadata (2)'!$B$2:$B$10) * (C257&lt;='Campaign Metadata (2)'!$C$2:$C$10), 0)), "No Campaign")</f>
        <v>No Campaign</v>
      </c>
      <c r="Q257" s="33" t="e">
        <f>VLOOKUP(Table1[[#This Row],[Campaign_Name2]],Table3[#All],2,)</f>
        <v>#N/A</v>
      </c>
      <c r="R257" s="33" t="e">
        <f>VLOOKUP(Table1[[#This Row],[Campaign_Name2]],Table3[#All],3,FALSE)</f>
        <v>#N/A</v>
      </c>
      <c r="S257" s="30" t="e">
        <f>VLOOKUP(Table1[[#This Row],[Campaign_Name2]],Table3[],5,FALSE)</f>
        <v>#N/A</v>
      </c>
      <c r="T257" s="30">
        <f>IF(Table1[[#This Row],[Campaign_Name2]]="No Campaign", 0, Table1[[#This Row],[Budget]]/COUNTIF(Table1[Campaign_Name2],Table1[[#This Row],[Campaign_Name2]]))</f>
        <v>0</v>
      </c>
    </row>
    <row r="258" spans="1:20" ht="14.25" customHeight="1" x14ac:dyDescent="0.3">
      <c r="A258" s="3" t="s">
        <v>498</v>
      </c>
      <c r="B258" s="3" t="s">
        <v>43</v>
      </c>
      <c r="C258" s="11">
        <v>45753</v>
      </c>
      <c r="D258" s="3" t="s">
        <v>52</v>
      </c>
      <c r="E258" s="3" t="s">
        <v>59</v>
      </c>
      <c r="F258" s="12">
        <v>3090</v>
      </c>
      <c r="G258" s="12">
        <v>697</v>
      </c>
      <c r="H258" s="12">
        <v>164</v>
      </c>
      <c r="I258" s="12">
        <v>49440</v>
      </c>
      <c r="J258" s="12">
        <v>48524</v>
      </c>
      <c r="K258" s="12">
        <v>25</v>
      </c>
      <c r="L258" s="4" t="s">
        <v>499</v>
      </c>
      <c r="M258" s="5" t="s">
        <v>25</v>
      </c>
      <c r="N258" s="31">
        <f t="shared" ref="N258:N301" si="4">SUM(F258,G258,H258)</f>
        <v>3951</v>
      </c>
      <c r="O258" s="32">
        <f>IFERROR((Table1[[#This Row],[Likes]]+Table1[[#This Row],[Shares]]+Table1[[#This Row],[Comments]])/Table1[[#This Row],[Impressions]], 0)</f>
        <v>7.9915048543689318E-2</v>
      </c>
      <c r="P258" s="30" t="str" cm="1">
        <f t="array" ref="P258">IFERROR(INDEX('Campaign Metadata (2)'!$A$2:$A$10, MATCH(1, (C258&gt;='Campaign Metadata (2)'!$B$2:$B$10) * (C258&lt;='Campaign Metadata (2)'!$C$2:$C$10), 0)), "No Campaign")</f>
        <v>No Campaign</v>
      </c>
      <c r="Q258" s="33" t="e">
        <f>VLOOKUP(Table1[[#This Row],[Campaign_Name2]],Table3[#All],2,)</f>
        <v>#N/A</v>
      </c>
      <c r="R258" s="33" t="e">
        <f>VLOOKUP(Table1[[#This Row],[Campaign_Name2]],Table3[#All],3,FALSE)</f>
        <v>#N/A</v>
      </c>
      <c r="S258" s="30" t="e">
        <f>VLOOKUP(Table1[[#This Row],[Campaign_Name2]],Table3[],5,FALSE)</f>
        <v>#N/A</v>
      </c>
      <c r="T258" s="30">
        <f>IF(Table1[[#This Row],[Campaign_Name2]]="No Campaign", 0, Table1[[#This Row],[Budget]]/COUNTIF(Table1[Campaign_Name2],Table1[[#This Row],[Campaign_Name2]]))</f>
        <v>0</v>
      </c>
    </row>
    <row r="259" spans="1:20" ht="14.25" customHeight="1" x14ac:dyDescent="0.3">
      <c r="A259" s="3" t="s">
        <v>500</v>
      </c>
      <c r="B259" s="3" t="s">
        <v>33</v>
      </c>
      <c r="C259" s="11">
        <v>45509</v>
      </c>
      <c r="D259" s="3" t="s">
        <v>35</v>
      </c>
      <c r="E259" s="3" t="s">
        <v>36</v>
      </c>
      <c r="F259" s="12">
        <v>3601</v>
      </c>
      <c r="G259" s="12">
        <v>695</v>
      </c>
      <c r="H259" s="12">
        <v>75</v>
      </c>
      <c r="I259" s="12">
        <v>21606</v>
      </c>
      <c r="J259" s="12">
        <v>21454</v>
      </c>
      <c r="K259" s="12">
        <v>172</v>
      </c>
      <c r="L259" s="4" t="s">
        <v>37</v>
      </c>
      <c r="M259" s="5" t="s">
        <v>25</v>
      </c>
      <c r="N259" s="31">
        <f t="shared" si="4"/>
        <v>4371</v>
      </c>
      <c r="O259" s="32">
        <f>IFERROR((Table1[[#This Row],[Likes]]+Table1[[#This Row],[Shares]]+Table1[[#This Row],[Comments]])/Table1[[#This Row],[Impressions]], 0)</f>
        <v>0.2023049153013052</v>
      </c>
      <c r="P259" s="30" t="str" cm="1">
        <f t="array" ref="P259">IFERROR(INDEX('Campaign Metadata (2)'!$A$2:$A$10, MATCH(1, (C259&gt;='Campaign Metadata (2)'!$B$2:$B$10) * (C259&lt;='Campaign Metadata (2)'!$C$2:$C$10), 0)), "No Campaign")</f>
        <v>No Campaign</v>
      </c>
      <c r="Q259" s="33" t="e">
        <f>VLOOKUP(Table1[[#This Row],[Campaign_Name2]],Table3[#All],2,)</f>
        <v>#N/A</v>
      </c>
      <c r="R259" s="33" t="e">
        <f>VLOOKUP(Table1[[#This Row],[Campaign_Name2]],Table3[#All],3,FALSE)</f>
        <v>#N/A</v>
      </c>
      <c r="S259" s="30" t="e">
        <f>VLOOKUP(Table1[[#This Row],[Campaign_Name2]],Table3[],5,FALSE)</f>
        <v>#N/A</v>
      </c>
      <c r="T259" s="30">
        <f>IF(Table1[[#This Row],[Campaign_Name2]]="No Campaign", 0, Table1[[#This Row],[Budget]]/COUNTIF(Table1[Campaign_Name2],Table1[[#This Row],[Campaign_Name2]]))</f>
        <v>0</v>
      </c>
    </row>
    <row r="260" spans="1:20" ht="14.25" customHeight="1" x14ac:dyDescent="0.3">
      <c r="A260" s="3" t="s">
        <v>502</v>
      </c>
      <c r="B260" s="3" t="s">
        <v>43</v>
      </c>
      <c r="C260" s="11">
        <v>45698</v>
      </c>
      <c r="D260" s="3" t="s">
        <v>22</v>
      </c>
      <c r="E260" s="3" t="s">
        <v>56</v>
      </c>
      <c r="F260" s="12">
        <v>562</v>
      </c>
      <c r="G260" s="12">
        <v>158</v>
      </c>
      <c r="H260" s="12">
        <v>149</v>
      </c>
      <c r="I260" s="12">
        <v>3372</v>
      </c>
      <c r="J260" s="12">
        <v>2940</v>
      </c>
      <c r="K260" s="12">
        <v>93</v>
      </c>
      <c r="L260" s="4" t="s">
        <v>30</v>
      </c>
      <c r="M260" s="5" t="s">
        <v>19</v>
      </c>
      <c r="N260" s="31">
        <f t="shared" si="4"/>
        <v>869</v>
      </c>
      <c r="O260" s="32">
        <f>IFERROR((Table1[[#This Row],[Likes]]+Table1[[#This Row],[Shares]]+Table1[[#This Row],[Comments]])/Table1[[#This Row],[Impressions]], 0)</f>
        <v>0.25771055753262156</v>
      </c>
      <c r="P260" s="30" t="str" cm="1">
        <f t="array" ref="P260">IFERROR(INDEX('Campaign Metadata (2)'!$A$2:$A$10, MATCH(1, (C260&gt;='Campaign Metadata (2)'!$B$2:$B$10) * (C260&lt;='Campaign Metadata (2)'!$C$2:$C$10), 0)), "No Campaign")</f>
        <v>No Campaign</v>
      </c>
      <c r="Q260" s="33" t="e">
        <f>VLOOKUP(Table1[[#This Row],[Campaign_Name2]],Table3[#All],2,)</f>
        <v>#N/A</v>
      </c>
      <c r="R260" s="33" t="e">
        <f>VLOOKUP(Table1[[#This Row],[Campaign_Name2]],Table3[#All],3,FALSE)</f>
        <v>#N/A</v>
      </c>
      <c r="S260" s="30" t="e">
        <f>VLOOKUP(Table1[[#This Row],[Campaign_Name2]],Table3[],5,FALSE)</f>
        <v>#N/A</v>
      </c>
      <c r="T260" s="30">
        <f>IF(Table1[[#This Row],[Campaign_Name2]]="No Campaign", 0, Table1[[#This Row],[Budget]]/COUNTIF(Table1[Campaign_Name2],Table1[[#This Row],[Campaign_Name2]]))</f>
        <v>0</v>
      </c>
    </row>
    <row r="261" spans="1:20" ht="14.25" customHeight="1" x14ac:dyDescent="0.3">
      <c r="A261" s="3" t="s">
        <v>503</v>
      </c>
      <c r="B261" s="3" t="s">
        <v>33</v>
      </c>
      <c r="C261" s="11">
        <v>45700</v>
      </c>
      <c r="D261" s="3" t="s">
        <v>35</v>
      </c>
      <c r="E261" s="3" t="s">
        <v>36</v>
      </c>
      <c r="F261" s="12">
        <v>4332</v>
      </c>
      <c r="G261" s="12">
        <v>771</v>
      </c>
      <c r="H261" s="12">
        <v>219</v>
      </c>
      <c r="I261" s="12">
        <v>60648</v>
      </c>
      <c r="J261" s="12">
        <v>60397</v>
      </c>
      <c r="K261" s="12">
        <v>10</v>
      </c>
      <c r="L261" s="4" t="s">
        <v>505</v>
      </c>
      <c r="M261" s="5" t="s">
        <v>31</v>
      </c>
      <c r="N261" s="31">
        <f t="shared" si="4"/>
        <v>5322</v>
      </c>
      <c r="O261" s="32">
        <f>IFERROR((Table1[[#This Row],[Likes]]+Table1[[#This Row],[Shares]]+Table1[[#This Row],[Comments]])/Table1[[#This Row],[Impressions]], 0)</f>
        <v>8.7752275425405618E-2</v>
      </c>
      <c r="P261" s="30" t="str" cm="1">
        <f t="array" ref="P261">IFERROR(INDEX('Campaign Metadata (2)'!$A$2:$A$10, MATCH(1, (C261&gt;='Campaign Metadata (2)'!$B$2:$B$10) * (C261&lt;='Campaign Metadata (2)'!$C$2:$C$10), 0)), "No Campaign")</f>
        <v>No Campaign</v>
      </c>
      <c r="Q261" s="33" t="e">
        <f>VLOOKUP(Table1[[#This Row],[Campaign_Name2]],Table3[#All],2,)</f>
        <v>#N/A</v>
      </c>
      <c r="R261" s="33" t="e">
        <f>VLOOKUP(Table1[[#This Row],[Campaign_Name2]],Table3[#All],3,FALSE)</f>
        <v>#N/A</v>
      </c>
      <c r="S261" s="30" t="e">
        <f>VLOOKUP(Table1[[#This Row],[Campaign_Name2]],Table3[],5,FALSE)</f>
        <v>#N/A</v>
      </c>
      <c r="T261" s="30">
        <f>IF(Table1[[#This Row],[Campaign_Name2]]="No Campaign", 0, Table1[[#This Row],[Budget]]/COUNTIF(Table1[Campaign_Name2],Table1[[#This Row],[Campaign_Name2]]))</f>
        <v>0</v>
      </c>
    </row>
    <row r="262" spans="1:20" ht="14.25" customHeight="1" x14ac:dyDescent="0.3">
      <c r="A262" s="3" t="s">
        <v>506</v>
      </c>
      <c r="B262" s="3" t="s">
        <v>33</v>
      </c>
      <c r="C262" s="11">
        <v>45592</v>
      </c>
      <c r="D262" s="3" t="s">
        <v>52</v>
      </c>
      <c r="E262" s="3" t="s">
        <v>215</v>
      </c>
      <c r="F262" s="12">
        <v>4853</v>
      </c>
      <c r="G262" s="12">
        <v>837</v>
      </c>
      <c r="H262" s="12">
        <v>340</v>
      </c>
      <c r="I262" s="12">
        <v>72795</v>
      </c>
      <c r="J262" s="12">
        <v>72237</v>
      </c>
      <c r="K262" s="12">
        <v>170</v>
      </c>
      <c r="L262" s="4" t="s">
        <v>37</v>
      </c>
      <c r="M262" s="5" t="s">
        <v>19</v>
      </c>
      <c r="N262" s="31">
        <f t="shared" si="4"/>
        <v>6030</v>
      </c>
      <c r="O262" s="32">
        <f>IFERROR((Table1[[#This Row],[Likes]]+Table1[[#This Row],[Shares]]+Table1[[#This Row],[Comments]])/Table1[[#This Row],[Impressions]], 0)</f>
        <v>8.2835359571399134E-2</v>
      </c>
      <c r="P262" s="30" t="str" cm="1">
        <f t="array" ref="P262">IFERROR(INDEX('Campaign Metadata (2)'!$A$2:$A$10, MATCH(1, (C262&gt;='Campaign Metadata (2)'!$B$2:$B$10) * (C262&lt;='Campaign Metadata (2)'!$C$2:$C$10), 0)), "No Campaign")</f>
        <v>FestiveRadiance</v>
      </c>
      <c r="Q262" s="33">
        <f>VLOOKUP(Table1[[#This Row],[Campaign_Name2]],Table3[#All],2,)</f>
        <v>45566</v>
      </c>
      <c r="R262" s="33">
        <f>VLOOKUP(Table1[[#This Row],[Campaign_Name2]],Table3[#All],3,FALSE)</f>
        <v>45596</v>
      </c>
      <c r="S262" s="30">
        <f>VLOOKUP(Table1[[#This Row],[Campaign_Name2]],Table3[],5,FALSE)</f>
        <v>200000</v>
      </c>
      <c r="T262" s="30">
        <f>IF(Table1[[#This Row],[Campaign_Name2]]="No Campaign", 0, Table1[[#This Row],[Budget]]/COUNTIF(Table1[Campaign_Name2],Table1[[#This Row],[Campaign_Name2]]))</f>
        <v>5714.2857142857147</v>
      </c>
    </row>
    <row r="263" spans="1:20" ht="14.25" customHeight="1" x14ac:dyDescent="0.3">
      <c r="A263" s="3" t="s">
        <v>508</v>
      </c>
      <c r="B263" s="3" t="s">
        <v>27</v>
      </c>
      <c r="C263" s="11">
        <v>45675</v>
      </c>
      <c r="D263" s="3" t="s">
        <v>52</v>
      </c>
      <c r="E263" s="3" t="s">
        <v>53</v>
      </c>
      <c r="F263" s="12">
        <v>1206</v>
      </c>
      <c r="G263" s="12">
        <v>238</v>
      </c>
      <c r="H263" s="12">
        <v>36</v>
      </c>
      <c r="I263" s="12">
        <v>9648</v>
      </c>
      <c r="J263" s="12">
        <v>9417</v>
      </c>
      <c r="K263" s="12">
        <v>237</v>
      </c>
      <c r="L263" s="4" t="s">
        <v>30</v>
      </c>
      <c r="M263" s="5"/>
      <c r="N263" s="31">
        <f t="shared" si="4"/>
        <v>1480</v>
      </c>
      <c r="O263" s="32">
        <f>IFERROR((Table1[[#This Row],[Likes]]+Table1[[#This Row],[Shares]]+Table1[[#This Row],[Comments]])/Table1[[#This Row],[Impressions]], 0)</f>
        <v>0.15339966832504145</v>
      </c>
      <c r="P263" s="30" t="str" cm="1">
        <f t="array" ref="P263">IFERROR(INDEX('Campaign Metadata (2)'!$A$2:$A$10, MATCH(1, (C263&gt;='Campaign Metadata (2)'!$B$2:$B$10) * (C263&lt;='Campaign Metadata (2)'!$C$2:$C$10), 0)), "No Campaign")</f>
        <v>No Campaign</v>
      </c>
      <c r="Q263" s="33" t="e">
        <f>VLOOKUP(Table1[[#This Row],[Campaign_Name2]],Table3[#All],2,)</f>
        <v>#N/A</v>
      </c>
      <c r="R263" s="33" t="e">
        <f>VLOOKUP(Table1[[#This Row],[Campaign_Name2]],Table3[#All],3,FALSE)</f>
        <v>#N/A</v>
      </c>
      <c r="S263" s="30" t="e">
        <f>VLOOKUP(Table1[[#This Row],[Campaign_Name2]],Table3[],5,FALSE)</f>
        <v>#N/A</v>
      </c>
      <c r="T263" s="30">
        <f>IF(Table1[[#This Row],[Campaign_Name2]]="No Campaign", 0, Table1[[#This Row],[Budget]]/COUNTIF(Table1[Campaign_Name2],Table1[[#This Row],[Campaign_Name2]]))</f>
        <v>0</v>
      </c>
    </row>
    <row r="264" spans="1:20" ht="14.25" customHeight="1" x14ac:dyDescent="0.3">
      <c r="A264" s="3" t="s">
        <v>509</v>
      </c>
      <c r="B264" s="3" t="s">
        <v>33</v>
      </c>
      <c r="C264" s="11">
        <v>45524</v>
      </c>
      <c r="D264" s="3" t="s">
        <v>16</v>
      </c>
      <c r="E264" s="3" t="s">
        <v>82</v>
      </c>
      <c r="F264" s="12">
        <v>2603</v>
      </c>
      <c r="G264" s="12">
        <v>690</v>
      </c>
      <c r="H264" s="12">
        <v>205</v>
      </c>
      <c r="I264" s="12">
        <v>13015</v>
      </c>
      <c r="J264" s="12">
        <v>12130</v>
      </c>
      <c r="K264" s="12">
        <v>20</v>
      </c>
      <c r="L264" s="4" t="s">
        <v>62</v>
      </c>
      <c r="M264" s="5" t="s">
        <v>25</v>
      </c>
      <c r="N264" s="31">
        <f t="shared" si="4"/>
        <v>3498</v>
      </c>
      <c r="O264" s="32">
        <f>IFERROR((Table1[[#This Row],[Likes]]+Table1[[#This Row],[Shares]]+Table1[[#This Row],[Comments]])/Table1[[#This Row],[Impressions]], 0)</f>
        <v>0.26876680752977333</v>
      </c>
      <c r="P264" s="30" t="str" cm="1">
        <f t="array" ref="P264">IFERROR(INDEX('Campaign Metadata (2)'!$A$2:$A$10, MATCH(1, (C264&gt;='Campaign Metadata (2)'!$B$2:$B$10) * (C264&lt;='Campaign Metadata (2)'!$C$2:$C$10), 0)), "No Campaign")</f>
        <v>No Campaign</v>
      </c>
      <c r="Q264" s="33" t="e">
        <f>VLOOKUP(Table1[[#This Row],[Campaign_Name2]],Table3[#All],2,)</f>
        <v>#N/A</v>
      </c>
      <c r="R264" s="33" t="e">
        <f>VLOOKUP(Table1[[#This Row],[Campaign_Name2]],Table3[#All],3,FALSE)</f>
        <v>#N/A</v>
      </c>
      <c r="S264" s="30" t="e">
        <f>VLOOKUP(Table1[[#This Row],[Campaign_Name2]],Table3[],5,FALSE)</f>
        <v>#N/A</v>
      </c>
      <c r="T264" s="30">
        <f>IF(Table1[[#This Row],[Campaign_Name2]]="No Campaign", 0, Table1[[#This Row],[Budget]]/COUNTIF(Table1[Campaign_Name2],Table1[[#This Row],[Campaign_Name2]]))</f>
        <v>0</v>
      </c>
    </row>
    <row r="265" spans="1:20" ht="14.25" customHeight="1" x14ac:dyDescent="0.3">
      <c r="A265" s="3" t="s">
        <v>511</v>
      </c>
      <c r="B265" s="3" t="s">
        <v>14</v>
      </c>
      <c r="C265" s="11">
        <v>45687</v>
      </c>
      <c r="D265" s="3" t="s">
        <v>52</v>
      </c>
      <c r="E265" s="3" t="s">
        <v>132</v>
      </c>
      <c r="F265" s="12">
        <v>59</v>
      </c>
      <c r="G265" s="12">
        <v>163</v>
      </c>
      <c r="H265" s="12">
        <v>93</v>
      </c>
      <c r="I265" s="12">
        <v>590</v>
      </c>
      <c r="J265" s="12">
        <v>475</v>
      </c>
      <c r="K265" s="12">
        <v>293</v>
      </c>
      <c r="L265" s="4" t="s">
        <v>30</v>
      </c>
      <c r="M265" s="5" t="s">
        <v>25</v>
      </c>
      <c r="N265" s="31">
        <f t="shared" si="4"/>
        <v>315</v>
      </c>
      <c r="O265" s="32">
        <f>IFERROR((Table1[[#This Row],[Likes]]+Table1[[#This Row],[Shares]]+Table1[[#This Row],[Comments]])/Table1[[#This Row],[Impressions]], 0)</f>
        <v>0.53389830508474578</v>
      </c>
      <c r="P265" s="30" t="str" cm="1">
        <f t="array" ref="P265">IFERROR(INDEX('Campaign Metadata (2)'!$A$2:$A$10, MATCH(1, (C265&gt;='Campaign Metadata (2)'!$B$2:$B$10) * (C265&lt;='Campaign Metadata (2)'!$C$2:$C$10), 0)), "No Campaign")</f>
        <v>No Campaign</v>
      </c>
      <c r="Q265" s="33" t="e">
        <f>VLOOKUP(Table1[[#This Row],[Campaign_Name2]],Table3[#All],2,)</f>
        <v>#N/A</v>
      </c>
      <c r="R265" s="33" t="e">
        <f>VLOOKUP(Table1[[#This Row],[Campaign_Name2]],Table3[#All],3,FALSE)</f>
        <v>#N/A</v>
      </c>
      <c r="S265" s="30" t="e">
        <f>VLOOKUP(Table1[[#This Row],[Campaign_Name2]],Table3[],5,FALSE)</f>
        <v>#N/A</v>
      </c>
      <c r="T265" s="30">
        <f>IF(Table1[[#This Row],[Campaign_Name2]]="No Campaign", 0, Table1[[#This Row],[Budget]]/COUNTIF(Table1[Campaign_Name2],Table1[[#This Row],[Campaign_Name2]]))</f>
        <v>0</v>
      </c>
    </row>
    <row r="266" spans="1:20" ht="14.25" customHeight="1" x14ac:dyDescent="0.3">
      <c r="A266" s="3" t="s">
        <v>513</v>
      </c>
      <c r="B266" s="3" t="s">
        <v>14</v>
      </c>
      <c r="C266" s="11">
        <v>45708</v>
      </c>
      <c r="D266" s="3" t="s">
        <v>45</v>
      </c>
      <c r="E266" s="3" t="s">
        <v>49</v>
      </c>
      <c r="F266" s="12">
        <v>1877</v>
      </c>
      <c r="G266" s="12">
        <v>745</v>
      </c>
      <c r="H266" s="12">
        <v>225</v>
      </c>
      <c r="I266" s="12">
        <v>11262</v>
      </c>
      <c r="J266" s="12">
        <v>10967</v>
      </c>
      <c r="K266" s="12">
        <v>41</v>
      </c>
      <c r="L266" s="4" t="s">
        <v>37</v>
      </c>
      <c r="M266" s="5" t="s">
        <v>38</v>
      </c>
      <c r="N266" s="31">
        <f t="shared" si="4"/>
        <v>2847</v>
      </c>
      <c r="O266" s="32">
        <f>IFERROR((Table1[[#This Row],[Likes]]+Table1[[#This Row],[Shares]]+Table1[[#This Row],[Comments]])/Table1[[#This Row],[Impressions]], 0)</f>
        <v>0.25279701651571657</v>
      </c>
      <c r="P266" s="30" t="str" cm="1">
        <f t="array" ref="P266">IFERROR(INDEX('Campaign Metadata (2)'!$A$2:$A$10, MATCH(1, (C266&gt;='Campaign Metadata (2)'!$B$2:$B$10) * (C266&lt;='Campaign Metadata (2)'!$C$2:$C$10), 0)), "No Campaign")</f>
        <v>No Campaign</v>
      </c>
      <c r="Q266" s="33" t="e">
        <f>VLOOKUP(Table1[[#This Row],[Campaign_Name2]],Table3[#All],2,)</f>
        <v>#N/A</v>
      </c>
      <c r="R266" s="33" t="e">
        <f>VLOOKUP(Table1[[#This Row],[Campaign_Name2]],Table3[#All],3,FALSE)</f>
        <v>#N/A</v>
      </c>
      <c r="S266" s="30" t="e">
        <f>VLOOKUP(Table1[[#This Row],[Campaign_Name2]],Table3[],5,FALSE)</f>
        <v>#N/A</v>
      </c>
      <c r="T266" s="30">
        <f>IF(Table1[[#This Row],[Campaign_Name2]]="No Campaign", 0, Table1[[#This Row],[Budget]]/COUNTIF(Table1[Campaign_Name2],Table1[[#This Row],[Campaign_Name2]]))</f>
        <v>0</v>
      </c>
    </row>
    <row r="267" spans="1:20" ht="14.25" customHeight="1" x14ac:dyDescent="0.3">
      <c r="A267" s="3" t="s">
        <v>515</v>
      </c>
      <c r="B267" s="3" t="s">
        <v>43</v>
      </c>
      <c r="C267" s="11">
        <v>45621</v>
      </c>
      <c r="D267" s="3" t="s">
        <v>35</v>
      </c>
      <c r="E267" s="3" t="s">
        <v>71</v>
      </c>
      <c r="F267" s="12">
        <v>4182</v>
      </c>
      <c r="G267" s="12">
        <v>640</v>
      </c>
      <c r="H267" s="12">
        <v>240</v>
      </c>
      <c r="I267" s="12">
        <v>50184</v>
      </c>
      <c r="J267" s="12">
        <v>49351</v>
      </c>
      <c r="K267" s="12">
        <v>10</v>
      </c>
      <c r="L267" s="4" t="s">
        <v>30</v>
      </c>
      <c r="M267" s="5" t="s">
        <v>31</v>
      </c>
      <c r="N267" s="31">
        <f t="shared" si="4"/>
        <v>5062</v>
      </c>
      <c r="O267" s="32">
        <f>IFERROR((Table1[[#This Row],[Likes]]+Table1[[#This Row],[Shares]]+Table1[[#This Row],[Comments]])/Table1[[#This Row],[Impressions]], 0)</f>
        <v>0.10086880280567512</v>
      </c>
      <c r="P267" s="30" t="str" cm="1">
        <f t="array" ref="P267">IFERROR(INDEX('Campaign Metadata (2)'!$A$2:$A$10, MATCH(1, (C267&gt;='Campaign Metadata (2)'!$B$2:$B$10) * (C267&lt;='Campaign Metadata (2)'!$C$2:$C$10), 0)), "No Campaign")</f>
        <v>No Campaign</v>
      </c>
      <c r="Q267" s="33" t="e">
        <f>VLOOKUP(Table1[[#This Row],[Campaign_Name2]],Table3[#All],2,)</f>
        <v>#N/A</v>
      </c>
      <c r="R267" s="33" t="e">
        <f>VLOOKUP(Table1[[#This Row],[Campaign_Name2]],Table3[#All],3,FALSE)</f>
        <v>#N/A</v>
      </c>
      <c r="S267" s="30" t="e">
        <f>VLOOKUP(Table1[[#This Row],[Campaign_Name2]],Table3[],5,FALSE)</f>
        <v>#N/A</v>
      </c>
      <c r="T267" s="30">
        <f>IF(Table1[[#This Row],[Campaign_Name2]]="No Campaign", 0, Table1[[#This Row],[Budget]]/COUNTIF(Table1[Campaign_Name2],Table1[[#This Row],[Campaign_Name2]]))</f>
        <v>0</v>
      </c>
    </row>
    <row r="268" spans="1:20" ht="14.25" customHeight="1" x14ac:dyDescent="0.3">
      <c r="A268" s="3" t="s">
        <v>516</v>
      </c>
      <c r="B268" s="3" t="s">
        <v>14</v>
      </c>
      <c r="C268" s="11">
        <v>45569</v>
      </c>
      <c r="D268" s="3" t="s">
        <v>16</v>
      </c>
      <c r="E268" s="3" t="s">
        <v>17</v>
      </c>
      <c r="F268" s="12">
        <v>4187</v>
      </c>
      <c r="G268" s="12">
        <v>66</v>
      </c>
      <c r="H268" s="12">
        <v>31</v>
      </c>
      <c r="I268" s="12">
        <v>66992</v>
      </c>
      <c r="J268" s="12">
        <v>66614</v>
      </c>
      <c r="K268" s="12">
        <v>62</v>
      </c>
      <c r="L268" s="4" t="s">
        <v>62</v>
      </c>
      <c r="M268" s="5"/>
      <c r="N268" s="31">
        <f t="shared" si="4"/>
        <v>4284</v>
      </c>
      <c r="O268" s="32">
        <f>IFERROR((Table1[[#This Row],[Likes]]+Table1[[#This Row],[Shares]]+Table1[[#This Row],[Comments]])/Table1[[#This Row],[Impressions]], 0)</f>
        <v>6.3947934081681396E-2</v>
      </c>
      <c r="P268" s="30" t="str" cm="1">
        <f t="array" ref="P268">IFERROR(INDEX('Campaign Metadata (2)'!$A$2:$A$10, MATCH(1, (C268&gt;='Campaign Metadata (2)'!$B$2:$B$10) * (C268&lt;='Campaign Metadata (2)'!$C$2:$C$10), 0)), "No Campaign")</f>
        <v>FestiveRadiance</v>
      </c>
      <c r="Q268" s="33">
        <f>VLOOKUP(Table1[[#This Row],[Campaign_Name2]],Table3[#All],2,)</f>
        <v>45566</v>
      </c>
      <c r="R268" s="33">
        <f>VLOOKUP(Table1[[#This Row],[Campaign_Name2]],Table3[#All],3,FALSE)</f>
        <v>45596</v>
      </c>
      <c r="S268" s="30">
        <f>VLOOKUP(Table1[[#This Row],[Campaign_Name2]],Table3[],5,FALSE)</f>
        <v>200000</v>
      </c>
      <c r="T268" s="30">
        <f>IF(Table1[[#This Row],[Campaign_Name2]]="No Campaign", 0, Table1[[#This Row],[Budget]]/COUNTIF(Table1[Campaign_Name2],Table1[[#This Row],[Campaign_Name2]]))</f>
        <v>5714.2857142857147</v>
      </c>
    </row>
    <row r="269" spans="1:20" ht="14.25" customHeight="1" x14ac:dyDescent="0.3">
      <c r="A269" s="3" t="s">
        <v>517</v>
      </c>
      <c r="B269" s="3" t="s">
        <v>33</v>
      </c>
      <c r="C269" s="11">
        <v>45760</v>
      </c>
      <c r="D269" s="3" t="s">
        <v>16</v>
      </c>
      <c r="E269" s="3" t="s">
        <v>82</v>
      </c>
      <c r="F269" s="12">
        <v>4579</v>
      </c>
      <c r="G269" s="12">
        <v>125</v>
      </c>
      <c r="H269" s="12">
        <v>300</v>
      </c>
      <c r="I269" s="12">
        <v>59527</v>
      </c>
      <c r="J269" s="12">
        <v>59400</v>
      </c>
      <c r="K269" s="12">
        <v>269</v>
      </c>
      <c r="L269" s="4" t="s">
        <v>37</v>
      </c>
      <c r="M269" s="5" t="s">
        <v>19</v>
      </c>
      <c r="N269" s="31">
        <f t="shared" si="4"/>
        <v>5004</v>
      </c>
      <c r="O269" s="32">
        <f>IFERROR((Table1[[#This Row],[Likes]]+Table1[[#This Row],[Shares]]+Table1[[#This Row],[Comments]])/Table1[[#This Row],[Impressions]], 0)</f>
        <v>8.4062694239588759E-2</v>
      </c>
      <c r="P269" s="30" t="str" cm="1">
        <f t="array" ref="P269">IFERROR(INDEX('Campaign Metadata (2)'!$A$2:$A$10, MATCH(1, (C269&gt;='Campaign Metadata (2)'!$B$2:$B$10) * (C269&lt;='Campaign Metadata (2)'!$C$2:$C$10), 0)), "No Campaign")</f>
        <v>No Campaign</v>
      </c>
      <c r="Q269" s="33" t="e">
        <f>VLOOKUP(Table1[[#This Row],[Campaign_Name2]],Table3[#All],2,)</f>
        <v>#N/A</v>
      </c>
      <c r="R269" s="33" t="e">
        <f>VLOOKUP(Table1[[#This Row],[Campaign_Name2]],Table3[#All],3,FALSE)</f>
        <v>#N/A</v>
      </c>
      <c r="S269" s="30" t="e">
        <f>VLOOKUP(Table1[[#This Row],[Campaign_Name2]],Table3[],5,FALSE)</f>
        <v>#N/A</v>
      </c>
      <c r="T269" s="30">
        <f>IF(Table1[[#This Row],[Campaign_Name2]]="No Campaign", 0, Table1[[#This Row],[Budget]]/COUNTIF(Table1[Campaign_Name2],Table1[[#This Row],[Campaign_Name2]]))</f>
        <v>0</v>
      </c>
    </row>
    <row r="270" spans="1:20" ht="14.25" customHeight="1" x14ac:dyDescent="0.3">
      <c r="A270" s="3" t="s">
        <v>519</v>
      </c>
      <c r="B270" s="3" t="s">
        <v>33</v>
      </c>
      <c r="C270" s="11">
        <v>45601</v>
      </c>
      <c r="D270" s="3" t="s">
        <v>74</v>
      </c>
      <c r="E270" s="3" t="s">
        <v>85</v>
      </c>
      <c r="F270" s="12">
        <v>4561</v>
      </c>
      <c r="G270" s="12">
        <v>51</v>
      </c>
      <c r="H270" s="12">
        <v>441</v>
      </c>
      <c r="I270" s="12">
        <v>22805</v>
      </c>
      <c r="J270" s="12">
        <v>21890</v>
      </c>
      <c r="K270" s="12">
        <v>45</v>
      </c>
      <c r="L270" s="4" t="s">
        <v>30</v>
      </c>
      <c r="M270" s="5" t="s">
        <v>25</v>
      </c>
      <c r="N270" s="31">
        <f t="shared" si="4"/>
        <v>5053</v>
      </c>
      <c r="O270" s="32">
        <f>IFERROR((Table1[[#This Row],[Likes]]+Table1[[#This Row],[Shares]]+Table1[[#This Row],[Comments]])/Table1[[#This Row],[Impressions]], 0)</f>
        <v>0.22157421618066214</v>
      </c>
      <c r="P270" s="30" t="str" cm="1">
        <f t="array" ref="P270">IFERROR(INDEX('Campaign Metadata (2)'!$A$2:$A$10, MATCH(1, (C270&gt;='Campaign Metadata (2)'!$B$2:$B$10) * (C270&lt;='Campaign Metadata (2)'!$C$2:$C$10), 0)), "No Campaign")</f>
        <v>No Campaign</v>
      </c>
      <c r="Q270" s="33" t="e">
        <f>VLOOKUP(Table1[[#This Row],[Campaign_Name2]],Table3[#All],2,)</f>
        <v>#N/A</v>
      </c>
      <c r="R270" s="33" t="e">
        <f>VLOOKUP(Table1[[#This Row],[Campaign_Name2]],Table3[#All],3,FALSE)</f>
        <v>#N/A</v>
      </c>
      <c r="S270" s="30" t="e">
        <f>VLOOKUP(Table1[[#This Row],[Campaign_Name2]],Table3[],5,FALSE)</f>
        <v>#N/A</v>
      </c>
      <c r="T270" s="30">
        <f>IF(Table1[[#This Row],[Campaign_Name2]]="No Campaign", 0, Table1[[#This Row],[Budget]]/COUNTIF(Table1[Campaign_Name2],Table1[[#This Row],[Campaign_Name2]]))</f>
        <v>0</v>
      </c>
    </row>
    <row r="271" spans="1:20" ht="14.25" customHeight="1" x14ac:dyDescent="0.3">
      <c r="A271" s="3" t="s">
        <v>521</v>
      </c>
      <c r="B271" s="3" t="s">
        <v>27</v>
      </c>
      <c r="C271" s="11">
        <v>45672</v>
      </c>
      <c r="D271" s="3" t="s">
        <v>16</v>
      </c>
      <c r="E271" s="3" t="s">
        <v>29</v>
      </c>
      <c r="F271" s="12">
        <v>3774</v>
      </c>
      <c r="G271" s="12">
        <v>239</v>
      </c>
      <c r="H271" s="12">
        <v>39</v>
      </c>
      <c r="I271" s="12">
        <v>60384</v>
      </c>
      <c r="J271" s="12">
        <v>59490</v>
      </c>
      <c r="K271" s="12">
        <v>241</v>
      </c>
      <c r="L271" s="4" t="s">
        <v>30</v>
      </c>
      <c r="M271" s="5" t="s">
        <v>31</v>
      </c>
      <c r="N271" s="31">
        <f t="shared" si="4"/>
        <v>4052</v>
      </c>
      <c r="O271" s="32">
        <f>IFERROR((Table1[[#This Row],[Likes]]+Table1[[#This Row],[Shares]]+Table1[[#This Row],[Comments]])/Table1[[#This Row],[Impressions]], 0)</f>
        <v>6.7103868574456813E-2</v>
      </c>
      <c r="P271" s="30" t="str" cm="1">
        <f t="array" ref="P271">IFERROR(INDEX('Campaign Metadata (2)'!$A$2:$A$10, MATCH(1, (C271&gt;='Campaign Metadata (2)'!$B$2:$B$10) * (C271&lt;='Campaign Metadata (2)'!$C$2:$C$10), 0)), "No Campaign")</f>
        <v>No Campaign</v>
      </c>
      <c r="Q271" s="33" t="e">
        <f>VLOOKUP(Table1[[#This Row],[Campaign_Name2]],Table3[#All],2,)</f>
        <v>#N/A</v>
      </c>
      <c r="R271" s="33" t="e">
        <f>VLOOKUP(Table1[[#This Row],[Campaign_Name2]],Table3[#All],3,FALSE)</f>
        <v>#N/A</v>
      </c>
      <c r="S271" s="30" t="e">
        <f>VLOOKUP(Table1[[#This Row],[Campaign_Name2]],Table3[],5,FALSE)</f>
        <v>#N/A</v>
      </c>
      <c r="T271" s="30">
        <f>IF(Table1[[#This Row],[Campaign_Name2]]="No Campaign", 0, Table1[[#This Row],[Budget]]/COUNTIF(Table1[Campaign_Name2],Table1[[#This Row],[Campaign_Name2]]))</f>
        <v>0</v>
      </c>
    </row>
    <row r="272" spans="1:20" ht="14.25" customHeight="1" x14ac:dyDescent="0.3">
      <c r="A272" s="3" t="s">
        <v>522</v>
      </c>
      <c r="B272" s="3" t="s">
        <v>33</v>
      </c>
      <c r="C272" s="11">
        <v>45582</v>
      </c>
      <c r="D272" s="3" t="s">
        <v>74</v>
      </c>
      <c r="E272" s="3" t="s">
        <v>85</v>
      </c>
      <c r="F272" s="12">
        <v>3575</v>
      </c>
      <c r="G272" s="12">
        <v>749</v>
      </c>
      <c r="H272" s="12">
        <v>111</v>
      </c>
      <c r="I272" s="12">
        <v>21450</v>
      </c>
      <c r="J272" s="12">
        <v>20785</v>
      </c>
      <c r="K272" s="12">
        <v>195</v>
      </c>
      <c r="L272" s="4" t="s">
        <v>37</v>
      </c>
      <c r="M272" s="5" t="s">
        <v>25</v>
      </c>
      <c r="N272" s="31">
        <f t="shared" si="4"/>
        <v>4435</v>
      </c>
      <c r="O272" s="32">
        <f>IFERROR((Table1[[#This Row],[Likes]]+Table1[[#This Row],[Shares]]+Table1[[#This Row],[Comments]])/Table1[[#This Row],[Impressions]], 0)</f>
        <v>0.20675990675990677</v>
      </c>
      <c r="P272" s="30" t="str" cm="1">
        <f t="array" ref="P272">IFERROR(INDEX('Campaign Metadata (2)'!$A$2:$A$10, MATCH(1, (C272&gt;='Campaign Metadata (2)'!$B$2:$B$10) * (C272&lt;='Campaign Metadata (2)'!$C$2:$C$10), 0)), "No Campaign")</f>
        <v>FestiveRadiance</v>
      </c>
      <c r="Q272" s="33">
        <f>VLOOKUP(Table1[[#This Row],[Campaign_Name2]],Table3[#All],2,)</f>
        <v>45566</v>
      </c>
      <c r="R272" s="33">
        <f>VLOOKUP(Table1[[#This Row],[Campaign_Name2]],Table3[#All],3,FALSE)</f>
        <v>45596</v>
      </c>
      <c r="S272" s="30">
        <f>VLOOKUP(Table1[[#This Row],[Campaign_Name2]],Table3[],5,FALSE)</f>
        <v>200000</v>
      </c>
      <c r="T272" s="30">
        <f>IF(Table1[[#This Row],[Campaign_Name2]]="No Campaign", 0, Table1[[#This Row],[Budget]]/COUNTIF(Table1[Campaign_Name2],Table1[[#This Row],[Campaign_Name2]]))</f>
        <v>5714.2857142857147</v>
      </c>
    </row>
    <row r="273" spans="1:20" ht="14.25" customHeight="1" x14ac:dyDescent="0.3">
      <c r="A273" s="3" t="s">
        <v>524</v>
      </c>
      <c r="B273" s="3" t="s">
        <v>33</v>
      </c>
      <c r="C273" s="11">
        <v>45743</v>
      </c>
      <c r="D273" s="3" t="s">
        <v>22</v>
      </c>
      <c r="E273" s="3" t="s">
        <v>113</v>
      </c>
      <c r="F273" s="12">
        <v>4941</v>
      </c>
      <c r="G273" s="12">
        <v>414</v>
      </c>
      <c r="H273" s="12">
        <v>266</v>
      </c>
      <c r="I273" s="12">
        <v>39528</v>
      </c>
      <c r="J273" s="12">
        <v>39154</v>
      </c>
      <c r="K273" s="12">
        <v>217</v>
      </c>
      <c r="L273" s="4" t="s">
        <v>30</v>
      </c>
      <c r="M273" s="5" t="s">
        <v>31</v>
      </c>
      <c r="N273" s="31">
        <f t="shared" si="4"/>
        <v>5621</v>
      </c>
      <c r="O273" s="32">
        <f>IFERROR((Table1[[#This Row],[Likes]]+Table1[[#This Row],[Shares]]+Table1[[#This Row],[Comments]])/Table1[[#This Row],[Impressions]], 0)</f>
        <v>0.14220299534507186</v>
      </c>
      <c r="P273" s="30" t="str" cm="1">
        <f t="array" ref="P273">IFERROR(INDEX('Campaign Metadata (2)'!$A$2:$A$10, MATCH(1, (C273&gt;='Campaign Metadata (2)'!$B$2:$B$10) * (C273&lt;='Campaign Metadata (2)'!$C$2:$C$10), 0)), "No Campaign")</f>
        <v>DailyWellness</v>
      </c>
      <c r="Q273" s="33">
        <f>VLOOKUP(Table1[[#This Row],[Campaign_Name2]],Table3[#All],2,)</f>
        <v>45717</v>
      </c>
      <c r="R273" s="33">
        <f>VLOOKUP(Table1[[#This Row],[Campaign_Name2]],Table3[#All],3,FALSE)</f>
        <v>45747</v>
      </c>
      <c r="S273" s="30">
        <f>VLOOKUP(Table1[[#This Row],[Campaign_Name2]],Table3[],5,FALSE)</f>
        <v>180000</v>
      </c>
      <c r="T273" s="30">
        <f>IF(Table1[[#This Row],[Campaign_Name2]]="No Campaign", 0, Table1[[#This Row],[Budget]]/COUNTIF(Table1[Campaign_Name2],Table1[[#This Row],[Campaign_Name2]]))</f>
        <v>5625</v>
      </c>
    </row>
    <row r="274" spans="1:20" ht="14.25" customHeight="1" x14ac:dyDescent="0.3">
      <c r="A274" s="3" t="s">
        <v>525</v>
      </c>
      <c r="B274" s="3" t="s">
        <v>27</v>
      </c>
      <c r="C274" s="11">
        <v>45577</v>
      </c>
      <c r="D274" s="3" t="s">
        <v>35</v>
      </c>
      <c r="E274" s="3" t="s">
        <v>154</v>
      </c>
      <c r="F274" s="12">
        <v>3641</v>
      </c>
      <c r="G274" s="12">
        <v>226</v>
      </c>
      <c r="H274" s="12">
        <v>46</v>
      </c>
      <c r="I274" s="12">
        <v>40051</v>
      </c>
      <c r="J274" s="12">
        <v>39319</v>
      </c>
      <c r="K274" s="12">
        <v>296</v>
      </c>
      <c r="L274" s="4" t="s">
        <v>37</v>
      </c>
      <c r="M274" s="5" t="s">
        <v>38</v>
      </c>
      <c r="N274" s="31">
        <f t="shared" si="4"/>
        <v>3913</v>
      </c>
      <c r="O274" s="32">
        <f>IFERROR((Table1[[#This Row],[Likes]]+Table1[[#This Row],[Shares]]+Table1[[#This Row],[Comments]])/Table1[[#This Row],[Impressions]], 0)</f>
        <v>9.7700431949264685E-2</v>
      </c>
      <c r="P274" s="30" t="str" cm="1">
        <f t="array" ref="P274">IFERROR(INDEX('Campaign Metadata (2)'!$A$2:$A$10, MATCH(1, (C274&gt;='Campaign Metadata (2)'!$B$2:$B$10) * (C274&lt;='Campaign Metadata (2)'!$C$2:$C$10), 0)), "No Campaign")</f>
        <v>FestiveRadiance</v>
      </c>
      <c r="Q274" s="33">
        <f>VLOOKUP(Table1[[#This Row],[Campaign_Name2]],Table3[#All],2,)</f>
        <v>45566</v>
      </c>
      <c r="R274" s="33">
        <f>VLOOKUP(Table1[[#This Row],[Campaign_Name2]],Table3[#All],3,FALSE)</f>
        <v>45596</v>
      </c>
      <c r="S274" s="30">
        <f>VLOOKUP(Table1[[#This Row],[Campaign_Name2]],Table3[],5,FALSE)</f>
        <v>200000</v>
      </c>
      <c r="T274" s="30">
        <f>IF(Table1[[#This Row],[Campaign_Name2]]="No Campaign", 0, Table1[[#This Row],[Budget]]/COUNTIF(Table1[Campaign_Name2],Table1[[#This Row],[Campaign_Name2]]))</f>
        <v>5714.2857142857147</v>
      </c>
    </row>
    <row r="275" spans="1:20" ht="14.25" customHeight="1" x14ac:dyDescent="0.3">
      <c r="A275" s="3" t="s">
        <v>527</v>
      </c>
      <c r="B275" s="3" t="s">
        <v>14</v>
      </c>
      <c r="C275" s="11">
        <v>45658</v>
      </c>
      <c r="D275" s="3" t="s">
        <v>45</v>
      </c>
      <c r="E275" s="3" t="s">
        <v>49</v>
      </c>
      <c r="F275" s="12">
        <v>3535</v>
      </c>
      <c r="G275" s="12">
        <v>494</v>
      </c>
      <c r="H275" s="12">
        <v>152</v>
      </c>
      <c r="I275" s="12">
        <v>53025</v>
      </c>
      <c r="J275" s="12">
        <v>52791</v>
      </c>
      <c r="K275" s="12">
        <v>44</v>
      </c>
      <c r="L275" s="4" t="s">
        <v>30</v>
      </c>
      <c r="M275" s="5" t="s">
        <v>38</v>
      </c>
      <c r="N275" s="31">
        <f t="shared" si="4"/>
        <v>4181</v>
      </c>
      <c r="O275" s="32">
        <f>IFERROR((Table1[[#This Row],[Likes]]+Table1[[#This Row],[Shares]]+Table1[[#This Row],[Comments]])/Table1[[#This Row],[Impressions]], 0)</f>
        <v>7.8849599245638849E-2</v>
      </c>
      <c r="P275" s="30" t="str" cm="1">
        <f t="array" ref="P275">IFERROR(INDEX('Campaign Metadata (2)'!$A$2:$A$10, MATCH(1, (C275&gt;='Campaign Metadata (2)'!$B$2:$B$10) * (C275&lt;='Campaign Metadata (2)'!$C$2:$C$10), 0)), "No Campaign")</f>
        <v>NewYearRefresh</v>
      </c>
      <c r="Q275" s="33">
        <f>VLOOKUP(Table1[[#This Row],[Campaign_Name2]],Table3[#All],2,)</f>
        <v>45651</v>
      </c>
      <c r="R275" s="33">
        <f>VLOOKUP(Table1[[#This Row],[Campaign_Name2]],Table3[#All],3,FALSE)</f>
        <v>45667</v>
      </c>
      <c r="S275" s="30">
        <f>VLOOKUP(Table1[[#This Row],[Campaign_Name2]],Table3[],5,FALSE)</f>
        <v>250000</v>
      </c>
      <c r="T275" s="30">
        <f>IF(Table1[[#This Row],[Campaign_Name2]]="No Campaign", 0, Table1[[#This Row],[Budget]]/COUNTIF(Table1[Campaign_Name2],Table1[[#This Row],[Campaign_Name2]]))</f>
        <v>25000</v>
      </c>
    </row>
    <row r="276" spans="1:20" ht="14.25" customHeight="1" x14ac:dyDescent="0.3">
      <c r="A276" s="3" t="s">
        <v>528</v>
      </c>
      <c r="B276" s="3" t="s">
        <v>43</v>
      </c>
      <c r="C276" s="11">
        <v>45509</v>
      </c>
      <c r="D276" s="3" t="s">
        <v>16</v>
      </c>
      <c r="E276" s="3" t="s">
        <v>65</v>
      </c>
      <c r="F276" s="12">
        <v>1741</v>
      </c>
      <c r="G276" s="12">
        <v>831</v>
      </c>
      <c r="H276" s="12">
        <v>345</v>
      </c>
      <c r="I276" s="12">
        <v>17410</v>
      </c>
      <c r="J276" s="12">
        <v>16844</v>
      </c>
      <c r="K276" s="12">
        <v>58</v>
      </c>
      <c r="L276" s="4" t="s">
        <v>37</v>
      </c>
      <c r="M276" s="5" t="s">
        <v>31</v>
      </c>
      <c r="N276" s="31">
        <f t="shared" si="4"/>
        <v>2917</v>
      </c>
      <c r="O276" s="32">
        <f>IFERROR((Table1[[#This Row],[Likes]]+Table1[[#This Row],[Shares]]+Table1[[#This Row],[Comments]])/Table1[[#This Row],[Impressions]], 0)</f>
        <v>0.16754738655944859</v>
      </c>
      <c r="P276" s="30" t="str" cm="1">
        <f t="array" ref="P276">IFERROR(INDEX('Campaign Metadata (2)'!$A$2:$A$10, MATCH(1, (C276&gt;='Campaign Metadata (2)'!$B$2:$B$10) * (C276&lt;='Campaign Metadata (2)'!$C$2:$C$10), 0)), "No Campaign")</f>
        <v>No Campaign</v>
      </c>
      <c r="Q276" s="33" t="e">
        <f>VLOOKUP(Table1[[#This Row],[Campaign_Name2]],Table3[#All],2,)</f>
        <v>#N/A</v>
      </c>
      <c r="R276" s="33" t="e">
        <f>VLOOKUP(Table1[[#This Row],[Campaign_Name2]],Table3[#All],3,FALSE)</f>
        <v>#N/A</v>
      </c>
      <c r="S276" s="30" t="e">
        <f>VLOOKUP(Table1[[#This Row],[Campaign_Name2]],Table3[],5,FALSE)</f>
        <v>#N/A</v>
      </c>
      <c r="T276" s="30">
        <f>IF(Table1[[#This Row],[Campaign_Name2]]="No Campaign", 0, Table1[[#This Row],[Budget]]/COUNTIF(Table1[Campaign_Name2],Table1[[#This Row],[Campaign_Name2]]))</f>
        <v>0</v>
      </c>
    </row>
    <row r="277" spans="1:20" ht="14.25" customHeight="1" x14ac:dyDescent="0.3">
      <c r="A277" s="3" t="s">
        <v>529</v>
      </c>
      <c r="B277" s="3" t="s">
        <v>14</v>
      </c>
      <c r="C277" s="11">
        <v>45450</v>
      </c>
      <c r="D277" s="3" t="s">
        <v>45</v>
      </c>
      <c r="E277" s="3" t="s">
        <v>49</v>
      </c>
      <c r="F277" s="12">
        <v>1556</v>
      </c>
      <c r="G277" s="12">
        <v>195</v>
      </c>
      <c r="H277" s="12">
        <v>131</v>
      </c>
      <c r="I277" s="12">
        <v>9336</v>
      </c>
      <c r="J277" s="12">
        <v>8875</v>
      </c>
      <c r="K277" s="12">
        <v>137</v>
      </c>
      <c r="L277" s="4" t="s">
        <v>30</v>
      </c>
      <c r="M277" s="5" t="s">
        <v>25</v>
      </c>
      <c r="N277" s="31">
        <f t="shared" si="4"/>
        <v>1882</v>
      </c>
      <c r="O277" s="32">
        <f>IFERROR((Table1[[#This Row],[Likes]]+Table1[[#This Row],[Shares]]+Table1[[#This Row],[Comments]])/Table1[[#This Row],[Impressions]], 0)</f>
        <v>0.2015852613538989</v>
      </c>
      <c r="P277" s="30" t="str" cm="1">
        <f t="array" ref="P277">IFERROR(INDEX('Campaign Metadata (2)'!$A$2:$A$10, MATCH(1, (C277&gt;='Campaign Metadata (2)'!$B$2:$B$10) * (C277&lt;='Campaign Metadata (2)'!$C$2:$C$10), 0)), "No Campaign")</f>
        <v>No Campaign</v>
      </c>
      <c r="Q277" s="33" t="e">
        <f>VLOOKUP(Table1[[#This Row],[Campaign_Name2]],Table3[#All],2,)</f>
        <v>#N/A</v>
      </c>
      <c r="R277" s="33" t="e">
        <f>VLOOKUP(Table1[[#This Row],[Campaign_Name2]],Table3[#All],3,FALSE)</f>
        <v>#N/A</v>
      </c>
      <c r="S277" s="30" t="e">
        <f>VLOOKUP(Table1[[#This Row],[Campaign_Name2]],Table3[],5,FALSE)</f>
        <v>#N/A</v>
      </c>
      <c r="T277" s="30">
        <f>IF(Table1[[#This Row],[Campaign_Name2]]="No Campaign", 0, Table1[[#This Row],[Budget]]/COUNTIF(Table1[Campaign_Name2],Table1[[#This Row],[Campaign_Name2]]))</f>
        <v>0</v>
      </c>
    </row>
    <row r="278" spans="1:20" ht="14.25" customHeight="1" x14ac:dyDescent="0.3">
      <c r="A278" s="3" t="s">
        <v>531</v>
      </c>
      <c r="B278" s="3" t="s">
        <v>43</v>
      </c>
      <c r="C278" s="11">
        <v>45753</v>
      </c>
      <c r="D278" s="3" t="s">
        <v>52</v>
      </c>
      <c r="E278" s="3" t="s">
        <v>59</v>
      </c>
      <c r="F278" s="12">
        <v>4236</v>
      </c>
      <c r="G278" s="12">
        <v>711</v>
      </c>
      <c r="H278" s="12">
        <v>298</v>
      </c>
      <c r="I278" s="12">
        <v>21180</v>
      </c>
      <c r="J278" s="12">
        <v>20516</v>
      </c>
      <c r="K278" s="12">
        <v>238</v>
      </c>
      <c r="L278" s="4" t="s">
        <v>62</v>
      </c>
      <c r="M278" s="5" t="s">
        <v>19</v>
      </c>
      <c r="N278" s="31">
        <f t="shared" si="4"/>
        <v>5245</v>
      </c>
      <c r="O278" s="32">
        <f>IFERROR((Table1[[#This Row],[Likes]]+Table1[[#This Row],[Shares]]+Table1[[#This Row],[Comments]])/Table1[[#This Row],[Impressions]], 0)</f>
        <v>0.24763928234183191</v>
      </c>
      <c r="P278" s="30" t="str" cm="1">
        <f t="array" ref="P278">IFERROR(INDEX('Campaign Metadata (2)'!$A$2:$A$10, MATCH(1, (C278&gt;='Campaign Metadata (2)'!$B$2:$B$10) * (C278&lt;='Campaign Metadata (2)'!$C$2:$C$10), 0)), "No Campaign")</f>
        <v>No Campaign</v>
      </c>
      <c r="Q278" s="33" t="e">
        <f>VLOOKUP(Table1[[#This Row],[Campaign_Name2]],Table3[#All],2,)</f>
        <v>#N/A</v>
      </c>
      <c r="R278" s="33" t="e">
        <f>VLOOKUP(Table1[[#This Row],[Campaign_Name2]],Table3[#All],3,FALSE)</f>
        <v>#N/A</v>
      </c>
      <c r="S278" s="30" t="e">
        <f>VLOOKUP(Table1[[#This Row],[Campaign_Name2]],Table3[],5,FALSE)</f>
        <v>#N/A</v>
      </c>
      <c r="T278" s="30">
        <f>IF(Table1[[#This Row],[Campaign_Name2]]="No Campaign", 0, Table1[[#This Row],[Budget]]/COUNTIF(Table1[Campaign_Name2],Table1[[#This Row],[Campaign_Name2]]))</f>
        <v>0</v>
      </c>
    </row>
    <row r="279" spans="1:20" ht="14.25" customHeight="1" x14ac:dyDescent="0.3">
      <c r="A279" s="3" t="s">
        <v>532</v>
      </c>
      <c r="B279" s="3" t="s">
        <v>14</v>
      </c>
      <c r="C279" s="11">
        <v>45622</v>
      </c>
      <c r="D279" s="3" t="s">
        <v>22</v>
      </c>
      <c r="E279" s="3" t="s">
        <v>23</v>
      </c>
      <c r="F279" s="12">
        <v>4516</v>
      </c>
      <c r="G279" s="12">
        <v>836</v>
      </c>
      <c r="H279" s="12">
        <v>169</v>
      </c>
      <c r="I279" s="12">
        <v>49676</v>
      </c>
      <c r="J279" s="12">
        <v>49257</v>
      </c>
      <c r="K279" s="12">
        <v>282</v>
      </c>
      <c r="L279" s="4" t="s">
        <v>37</v>
      </c>
      <c r="M279" s="5" t="s">
        <v>38</v>
      </c>
      <c r="N279" s="31">
        <f t="shared" si="4"/>
        <v>5521</v>
      </c>
      <c r="O279" s="32">
        <f>IFERROR((Table1[[#This Row],[Likes]]+Table1[[#This Row],[Shares]]+Table1[[#This Row],[Comments]])/Table1[[#This Row],[Impressions]], 0)</f>
        <v>0.11114018842096787</v>
      </c>
      <c r="P279" s="30" t="str" cm="1">
        <f t="array" ref="P279">IFERROR(INDEX('Campaign Metadata (2)'!$A$2:$A$10, MATCH(1, (C279&gt;='Campaign Metadata (2)'!$B$2:$B$10) * (C279&lt;='Campaign Metadata (2)'!$C$2:$C$10), 0)), "No Campaign")</f>
        <v>No Campaign</v>
      </c>
      <c r="Q279" s="33" t="e">
        <f>VLOOKUP(Table1[[#This Row],[Campaign_Name2]],Table3[#All],2,)</f>
        <v>#N/A</v>
      </c>
      <c r="R279" s="33" t="e">
        <f>VLOOKUP(Table1[[#This Row],[Campaign_Name2]],Table3[#All],3,FALSE)</f>
        <v>#N/A</v>
      </c>
      <c r="S279" s="30" t="e">
        <f>VLOOKUP(Table1[[#This Row],[Campaign_Name2]],Table3[],5,FALSE)</f>
        <v>#N/A</v>
      </c>
      <c r="T279" s="30">
        <f>IF(Table1[[#This Row],[Campaign_Name2]]="No Campaign", 0, Table1[[#This Row],[Budget]]/COUNTIF(Table1[Campaign_Name2],Table1[[#This Row],[Campaign_Name2]]))</f>
        <v>0</v>
      </c>
    </row>
    <row r="280" spans="1:20" ht="14.25" customHeight="1" x14ac:dyDescent="0.3">
      <c r="A280" s="3" t="s">
        <v>534</v>
      </c>
      <c r="B280" s="3" t="s">
        <v>27</v>
      </c>
      <c r="C280" s="11">
        <v>45537</v>
      </c>
      <c r="D280" s="3" t="s">
        <v>52</v>
      </c>
      <c r="E280" s="3" t="s">
        <v>53</v>
      </c>
      <c r="F280" s="12">
        <v>4905</v>
      </c>
      <c r="G280" s="12">
        <v>845</v>
      </c>
      <c r="H280" s="12">
        <v>129</v>
      </c>
      <c r="I280" s="12">
        <v>98100</v>
      </c>
      <c r="J280" s="12">
        <v>97772</v>
      </c>
      <c r="K280" s="12">
        <v>279</v>
      </c>
      <c r="L280" s="4" t="s">
        <v>30</v>
      </c>
      <c r="M280" s="5" t="s">
        <v>25</v>
      </c>
      <c r="N280" s="31">
        <f t="shared" si="4"/>
        <v>5879</v>
      </c>
      <c r="O280" s="32">
        <f>IFERROR((Table1[[#This Row],[Likes]]+Table1[[#This Row],[Shares]]+Table1[[#This Row],[Comments]])/Table1[[#This Row],[Impressions]], 0)</f>
        <v>5.9928644240570844E-2</v>
      </c>
      <c r="P280" s="30" t="str" cm="1">
        <f t="array" ref="P280">IFERROR(INDEX('Campaign Metadata (2)'!$A$2:$A$10, MATCH(1, (C280&gt;='Campaign Metadata (2)'!$B$2:$B$10) * (C280&lt;='Campaign Metadata (2)'!$C$2:$C$10), 0)), "No Campaign")</f>
        <v>No Campaign</v>
      </c>
      <c r="Q280" s="33" t="e">
        <f>VLOOKUP(Table1[[#This Row],[Campaign_Name2]],Table3[#All],2,)</f>
        <v>#N/A</v>
      </c>
      <c r="R280" s="33" t="e">
        <f>VLOOKUP(Table1[[#This Row],[Campaign_Name2]],Table3[#All],3,FALSE)</f>
        <v>#N/A</v>
      </c>
      <c r="S280" s="30" t="e">
        <f>VLOOKUP(Table1[[#This Row],[Campaign_Name2]],Table3[],5,FALSE)</f>
        <v>#N/A</v>
      </c>
      <c r="T280" s="30">
        <f>IF(Table1[[#This Row],[Campaign_Name2]]="No Campaign", 0, Table1[[#This Row],[Budget]]/COUNTIF(Table1[Campaign_Name2],Table1[[#This Row],[Campaign_Name2]]))</f>
        <v>0</v>
      </c>
    </row>
    <row r="281" spans="1:20" ht="14.25" customHeight="1" x14ac:dyDescent="0.3">
      <c r="A281" s="3" t="s">
        <v>535</v>
      </c>
      <c r="B281" s="3" t="s">
        <v>27</v>
      </c>
      <c r="C281" s="11">
        <v>45586</v>
      </c>
      <c r="D281" s="3" t="s">
        <v>74</v>
      </c>
      <c r="E281" s="3" t="s">
        <v>219</v>
      </c>
      <c r="F281" s="12">
        <v>4275</v>
      </c>
      <c r="G281" s="12">
        <v>680</v>
      </c>
      <c r="H281" s="12">
        <v>385</v>
      </c>
      <c r="I281" s="12">
        <v>64125</v>
      </c>
      <c r="J281" s="12">
        <v>63650</v>
      </c>
      <c r="K281" s="12">
        <v>104</v>
      </c>
      <c r="L281" s="4" t="s">
        <v>175</v>
      </c>
      <c r="M281" s="5" t="s">
        <v>38</v>
      </c>
      <c r="N281" s="31">
        <f t="shared" si="4"/>
        <v>5340</v>
      </c>
      <c r="O281" s="32">
        <f>IFERROR((Table1[[#This Row],[Likes]]+Table1[[#This Row],[Shares]]+Table1[[#This Row],[Comments]])/Table1[[#This Row],[Impressions]], 0)</f>
        <v>8.3274853801169585E-2</v>
      </c>
      <c r="P281" s="30" t="str" cm="1">
        <f t="array" ref="P281">IFERROR(INDEX('Campaign Metadata (2)'!$A$2:$A$10, MATCH(1, (C281&gt;='Campaign Metadata (2)'!$B$2:$B$10) * (C281&lt;='Campaign Metadata (2)'!$C$2:$C$10), 0)), "No Campaign")</f>
        <v>FestiveRadiance</v>
      </c>
      <c r="Q281" s="33">
        <f>VLOOKUP(Table1[[#This Row],[Campaign_Name2]],Table3[#All],2,)</f>
        <v>45566</v>
      </c>
      <c r="R281" s="33">
        <f>VLOOKUP(Table1[[#This Row],[Campaign_Name2]],Table3[#All],3,FALSE)</f>
        <v>45596</v>
      </c>
      <c r="S281" s="30">
        <f>VLOOKUP(Table1[[#This Row],[Campaign_Name2]],Table3[],5,FALSE)</f>
        <v>200000</v>
      </c>
      <c r="T281" s="30">
        <f>IF(Table1[[#This Row],[Campaign_Name2]]="No Campaign", 0, Table1[[#This Row],[Budget]]/COUNTIF(Table1[Campaign_Name2],Table1[[#This Row],[Campaign_Name2]]))</f>
        <v>5714.2857142857147</v>
      </c>
    </row>
    <row r="282" spans="1:20" ht="14.25" customHeight="1" x14ac:dyDescent="0.3">
      <c r="A282" s="3" t="s">
        <v>536</v>
      </c>
      <c r="B282" s="3" t="s">
        <v>27</v>
      </c>
      <c r="C282" s="11">
        <v>45738</v>
      </c>
      <c r="D282" s="3" t="s">
        <v>52</v>
      </c>
      <c r="E282" s="3" t="s">
        <v>53</v>
      </c>
      <c r="F282" s="12">
        <v>3166</v>
      </c>
      <c r="G282" s="12">
        <v>90</v>
      </c>
      <c r="H282" s="12">
        <v>341</v>
      </c>
      <c r="I282" s="12">
        <v>56988</v>
      </c>
      <c r="J282" s="12">
        <v>56125</v>
      </c>
      <c r="K282" s="12">
        <v>135</v>
      </c>
      <c r="L282" s="4" t="s">
        <v>37</v>
      </c>
      <c r="M282" s="5" t="s">
        <v>25</v>
      </c>
      <c r="N282" s="31">
        <f t="shared" si="4"/>
        <v>3597</v>
      </c>
      <c r="O282" s="32">
        <f>IFERROR((Table1[[#This Row],[Likes]]+Table1[[#This Row],[Shares]]+Table1[[#This Row],[Comments]])/Table1[[#This Row],[Impressions]], 0)</f>
        <v>6.3118551273952411E-2</v>
      </c>
      <c r="P282" s="30" t="str" cm="1">
        <f t="array" ref="P282">IFERROR(INDEX('Campaign Metadata (2)'!$A$2:$A$10, MATCH(1, (C282&gt;='Campaign Metadata (2)'!$B$2:$B$10) * (C282&lt;='Campaign Metadata (2)'!$C$2:$C$10), 0)), "No Campaign")</f>
        <v>DailyWellness</v>
      </c>
      <c r="Q282" s="33">
        <f>VLOOKUP(Table1[[#This Row],[Campaign_Name2]],Table3[#All],2,)</f>
        <v>45717</v>
      </c>
      <c r="R282" s="33">
        <f>VLOOKUP(Table1[[#This Row],[Campaign_Name2]],Table3[#All],3,FALSE)</f>
        <v>45747</v>
      </c>
      <c r="S282" s="30">
        <f>VLOOKUP(Table1[[#This Row],[Campaign_Name2]],Table3[],5,FALSE)</f>
        <v>180000</v>
      </c>
      <c r="T282" s="30">
        <f>IF(Table1[[#This Row],[Campaign_Name2]]="No Campaign", 0, Table1[[#This Row],[Budget]]/COUNTIF(Table1[Campaign_Name2],Table1[[#This Row],[Campaign_Name2]]))</f>
        <v>5625</v>
      </c>
    </row>
    <row r="283" spans="1:20" ht="14.25" customHeight="1" x14ac:dyDescent="0.3">
      <c r="A283" s="3" t="s">
        <v>538</v>
      </c>
      <c r="B283" s="3" t="s">
        <v>33</v>
      </c>
      <c r="C283" s="11">
        <v>45568</v>
      </c>
      <c r="D283" s="3" t="s">
        <v>74</v>
      </c>
      <c r="E283" s="3" t="s">
        <v>85</v>
      </c>
      <c r="F283" s="12">
        <v>1488</v>
      </c>
      <c r="G283" s="12">
        <v>417</v>
      </c>
      <c r="H283" s="12">
        <v>168</v>
      </c>
      <c r="I283" s="12">
        <v>19344</v>
      </c>
      <c r="J283" s="12">
        <v>18395</v>
      </c>
      <c r="K283" s="12">
        <v>30</v>
      </c>
      <c r="L283" s="4" t="s">
        <v>62</v>
      </c>
      <c r="M283" s="5" t="s">
        <v>31</v>
      </c>
      <c r="N283" s="31">
        <f t="shared" si="4"/>
        <v>2073</v>
      </c>
      <c r="O283" s="32">
        <f>IFERROR((Table1[[#This Row],[Likes]]+Table1[[#This Row],[Shares]]+Table1[[#This Row],[Comments]])/Table1[[#This Row],[Impressions]], 0)</f>
        <v>0.1071650124069479</v>
      </c>
      <c r="P283" s="30" t="str" cm="1">
        <f t="array" ref="P283">IFERROR(INDEX('Campaign Metadata (2)'!$A$2:$A$10, MATCH(1, (C283&gt;='Campaign Metadata (2)'!$B$2:$B$10) * (C283&lt;='Campaign Metadata (2)'!$C$2:$C$10), 0)), "No Campaign")</f>
        <v>FestiveRadiance</v>
      </c>
      <c r="Q283" s="33">
        <f>VLOOKUP(Table1[[#This Row],[Campaign_Name2]],Table3[#All],2,)</f>
        <v>45566</v>
      </c>
      <c r="R283" s="33">
        <f>VLOOKUP(Table1[[#This Row],[Campaign_Name2]],Table3[#All],3,FALSE)</f>
        <v>45596</v>
      </c>
      <c r="S283" s="30">
        <f>VLOOKUP(Table1[[#This Row],[Campaign_Name2]],Table3[],5,FALSE)</f>
        <v>200000</v>
      </c>
      <c r="T283" s="30">
        <f>IF(Table1[[#This Row],[Campaign_Name2]]="No Campaign", 0, Table1[[#This Row],[Budget]]/COUNTIF(Table1[Campaign_Name2],Table1[[#This Row],[Campaign_Name2]]))</f>
        <v>5714.2857142857147</v>
      </c>
    </row>
    <row r="284" spans="1:20" ht="14.25" customHeight="1" x14ac:dyDescent="0.3">
      <c r="A284" s="3" t="s">
        <v>540</v>
      </c>
      <c r="B284" s="3" t="s">
        <v>14</v>
      </c>
      <c r="C284" s="11">
        <v>45786</v>
      </c>
      <c r="D284" s="3" t="s">
        <v>16</v>
      </c>
      <c r="E284" s="3" t="s">
        <v>17</v>
      </c>
      <c r="F284" s="12">
        <v>3367</v>
      </c>
      <c r="G284" s="12">
        <v>302</v>
      </c>
      <c r="H284" s="12">
        <v>57</v>
      </c>
      <c r="I284" s="12">
        <v>63973</v>
      </c>
      <c r="J284" s="12">
        <v>63789</v>
      </c>
      <c r="K284" s="12">
        <v>157</v>
      </c>
      <c r="L284" s="4" t="s">
        <v>62</v>
      </c>
      <c r="M284" s="5" t="s">
        <v>25</v>
      </c>
      <c r="N284" s="31">
        <f t="shared" si="4"/>
        <v>3726</v>
      </c>
      <c r="O284" s="32">
        <f>IFERROR((Table1[[#This Row],[Likes]]+Table1[[#This Row],[Shares]]+Table1[[#This Row],[Comments]])/Table1[[#This Row],[Impressions]], 0)</f>
        <v>5.8243321401216137E-2</v>
      </c>
      <c r="P284" s="30" t="str" cm="1">
        <f t="array" ref="P284">IFERROR(INDEX('Campaign Metadata (2)'!$A$2:$A$10, MATCH(1, (C284&gt;='Campaign Metadata (2)'!$B$2:$B$10) * (C284&lt;='Campaign Metadata (2)'!$C$2:$C$10), 0)), "No Campaign")</f>
        <v>No Campaign</v>
      </c>
      <c r="Q284" s="33" t="e">
        <f>VLOOKUP(Table1[[#This Row],[Campaign_Name2]],Table3[#All],2,)</f>
        <v>#N/A</v>
      </c>
      <c r="R284" s="33" t="e">
        <f>VLOOKUP(Table1[[#This Row],[Campaign_Name2]],Table3[#All],3,FALSE)</f>
        <v>#N/A</v>
      </c>
      <c r="S284" s="30" t="e">
        <f>VLOOKUP(Table1[[#This Row],[Campaign_Name2]],Table3[],5,FALSE)</f>
        <v>#N/A</v>
      </c>
      <c r="T284" s="30">
        <f>IF(Table1[[#This Row],[Campaign_Name2]]="No Campaign", 0, Table1[[#This Row],[Budget]]/COUNTIF(Table1[Campaign_Name2],Table1[[#This Row],[Campaign_Name2]]))</f>
        <v>0</v>
      </c>
    </row>
    <row r="285" spans="1:20" ht="14.25" customHeight="1" x14ac:dyDescent="0.3">
      <c r="A285" s="3" t="s">
        <v>542</v>
      </c>
      <c r="B285" s="3" t="s">
        <v>14</v>
      </c>
      <c r="C285" s="11">
        <v>45552</v>
      </c>
      <c r="D285" s="3" t="s">
        <v>22</v>
      </c>
      <c r="E285" s="3" t="s">
        <v>23</v>
      </c>
      <c r="F285" s="12">
        <v>571</v>
      </c>
      <c r="G285" s="12">
        <v>190</v>
      </c>
      <c r="H285" s="12">
        <v>352</v>
      </c>
      <c r="I285" s="12">
        <v>9707</v>
      </c>
      <c r="J285" s="12">
        <v>9418</v>
      </c>
      <c r="K285" s="12">
        <v>231</v>
      </c>
      <c r="L285" s="4" t="s">
        <v>30</v>
      </c>
      <c r="M285" s="5" t="s">
        <v>38</v>
      </c>
      <c r="N285" s="31">
        <f t="shared" si="4"/>
        <v>1113</v>
      </c>
      <c r="O285" s="32">
        <f>IFERROR((Table1[[#This Row],[Likes]]+Table1[[#This Row],[Shares]]+Table1[[#This Row],[Comments]])/Table1[[#This Row],[Impressions]], 0)</f>
        <v>0.11465952405480581</v>
      </c>
      <c r="P285" s="30" t="str" cm="1">
        <f t="array" ref="P285">IFERROR(INDEX('Campaign Metadata (2)'!$A$2:$A$10, MATCH(1, (C285&gt;='Campaign Metadata (2)'!$B$2:$B$10) * (C285&lt;='Campaign Metadata (2)'!$C$2:$C$10), 0)), "No Campaign")</f>
        <v>No Campaign</v>
      </c>
      <c r="Q285" s="33" t="e">
        <f>VLOOKUP(Table1[[#This Row],[Campaign_Name2]],Table3[#All],2,)</f>
        <v>#N/A</v>
      </c>
      <c r="R285" s="33" t="e">
        <f>VLOOKUP(Table1[[#This Row],[Campaign_Name2]],Table3[#All],3,FALSE)</f>
        <v>#N/A</v>
      </c>
      <c r="S285" s="30" t="e">
        <f>VLOOKUP(Table1[[#This Row],[Campaign_Name2]],Table3[],5,FALSE)</f>
        <v>#N/A</v>
      </c>
      <c r="T285" s="30">
        <f>IF(Table1[[#This Row],[Campaign_Name2]]="No Campaign", 0, Table1[[#This Row],[Budget]]/COUNTIF(Table1[Campaign_Name2],Table1[[#This Row],[Campaign_Name2]]))</f>
        <v>0</v>
      </c>
    </row>
    <row r="286" spans="1:20" ht="14.25" customHeight="1" x14ac:dyDescent="0.3">
      <c r="A286" s="3" t="s">
        <v>543</v>
      </c>
      <c r="B286" s="3" t="s">
        <v>27</v>
      </c>
      <c r="C286" s="11">
        <v>45491</v>
      </c>
      <c r="D286" s="3" t="s">
        <v>22</v>
      </c>
      <c r="E286" s="3" t="s">
        <v>104</v>
      </c>
      <c r="F286" s="12">
        <v>4021</v>
      </c>
      <c r="G286" s="12">
        <v>794</v>
      </c>
      <c r="H286" s="12">
        <v>77</v>
      </c>
      <c r="I286" s="12">
        <v>36189</v>
      </c>
      <c r="J286" s="12">
        <v>35505</v>
      </c>
      <c r="K286" s="12">
        <v>174</v>
      </c>
      <c r="L286" s="4" t="s">
        <v>37</v>
      </c>
      <c r="M286" s="5"/>
      <c r="N286" s="31">
        <f t="shared" si="4"/>
        <v>4892</v>
      </c>
      <c r="O286" s="32">
        <f>IFERROR((Table1[[#This Row],[Likes]]+Table1[[#This Row],[Shares]]+Table1[[#This Row],[Comments]])/Table1[[#This Row],[Impressions]], 0)</f>
        <v>0.13517919809886983</v>
      </c>
      <c r="P286" s="30" t="str" cm="1">
        <f t="array" ref="P286">IFERROR(INDEX('Campaign Metadata (2)'!$A$2:$A$10, MATCH(1, (C286&gt;='Campaign Metadata (2)'!$B$2:$B$10) * (C286&lt;='Campaign Metadata (2)'!$C$2:$C$10), 0)), "No Campaign")</f>
        <v>No Campaign</v>
      </c>
      <c r="Q286" s="33" t="e">
        <f>VLOOKUP(Table1[[#This Row],[Campaign_Name2]],Table3[#All],2,)</f>
        <v>#N/A</v>
      </c>
      <c r="R286" s="33" t="e">
        <f>VLOOKUP(Table1[[#This Row],[Campaign_Name2]],Table3[#All],3,FALSE)</f>
        <v>#N/A</v>
      </c>
      <c r="S286" s="30" t="e">
        <f>VLOOKUP(Table1[[#This Row],[Campaign_Name2]],Table3[],5,FALSE)</f>
        <v>#N/A</v>
      </c>
      <c r="T286" s="30">
        <f>IF(Table1[[#This Row],[Campaign_Name2]]="No Campaign", 0, Table1[[#This Row],[Budget]]/COUNTIF(Table1[Campaign_Name2],Table1[[#This Row],[Campaign_Name2]]))</f>
        <v>0</v>
      </c>
    </row>
    <row r="287" spans="1:20" ht="14.25" customHeight="1" x14ac:dyDescent="0.3">
      <c r="A287" s="3" t="s">
        <v>544</v>
      </c>
      <c r="B287" s="3" t="s">
        <v>27</v>
      </c>
      <c r="C287" s="11">
        <v>45560</v>
      </c>
      <c r="D287" s="3" t="s">
        <v>74</v>
      </c>
      <c r="E287" s="3" t="s">
        <v>219</v>
      </c>
      <c r="F287" s="12">
        <v>3389</v>
      </c>
      <c r="G287" s="12">
        <v>344</v>
      </c>
      <c r="H287" s="12">
        <v>229</v>
      </c>
      <c r="I287" s="12">
        <v>20334</v>
      </c>
      <c r="J287" s="12">
        <v>19443</v>
      </c>
      <c r="K287" s="12">
        <v>228</v>
      </c>
      <c r="L287" s="4" t="s">
        <v>62</v>
      </c>
      <c r="M287" s="5" t="s">
        <v>31</v>
      </c>
      <c r="N287" s="31">
        <f t="shared" si="4"/>
        <v>3962</v>
      </c>
      <c r="O287" s="32">
        <f>IFERROR((Table1[[#This Row],[Likes]]+Table1[[#This Row],[Shares]]+Table1[[#This Row],[Comments]])/Table1[[#This Row],[Impressions]], 0)</f>
        <v>0.19484607062063539</v>
      </c>
      <c r="P287" s="30" t="str" cm="1">
        <f t="array" ref="P287">IFERROR(INDEX('Campaign Metadata (2)'!$A$2:$A$10, MATCH(1, (C287&gt;='Campaign Metadata (2)'!$B$2:$B$10) * (C287&lt;='Campaign Metadata (2)'!$C$2:$C$10), 0)), "No Campaign")</f>
        <v>No Campaign</v>
      </c>
      <c r="Q287" s="33" t="e">
        <f>VLOOKUP(Table1[[#This Row],[Campaign_Name2]],Table3[#All],2,)</f>
        <v>#N/A</v>
      </c>
      <c r="R287" s="33" t="e">
        <f>VLOOKUP(Table1[[#This Row],[Campaign_Name2]],Table3[#All],3,FALSE)</f>
        <v>#N/A</v>
      </c>
      <c r="S287" s="30" t="e">
        <f>VLOOKUP(Table1[[#This Row],[Campaign_Name2]],Table3[],5,FALSE)</f>
        <v>#N/A</v>
      </c>
      <c r="T287" s="30">
        <f>IF(Table1[[#This Row],[Campaign_Name2]]="No Campaign", 0, Table1[[#This Row],[Budget]]/COUNTIF(Table1[Campaign_Name2],Table1[[#This Row],[Campaign_Name2]]))</f>
        <v>0</v>
      </c>
    </row>
    <row r="288" spans="1:20" ht="14.25" customHeight="1" x14ac:dyDescent="0.3">
      <c r="A288" s="3" t="s">
        <v>546</v>
      </c>
      <c r="B288" s="3" t="s">
        <v>33</v>
      </c>
      <c r="C288" s="11">
        <v>45519</v>
      </c>
      <c r="D288" s="3" t="s">
        <v>16</v>
      </c>
      <c r="E288" s="3" t="s">
        <v>82</v>
      </c>
      <c r="F288" s="12">
        <v>1164</v>
      </c>
      <c r="G288" s="12">
        <v>616</v>
      </c>
      <c r="H288" s="12">
        <v>324</v>
      </c>
      <c r="I288" s="12">
        <v>6984</v>
      </c>
      <c r="J288" s="12">
        <v>6636</v>
      </c>
      <c r="K288" s="12">
        <v>82</v>
      </c>
      <c r="L288" s="4" t="s">
        <v>37</v>
      </c>
      <c r="M288" s="5" t="s">
        <v>19</v>
      </c>
      <c r="N288" s="31">
        <f t="shared" si="4"/>
        <v>2104</v>
      </c>
      <c r="O288" s="32">
        <f>IFERROR((Table1[[#This Row],[Likes]]+Table1[[#This Row],[Shares]]+Table1[[#This Row],[Comments]])/Table1[[#This Row],[Impressions]], 0)</f>
        <v>0.30126002290950743</v>
      </c>
      <c r="P288" s="30" t="str" cm="1">
        <f t="array" ref="P288">IFERROR(INDEX('Campaign Metadata (2)'!$A$2:$A$10, MATCH(1, (C288&gt;='Campaign Metadata (2)'!$B$2:$B$10) * (C288&lt;='Campaign Metadata (2)'!$C$2:$C$10), 0)), "No Campaign")</f>
        <v>No Campaign</v>
      </c>
      <c r="Q288" s="33" t="e">
        <f>VLOOKUP(Table1[[#This Row],[Campaign_Name2]],Table3[#All],2,)</f>
        <v>#N/A</v>
      </c>
      <c r="R288" s="33" t="e">
        <f>VLOOKUP(Table1[[#This Row],[Campaign_Name2]],Table3[#All],3,FALSE)</f>
        <v>#N/A</v>
      </c>
      <c r="S288" s="30" t="e">
        <f>VLOOKUP(Table1[[#This Row],[Campaign_Name2]],Table3[],5,FALSE)</f>
        <v>#N/A</v>
      </c>
      <c r="T288" s="30">
        <f>IF(Table1[[#This Row],[Campaign_Name2]]="No Campaign", 0, Table1[[#This Row],[Budget]]/COUNTIF(Table1[Campaign_Name2],Table1[[#This Row],[Campaign_Name2]]))</f>
        <v>0</v>
      </c>
    </row>
    <row r="289" spans="1:20" ht="14.25" customHeight="1" x14ac:dyDescent="0.3">
      <c r="A289" s="3" t="s">
        <v>547</v>
      </c>
      <c r="B289" s="3" t="s">
        <v>27</v>
      </c>
      <c r="C289" s="11">
        <v>45764</v>
      </c>
      <c r="D289" s="3" t="s">
        <v>45</v>
      </c>
      <c r="E289" s="3" t="s">
        <v>68</v>
      </c>
      <c r="F289" s="12">
        <v>4780</v>
      </c>
      <c r="G289" s="12">
        <v>691</v>
      </c>
      <c r="H289" s="12">
        <v>380</v>
      </c>
      <c r="I289" s="12">
        <v>86040</v>
      </c>
      <c r="J289" s="12">
        <v>85743</v>
      </c>
      <c r="K289" s="12">
        <v>262</v>
      </c>
      <c r="L289" s="4" t="s">
        <v>62</v>
      </c>
      <c r="M289" s="5" t="s">
        <v>31</v>
      </c>
      <c r="N289" s="31">
        <f t="shared" si="4"/>
        <v>5851</v>
      </c>
      <c r="O289" s="32">
        <f>IFERROR((Table1[[#This Row],[Likes]]+Table1[[#This Row],[Shares]]+Table1[[#This Row],[Comments]])/Table1[[#This Row],[Impressions]], 0)</f>
        <v>6.800325430032543E-2</v>
      </c>
      <c r="P289" s="30" t="str" cm="1">
        <f t="array" ref="P289">IFERROR(INDEX('Campaign Metadata (2)'!$A$2:$A$10, MATCH(1, (C289&gt;='Campaign Metadata (2)'!$B$2:$B$10) * (C289&lt;='Campaign Metadata (2)'!$C$2:$C$10), 0)), "No Campaign")</f>
        <v>No Campaign</v>
      </c>
      <c r="Q289" s="33" t="e">
        <f>VLOOKUP(Table1[[#This Row],[Campaign_Name2]],Table3[#All],2,)</f>
        <v>#N/A</v>
      </c>
      <c r="R289" s="33" t="e">
        <f>VLOOKUP(Table1[[#This Row],[Campaign_Name2]],Table3[#All],3,FALSE)</f>
        <v>#N/A</v>
      </c>
      <c r="S289" s="30" t="e">
        <f>VLOOKUP(Table1[[#This Row],[Campaign_Name2]],Table3[],5,FALSE)</f>
        <v>#N/A</v>
      </c>
      <c r="T289" s="30">
        <f>IF(Table1[[#This Row],[Campaign_Name2]]="No Campaign", 0, Table1[[#This Row],[Budget]]/COUNTIF(Table1[Campaign_Name2],Table1[[#This Row],[Campaign_Name2]]))</f>
        <v>0</v>
      </c>
    </row>
    <row r="290" spans="1:20" ht="14.25" customHeight="1" x14ac:dyDescent="0.3">
      <c r="A290" s="3" t="s">
        <v>549</v>
      </c>
      <c r="B290" s="3" t="s">
        <v>43</v>
      </c>
      <c r="C290" s="11">
        <v>45624</v>
      </c>
      <c r="D290" s="3" t="s">
        <v>45</v>
      </c>
      <c r="E290" s="3" t="s">
        <v>46</v>
      </c>
      <c r="F290" s="12">
        <v>2751</v>
      </c>
      <c r="G290" s="12">
        <v>33</v>
      </c>
      <c r="H290" s="12">
        <v>430</v>
      </c>
      <c r="I290" s="12">
        <v>44016</v>
      </c>
      <c r="J290" s="12">
        <v>43415</v>
      </c>
      <c r="K290" s="12">
        <v>129</v>
      </c>
      <c r="L290" s="4" t="s">
        <v>62</v>
      </c>
      <c r="M290" s="5"/>
      <c r="N290" s="31">
        <f t="shared" si="4"/>
        <v>3214</v>
      </c>
      <c r="O290" s="32">
        <f>IFERROR((Table1[[#This Row],[Likes]]+Table1[[#This Row],[Shares]]+Table1[[#This Row],[Comments]])/Table1[[#This Row],[Impressions]], 0)</f>
        <v>7.3018902217375503E-2</v>
      </c>
      <c r="P290" s="30" t="str" cm="1">
        <f t="array" ref="P290">IFERROR(INDEX('Campaign Metadata (2)'!$A$2:$A$10, MATCH(1, (C290&gt;='Campaign Metadata (2)'!$B$2:$B$10) * (C290&lt;='Campaign Metadata (2)'!$C$2:$C$10), 0)), "No Campaign")</f>
        <v>No Campaign</v>
      </c>
      <c r="Q290" s="33" t="e">
        <f>VLOOKUP(Table1[[#This Row],[Campaign_Name2]],Table3[#All],2,)</f>
        <v>#N/A</v>
      </c>
      <c r="R290" s="33" t="e">
        <f>VLOOKUP(Table1[[#This Row],[Campaign_Name2]],Table3[#All],3,FALSE)</f>
        <v>#N/A</v>
      </c>
      <c r="S290" s="30" t="e">
        <f>VLOOKUP(Table1[[#This Row],[Campaign_Name2]],Table3[],5,FALSE)</f>
        <v>#N/A</v>
      </c>
      <c r="T290" s="30">
        <f>IF(Table1[[#This Row],[Campaign_Name2]]="No Campaign", 0, Table1[[#This Row],[Budget]]/COUNTIF(Table1[Campaign_Name2],Table1[[#This Row],[Campaign_Name2]]))</f>
        <v>0</v>
      </c>
    </row>
    <row r="291" spans="1:20" ht="14.25" customHeight="1" x14ac:dyDescent="0.3">
      <c r="A291" s="3" t="s">
        <v>550</v>
      </c>
      <c r="B291" s="3" t="s">
        <v>33</v>
      </c>
      <c r="C291" s="11">
        <v>45646</v>
      </c>
      <c r="D291" s="3" t="s">
        <v>45</v>
      </c>
      <c r="E291" s="3" t="s">
        <v>88</v>
      </c>
      <c r="F291" s="12">
        <v>2107</v>
      </c>
      <c r="G291" s="12">
        <v>550</v>
      </c>
      <c r="H291" s="12">
        <v>349</v>
      </c>
      <c r="I291" s="12">
        <v>35819</v>
      </c>
      <c r="J291" s="12">
        <v>35340</v>
      </c>
      <c r="K291" s="12">
        <v>191</v>
      </c>
      <c r="L291" s="4" t="s">
        <v>37</v>
      </c>
      <c r="M291" s="5" t="s">
        <v>38</v>
      </c>
      <c r="N291" s="31">
        <f t="shared" si="4"/>
        <v>3006</v>
      </c>
      <c r="O291" s="32">
        <f>IFERROR((Table1[[#This Row],[Likes]]+Table1[[#This Row],[Shares]]+Table1[[#This Row],[Comments]])/Table1[[#This Row],[Impressions]], 0)</f>
        <v>8.3921940869371006E-2</v>
      </c>
      <c r="P291" s="30" t="str" cm="1">
        <f t="array" ref="P291">IFERROR(INDEX('Campaign Metadata (2)'!$A$2:$A$10, MATCH(1, (C291&gt;='Campaign Metadata (2)'!$B$2:$B$10) * (C291&lt;='Campaign Metadata (2)'!$C$2:$C$10), 0)), "No Campaign")</f>
        <v>No Campaign</v>
      </c>
      <c r="Q291" s="33" t="e">
        <f>VLOOKUP(Table1[[#This Row],[Campaign_Name2]],Table3[#All],2,)</f>
        <v>#N/A</v>
      </c>
      <c r="R291" s="33" t="e">
        <f>VLOOKUP(Table1[[#This Row],[Campaign_Name2]],Table3[#All],3,FALSE)</f>
        <v>#N/A</v>
      </c>
      <c r="S291" s="30" t="e">
        <f>VLOOKUP(Table1[[#This Row],[Campaign_Name2]],Table3[],5,FALSE)</f>
        <v>#N/A</v>
      </c>
      <c r="T291" s="30">
        <f>IF(Table1[[#This Row],[Campaign_Name2]]="No Campaign", 0, Table1[[#This Row],[Budget]]/COUNTIF(Table1[Campaign_Name2],Table1[[#This Row],[Campaign_Name2]]))</f>
        <v>0</v>
      </c>
    </row>
    <row r="292" spans="1:20" ht="14.25" customHeight="1" x14ac:dyDescent="0.3">
      <c r="A292" s="3" t="s">
        <v>552</v>
      </c>
      <c r="B292" s="3" t="s">
        <v>43</v>
      </c>
      <c r="C292" s="11">
        <v>45602</v>
      </c>
      <c r="D292" s="3" t="s">
        <v>74</v>
      </c>
      <c r="E292" s="3" t="s">
        <v>75</v>
      </c>
      <c r="F292" s="12">
        <v>4663</v>
      </c>
      <c r="G292" s="12">
        <v>145</v>
      </c>
      <c r="H292" s="12">
        <v>225</v>
      </c>
      <c r="I292" s="12">
        <v>69945</v>
      </c>
      <c r="J292" s="12">
        <v>69596</v>
      </c>
      <c r="K292" s="12">
        <v>35</v>
      </c>
      <c r="L292" s="4" t="s">
        <v>37</v>
      </c>
      <c r="M292" s="5" t="s">
        <v>38</v>
      </c>
      <c r="N292" s="31">
        <f t="shared" si="4"/>
        <v>5033</v>
      </c>
      <c r="O292" s="32">
        <f>IFERROR((Table1[[#This Row],[Likes]]+Table1[[#This Row],[Shares]]+Table1[[#This Row],[Comments]])/Table1[[#This Row],[Impressions]], 0)</f>
        <v>7.1956537279290869E-2</v>
      </c>
      <c r="P292" s="30" t="str" cm="1">
        <f t="array" ref="P292">IFERROR(INDEX('Campaign Metadata (2)'!$A$2:$A$10, MATCH(1, (C292&gt;='Campaign Metadata (2)'!$B$2:$B$10) * (C292&lt;='Campaign Metadata (2)'!$C$2:$C$10), 0)), "No Campaign")</f>
        <v>No Campaign</v>
      </c>
      <c r="Q292" s="33" t="e">
        <f>VLOOKUP(Table1[[#This Row],[Campaign_Name2]],Table3[#All],2,)</f>
        <v>#N/A</v>
      </c>
      <c r="R292" s="33" t="e">
        <f>VLOOKUP(Table1[[#This Row],[Campaign_Name2]],Table3[#All],3,FALSE)</f>
        <v>#N/A</v>
      </c>
      <c r="S292" s="30" t="e">
        <f>VLOOKUP(Table1[[#This Row],[Campaign_Name2]],Table3[],5,FALSE)</f>
        <v>#N/A</v>
      </c>
      <c r="T292" s="30">
        <f>IF(Table1[[#This Row],[Campaign_Name2]]="No Campaign", 0, Table1[[#This Row],[Budget]]/COUNTIF(Table1[Campaign_Name2],Table1[[#This Row],[Campaign_Name2]]))</f>
        <v>0</v>
      </c>
    </row>
    <row r="293" spans="1:20" ht="14.25" customHeight="1" x14ac:dyDescent="0.3">
      <c r="A293" s="3" t="s">
        <v>553</v>
      </c>
      <c r="B293" s="3" t="s">
        <v>43</v>
      </c>
      <c r="C293" s="11">
        <v>45613</v>
      </c>
      <c r="D293" s="3" t="s">
        <v>22</v>
      </c>
      <c r="E293" s="3" t="s">
        <v>56</v>
      </c>
      <c r="F293" s="12">
        <v>880</v>
      </c>
      <c r="G293" s="12">
        <v>297</v>
      </c>
      <c r="H293" s="12">
        <v>345</v>
      </c>
      <c r="I293" s="12">
        <v>12320</v>
      </c>
      <c r="J293" s="12">
        <v>11978</v>
      </c>
      <c r="K293" s="12">
        <v>238</v>
      </c>
      <c r="L293" s="4" t="s">
        <v>95</v>
      </c>
      <c r="M293" s="5"/>
      <c r="N293" s="31">
        <f t="shared" si="4"/>
        <v>1522</v>
      </c>
      <c r="O293" s="32">
        <f>IFERROR((Table1[[#This Row],[Likes]]+Table1[[#This Row],[Shares]]+Table1[[#This Row],[Comments]])/Table1[[#This Row],[Impressions]], 0)</f>
        <v>0.12353896103896105</v>
      </c>
      <c r="P293" s="30" t="str" cm="1">
        <f t="array" ref="P293">IFERROR(INDEX('Campaign Metadata (2)'!$A$2:$A$10, MATCH(1, (C293&gt;='Campaign Metadata (2)'!$B$2:$B$10) * (C293&lt;='Campaign Metadata (2)'!$C$2:$C$10), 0)), "No Campaign")</f>
        <v>No Campaign</v>
      </c>
      <c r="Q293" s="33" t="e">
        <f>VLOOKUP(Table1[[#This Row],[Campaign_Name2]],Table3[#All],2,)</f>
        <v>#N/A</v>
      </c>
      <c r="R293" s="33" t="e">
        <f>VLOOKUP(Table1[[#This Row],[Campaign_Name2]],Table3[#All],3,FALSE)</f>
        <v>#N/A</v>
      </c>
      <c r="S293" s="30" t="e">
        <f>VLOOKUP(Table1[[#This Row],[Campaign_Name2]],Table3[],5,FALSE)</f>
        <v>#N/A</v>
      </c>
      <c r="T293" s="30">
        <f>IF(Table1[[#This Row],[Campaign_Name2]]="No Campaign", 0, Table1[[#This Row],[Budget]]/COUNTIF(Table1[Campaign_Name2],Table1[[#This Row],[Campaign_Name2]]))</f>
        <v>0</v>
      </c>
    </row>
    <row r="294" spans="1:20" ht="14.25" customHeight="1" x14ac:dyDescent="0.3">
      <c r="A294" s="3" t="s">
        <v>555</v>
      </c>
      <c r="B294" s="3" t="s">
        <v>43</v>
      </c>
      <c r="C294" s="11">
        <v>45791</v>
      </c>
      <c r="D294" s="3" t="s">
        <v>22</v>
      </c>
      <c r="E294" s="3" t="s">
        <v>56</v>
      </c>
      <c r="F294" s="12">
        <v>2634</v>
      </c>
      <c r="G294" s="12">
        <v>726</v>
      </c>
      <c r="H294" s="12">
        <v>241</v>
      </c>
      <c r="I294" s="12">
        <v>28974</v>
      </c>
      <c r="J294" s="12">
        <v>28102</v>
      </c>
      <c r="K294" s="12">
        <v>277</v>
      </c>
      <c r="L294" s="4" t="s">
        <v>37</v>
      </c>
      <c r="M294" s="5" t="s">
        <v>19</v>
      </c>
      <c r="N294" s="31">
        <f t="shared" si="4"/>
        <v>3601</v>
      </c>
      <c r="O294" s="32">
        <f>IFERROR((Table1[[#This Row],[Likes]]+Table1[[#This Row],[Shares]]+Table1[[#This Row],[Comments]])/Table1[[#This Row],[Impressions]], 0)</f>
        <v>0.12428384068475185</v>
      </c>
      <c r="P294" s="30" t="str" cm="1">
        <f t="array" ref="P294">IFERROR(INDEX('Campaign Metadata (2)'!$A$2:$A$10, MATCH(1, (C294&gt;='Campaign Metadata (2)'!$B$2:$B$10) * (C294&lt;='Campaign Metadata (2)'!$C$2:$C$10), 0)), "No Campaign")</f>
        <v>No Campaign</v>
      </c>
      <c r="Q294" s="33" t="e">
        <f>VLOOKUP(Table1[[#This Row],[Campaign_Name2]],Table3[#All],2,)</f>
        <v>#N/A</v>
      </c>
      <c r="R294" s="33" t="e">
        <f>VLOOKUP(Table1[[#This Row],[Campaign_Name2]],Table3[#All],3,FALSE)</f>
        <v>#N/A</v>
      </c>
      <c r="S294" s="30" t="e">
        <f>VLOOKUP(Table1[[#This Row],[Campaign_Name2]],Table3[],5,FALSE)</f>
        <v>#N/A</v>
      </c>
      <c r="T294" s="30">
        <f>IF(Table1[[#This Row],[Campaign_Name2]]="No Campaign", 0, Table1[[#This Row],[Budget]]/COUNTIF(Table1[Campaign_Name2],Table1[[#This Row],[Campaign_Name2]]))</f>
        <v>0</v>
      </c>
    </row>
    <row r="295" spans="1:20" ht="14.25" customHeight="1" x14ac:dyDescent="0.3">
      <c r="A295" s="3" t="s">
        <v>557</v>
      </c>
      <c r="B295" s="3" t="s">
        <v>43</v>
      </c>
      <c r="C295" s="11">
        <v>45462</v>
      </c>
      <c r="D295" s="3" t="s">
        <v>45</v>
      </c>
      <c r="E295" s="3" t="s">
        <v>46</v>
      </c>
      <c r="F295" s="12">
        <v>4731</v>
      </c>
      <c r="G295" s="12">
        <v>173</v>
      </c>
      <c r="H295" s="12">
        <v>276</v>
      </c>
      <c r="I295" s="12">
        <v>28386</v>
      </c>
      <c r="J295" s="12">
        <v>28185</v>
      </c>
      <c r="K295" s="12">
        <v>89</v>
      </c>
      <c r="L295" s="4" t="s">
        <v>37</v>
      </c>
      <c r="M295" s="5" t="s">
        <v>31</v>
      </c>
      <c r="N295" s="31">
        <f t="shared" si="4"/>
        <v>5180</v>
      </c>
      <c r="O295" s="32">
        <f>IFERROR((Table1[[#This Row],[Likes]]+Table1[[#This Row],[Shares]]+Table1[[#This Row],[Comments]])/Table1[[#This Row],[Impressions]], 0)</f>
        <v>0.18248432325794406</v>
      </c>
      <c r="P295" s="30" t="str" cm="1">
        <f t="array" ref="P295">IFERROR(INDEX('Campaign Metadata (2)'!$A$2:$A$10, MATCH(1, (C295&gt;='Campaign Metadata (2)'!$B$2:$B$10) * (C295&lt;='Campaign Metadata (2)'!$C$2:$C$10), 0)), "No Campaign")</f>
        <v>SummerSplash</v>
      </c>
      <c r="Q295" s="33">
        <f>VLOOKUP(Table1[[#This Row],[Campaign_Name2]],Table3[#All],2,)</f>
        <v>45458</v>
      </c>
      <c r="R295" s="33">
        <f>VLOOKUP(Table1[[#This Row],[Campaign_Name2]],Table3[#All],3,FALSE)</f>
        <v>45488</v>
      </c>
      <c r="S295" s="30">
        <f>VLOOKUP(Table1[[#This Row],[Campaign_Name2]],Table3[],5,FALSE)</f>
        <v>150000</v>
      </c>
      <c r="T295" s="30">
        <f>IF(Table1[[#This Row],[Campaign_Name2]]="No Campaign", 0, Table1[[#This Row],[Budget]]/COUNTIF(Table1[Campaign_Name2],Table1[[#This Row],[Campaign_Name2]]))</f>
        <v>5555.5555555555557</v>
      </c>
    </row>
    <row r="296" spans="1:20" ht="14.25" customHeight="1" x14ac:dyDescent="0.3">
      <c r="A296" s="3" t="s">
        <v>559</v>
      </c>
      <c r="B296" s="3" t="s">
        <v>14</v>
      </c>
      <c r="C296" s="11">
        <v>45783</v>
      </c>
      <c r="D296" s="3" t="s">
        <v>52</v>
      </c>
      <c r="E296" s="3" t="s">
        <v>132</v>
      </c>
      <c r="F296" s="12">
        <v>1952</v>
      </c>
      <c r="G296" s="12">
        <v>344</v>
      </c>
      <c r="H296" s="12">
        <v>287</v>
      </c>
      <c r="I296" s="12">
        <v>15616</v>
      </c>
      <c r="J296" s="12">
        <v>15403</v>
      </c>
      <c r="K296" s="12">
        <v>235</v>
      </c>
      <c r="L296" s="4" t="s">
        <v>216</v>
      </c>
      <c r="M296" s="5" t="s">
        <v>25</v>
      </c>
      <c r="N296" s="31">
        <f t="shared" si="4"/>
        <v>2583</v>
      </c>
      <c r="O296" s="32">
        <f>IFERROR((Table1[[#This Row],[Likes]]+Table1[[#This Row],[Shares]]+Table1[[#This Row],[Comments]])/Table1[[#This Row],[Impressions]], 0)</f>
        <v>0.16540727459016394</v>
      </c>
      <c r="P296" s="30" t="str" cm="1">
        <f t="array" ref="P296">IFERROR(INDEX('Campaign Metadata (2)'!$A$2:$A$10, MATCH(1, (C296&gt;='Campaign Metadata (2)'!$B$2:$B$10) * (C296&lt;='Campaign Metadata (2)'!$C$2:$C$10), 0)), "No Campaign")</f>
        <v>No Campaign</v>
      </c>
      <c r="Q296" s="33" t="e">
        <f>VLOOKUP(Table1[[#This Row],[Campaign_Name2]],Table3[#All],2,)</f>
        <v>#N/A</v>
      </c>
      <c r="R296" s="33" t="e">
        <f>VLOOKUP(Table1[[#This Row],[Campaign_Name2]],Table3[#All],3,FALSE)</f>
        <v>#N/A</v>
      </c>
      <c r="S296" s="30" t="e">
        <f>VLOOKUP(Table1[[#This Row],[Campaign_Name2]],Table3[],5,FALSE)</f>
        <v>#N/A</v>
      </c>
      <c r="T296" s="30">
        <f>IF(Table1[[#This Row],[Campaign_Name2]]="No Campaign", 0, Table1[[#This Row],[Budget]]/COUNTIF(Table1[Campaign_Name2],Table1[[#This Row],[Campaign_Name2]]))</f>
        <v>0</v>
      </c>
    </row>
    <row r="297" spans="1:20" ht="14.25" customHeight="1" x14ac:dyDescent="0.3">
      <c r="A297" s="3" t="s">
        <v>560</v>
      </c>
      <c r="B297" s="3" t="s">
        <v>14</v>
      </c>
      <c r="C297" s="11">
        <v>45699</v>
      </c>
      <c r="D297" s="3" t="s">
        <v>74</v>
      </c>
      <c r="E297" s="3" t="s">
        <v>145</v>
      </c>
      <c r="F297" s="12">
        <v>3440</v>
      </c>
      <c r="G297" s="12">
        <v>13</v>
      </c>
      <c r="H297" s="12">
        <v>20</v>
      </c>
      <c r="I297" s="12">
        <v>58480</v>
      </c>
      <c r="J297" s="12">
        <v>58146</v>
      </c>
      <c r="K297" s="12">
        <v>210</v>
      </c>
      <c r="L297" s="4" t="s">
        <v>421</v>
      </c>
      <c r="M297" s="5" t="s">
        <v>38</v>
      </c>
      <c r="N297" s="31">
        <f t="shared" si="4"/>
        <v>3473</v>
      </c>
      <c r="O297" s="32">
        <f>IFERROR((Table1[[#This Row],[Likes]]+Table1[[#This Row],[Shares]]+Table1[[#This Row],[Comments]])/Table1[[#This Row],[Impressions]], 0)</f>
        <v>5.9387824897400819E-2</v>
      </c>
      <c r="P297" s="30" t="str" cm="1">
        <f t="array" ref="P297">IFERROR(INDEX('Campaign Metadata (2)'!$A$2:$A$10, MATCH(1, (C297&gt;='Campaign Metadata (2)'!$B$2:$B$10) * (C297&lt;='Campaign Metadata (2)'!$C$2:$C$10), 0)), "No Campaign")</f>
        <v>No Campaign</v>
      </c>
      <c r="Q297" s="33" t="e">
        <f>VLOOKUP(Table1[[#This Row],[Campaign_Name2]],Table3[#All],2,)</f>
        <v>#N/A</v>
      </c>
      <c r="R297" s="33" t="e">
        <f>VLOOKUP(Table1[[#This Row],[Campaign_Name2]],Table3[#All],3,FALSE)</f>
        <v>#N/A</v>
      </c>
      <c r="S297" s="30" t="e">
        <f>VLOOKUP(Table1[[#This Row],[Campaign_Name2]],Table3[],5,FALSE)</f>
        <v>#N/A</v>
      </c>
      <c r="T297" s="30">
        <f>IF(Table1[[#This Row],[Campaign_Name2]]="No Campaign", 0, Table1[[#This Row],[Budget]]/COUNTIF(Table1[Campaign_Name2],Table1[[#This Row],[Campaign_Name2]]))</f>
        <v>0</v>
      </c>
    </row>
    <row r="298" spans="1:20" ht="14.25" customHeight="1" x14ac:dyDescent="0.3">
      <c r="A298" s="3" t="s">
        <v>562</v>
      </c>
      <c r="B298" s="3" t="s">
        <v>14</v>
      </c>
      <c r="C298" s="11">
        <v>45650</v>
      </c>
      <c r="D298" s="3" t="s">
        <v>22</v>
      </c>
      <c r="E298" s="3" t="s">
        <v>23</v>
      </c>
      <c r="F298" s="12">
        <v>2166</v>
      </c>
      <c r="G298" s="12">
        <v>354</v>
      </c>
      <c r="H298" s="12">
        <v>117</v>
      </c>
      <c r="I298" s="12">
        <v>10830</v>
      </c>
      <c r="J298" s="12">
        <v>10245</v>
      </c>
      <c r="K298" s="12">
        <v>24</v>
      </c>
      <c r="L298" s="4" t="s">
        <v>37</v>
      </c>
      <c r="M298" s="5" t="s">
        <v>38</v>
      </c>
      <c r="N298" s="31">
        <f t="shared" si="4"/>
        <v>2637</v>
      </c>
      <c r="O298" s="32">
        <f>IFERROR((Table1[[#This Row],[Likes]]+Table1[[#This Row],[Shares]]+Table1[[#This Row],[Comments]])/Table1[[#This Row],[Impressions]], 0)</f>
        <v>0.24349030470914126</v>
      </c>
      <c r="P298" s="30" t="str" cm="1">
        <f t="array" ref="P298">IFERROR(INDEX('Campaign Metadata (2)'!$A$2:$A$10, MATCH(1, (C298&gt;='Campaign Metadata (2)'!$B$2:$B$10) * (C298&lt;='Campaign Metadata (2)'!$C$2:$C$10), 0)), "No Campaign")</f>
        <v>No Campaign</v>
      </c>
      <c r="Q298" s="33" t="e">
        <f>VLOOKUP(Table1[[#This Row],[Campaign_Name2]],Table3[#All],2,)</f>
        <v>#N/A</v>
      </c>
      <c r="R298" s="33" t="e">
        <f>VLOOKUP(Table1[[#This Row],[Campaign_Name2]],Table3[#All],3,FALSE)</f>
        <v>#N/A</v>
      </c>
      <c r="S298" s="30" t="e">
        <f>VLOOKUP(Table1[[#This Row],[Campaign_Name2]],Table3[],5,FALSE)</f>
        <v>#N/A</v>
      </c>
      <c r="T298" s="30">
        <f>IF(Table1[[#This Row],[Campaign_Name2]]="No Campaign", 0, Table1[[#This Row],[Budget]]/COUNTIF(Table1[Campaign_Name2],Table1[[#This Row],[Campaign_Name2]]))</f>
        <v>0</v>
      </c>
    </row>
    <row r="299" spans="1:20" ht="14.25" customHeight="1" x14ac:dyDescent="0.3">
      <c r="A299" s="3" t="s">
        <v>564</v>
      </c>
      <c r="B299" s="3" t="s">
        <v>43</v>
      </c>
      <c r="C299" s="11">
        <v>45589</v>
      </c>
      <c r="D299" s="3" t="s">
        <v>52</v>
      </c>
      <c r="E299" s="3" t="s">
        <v>59</v>
      </c>
      <c r="F299" s="12">
        <v>4303</v>
      </c>
      <c r="G299" s="12">
        <v>451</v>
      </c>
      <c r="H299" s="12">
        <v>286</v>
      </c>
      <c r="I299" s="12">
        <v>86060</v>
      </c>
      <c r="J299" s="12">
        <v>85823</v>
      </c>
      <c r="K299" s="12">
        <v>14</v>
      </c>
      <c r="L299" s="4" t="s">
        <v>30</v>
      </c>
      <c r="M299" s="5" t="s">
        <v>31</v>
      </c>
      <c r="N299" s="31">
        <f t="shared" si="4"/>
        <v>5040</v>
      </c>
      <c r="O299" s="32">
        <f>IFERROR((Table1[[#This Row],[Likes]]+Table1[[#This Row],[Shares]]+Table1[[#This Row],[Comments]])/Table1[[#This Row],[Impressions]], 0)</f>
        <v>5.8563792702765516E-2</v>
      </c>
      <c r="P299" s="30" t="str" cm="1">
        <f t="array" ref="P299">IFERROR(INDEX('Campaign Metadata (2)'!$A$2:$A$10, MATCH(1, (C299&gt;='Campaign Metadata (2)'!$B$2:$B$10) * (C299&lt;='Campaign Metadata (2)'!$C$2:$C$10), 0)), "No Campaign")</f>
        <v>FestiveRadiance</v>
      </c>
      <c r="Q299" s="33">
        <f>VLOOKUP(Table1[[#This Row],[Campaign_Name2]],Table3[#All],2,)</f>
        <v>45566</v>
      </c>
      <c r="R299" s="33">
        <f>VLOOKUP(Table1[[#This Row],[Campaign_Name2]],Table3[#All],3,FALSE)</f>
        <v>45596</v>
      </c>
      <c r="S299" s="30">
        <f>VLOOKUP(Table1[[#This Row],[Campaign_Name2]],Table3[],5,FALSE)</f>
        <v>200000</v>
      </c>
      <c r="T299" s="30">
        <f>IF(Table1[[#This Row],[Campaign_Name2]]="No Campaign", 0, Table1[[#This Row],[Budget]]/COUNTIF(Table1[Campaign_Name2],Table1[[#This Row],[Campaign_Name2]]))</f>
        <v>5714.2857142857147</v>
      </c>
    </row>
    <row r="300" spans="1:20" ht="14.25" customHeight="1" x14ac:dyDescent="0.3">
      <c r="A300" s="3" t="s">
        <v>565</v>
      </c>
      <c r="B300" s="3" t="s">
        <v>43</v>
      </c>
      <c r="C300" s="11">
        <v>45530</v>
      </c>
      <c r="D300" s="3" t="s">
        <v>52</v>
      </c>
      <c r="E300" s="3" t="s">
        <v>59</v>
      </c>
      <c r="F300" s="12">
        <v>2581</v>
      </c>
      <c r="G300" s="12">
        <v>517</v>
      </c>
      <c r="H300" s="12">
        <v>117</v>
      </c>
      <c r="I300" s="12">
        <v>23229</v>
      </c>
      <c r="J300" s="12">
        <v>22331</v>
      </c>
      <c r="K300" s="12">
        <v>70</v>
      </c>
      <c r="L300" s="4" t="s">
        <v>62</v>
      </c>
      <c r="M300" s="5" t="s">
        <v>31</v>
      </c>
      <c r="N300" s="31">
        <f t="shared" si="4"/>
        <v>3215</v>
      </c>
      <c r="O300" s="32">
        <f>IFERROR((Table1[[#This Row],[Likes]]+Table1[[#This Row],[Shares]]+Table1[[#This Row],[Comments]])/Table1[[#This Row],[Impressions]], 0)</f>
        <v>0.13840458048129492</v>
      </c>
      <c r="P300" s="30" t="str" cm="1">
        <f t="array" ref="P300">IFERROR(INDEX('Campaign Metadata (2)'!$A$2:$A$10, MATCH(1, (C300&gt;='Campaign Metadata (2)'!$B$2:$B$10) * (C300&lt;='Campaign Metadata (2)'!$C$2:$C$10), 0)), "No Campaign")</f>
        <v>No Campaign</v>
      </c>
      <c r="Q300" s="33" t="e">
        <f>VLOOKUP(Table1[[#This Row],[Campaign_Name2]],Table3[#All],2,)</f>
        <v>#N/A</v>
      </c>
      <c r="R300" s="33" t="e">
        <f>VLOOKUP(Table1[[#This Row],[Campaign_Name2]],Table3[#All],3,FALSE)</f>
        <v>#N/A</v>
      </c>
      <c r="S300" s="30" t="e">
        <f>VLOOKUP(Table1[[#This Row],[Campaign_Name2]],Table3[],5,FALSE)</f>
        <v>#N/A</v>
      </c>
      <c r="T300" s="30">
        <f>IF(Table1[[#This Row],[Campaign_Name2]]="No Campaign", 0, Table1[[#This Row],[Budget]]/COUNTIF(Table1[Campaign_Name2],Table1[[#This Row],[Campaign_Name2]]))</f>
        <v>0</v>
      </c>
    </row>
    <row r="301" spans="1:20" ht="14.25" customHeight="1" x14ac:dyDescent="0.3">
      <c r="A301" s="3" t="s">
        <v>566</v>
      </c>
      <c r="B301" s="3" t="s">
        <v>14</v>
      </c>
      <c r="C301" s="11">
        <v>45535</v>
      </c>
      <c r="D301" s="3" t="s">
        <v>45</v>
      </c>
      <c r="E301" s="3" t="s">
        <v>49</v>
      </c>
      <c r="F301" s="12">
        <v>4494</v>
      </c>
      <c r="G301" s="12">
        <v>717</v>
      </c>
      <c r="H301" s="12">
        <v>45</v>
      </c>
      <c r="I301" s="12">
        <v>62916</v>
      </c>
      <c r="J301" s="12">
        <v>62688</v>
      </c>
      <c r="K301" s="12">
        <v>191</v>
      </c>
      <c r="L301" s="4" t="s">
        <v>505</v>
      </c>
      <c r="M301" s="5" t="s">
        <v>19</v>
      </c>
      <c r="N301" s="31">
        <f t="shared" si="4"/>
        <v>5256</v>
      </c>
      <c r="O301" s="32">
        <f>IFERROR((Table1[[#This Row],[Likes]]+Table1[[#This Row],[Shares]]+Table1[[#This Row],[Comments]])/Table1[[#This Row],[Impressions]], 0)</f>
        <v>8.3539958039290485E-2</v>
      </c>
      <c r="P301" s="30" t="str" cm="1">
        <f t="array" ref="P301">IFERROR(INDEX('Campaign Metadata (2)'!$A$2:$A$10, MATCH(1, (C301&gt;='Campaign Metadata (2)'!$B$2:$B$10) * (C301&lt;='Campaign Metadata (2)'!$C$2:$C$10), 0)), "No Campaign")</f>
        <v>No Campaign</v>
      </c>
      <c r="Q301" s="33" t="e">
        <f>VLOOKUP(Table1[[#This Row],[Campaign_Name2]],Table3[#All],2,)</f>
        <v>#N/A</v>
      </c>
      <c r="R301" s="33" t="e">
        <f>VLOOKUP(Table1[[#This Row],[Campaign_Name2]],Table3[#All],3,FALSE)</f>
        <v>#N/A</v>
      </c>
      <c r="S301" s="30" t="e">
        <f>VLOOKUP(Table1[[#This Row],[Campaign_Name2]],Table3[],5,FALSE)</f>
        <v>#N/A</v>
      </c>
      <c r="T301" s="30">
        <f>IF(Table1[[#This Row],[Campaign_Name2]]="No Campaign", 0, Table1[[#This Row],[Budget]]/COUNTIF(Table1[Campaign_Name2],Table1[[#This Row],[Campaign_Name2]]))</f>
        <v>0</v>
      </c>
    </row>
    <row r="302" spans="1:20" ht="14.25" customHeight="1" x14ac:dyDescent="0.3"/>
    <row r="303" spans="1:20" ht="14.25" customHeight="1" x14ac:dyDescent="0.3"/>
    <row r="304" spans="1:20"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honeticPr fontId="7" type="noConversion"/>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4945F-928A-4D15-B31A-85F945795730}">
  <sheetPr codeName="Sheet4"/>
  <dimension ref="A1:S340"/>
  <sheetViews>
    <sheetView topLeftCell="E1" zoomScale="107" workbookViewId="0">
      <selection activeCell="L2" sqref="L2:L3"/>
    </sheetView>
  </sheetViews>
  <sheetFormatPr defaultRowHeight="14.4" x14ac:dyDescent="0.3"/>
  <cols>
    <col min="1" max="1" width="9.109375" bestFit="1" customWidth="1"/>
    <col min="2" max="2" width="10.5546875" bestFit="1" customWidth="1"/>
    <col min="3" max="3" width="19.44140625" bestFit="1" customWidth="1"/>
    <col min="4" max="4" width="14.5546875" bestFit="1" customWidth="1"/>
    <col min="5" max="5" width="37" bestFit="1" customWidth="1"/>
    <col min="6" max="6" width="9.33203125" bestFit="1" customWidth="1"/>
    <col min="7" max="7" width="8.88671875" bestFit="1" customWidth="1"/>
    <col min="8" max="8" width="12.44140625" bestFit="1" customWidth="1"/>
    <col min="9" max="9" width="13.33203125" bestFit="1" customWidth="1"/>
    <col min="10" max="10" width="10.5546875" bestFit="1" customWidth="1"/>
    <col min="11" max="11" width="8.109375" bestFit="1" customWidth="1"/>
    <col min="12" max="12" width="20.21875" bestFit="1" customWidth="1"/>
    <col min="13" max="13" width="17.77734375" bestFit="1" customWidth="1"/>
    <col min="14" max="14" width="19" bestFit="1" customWidth="1"/>
    <col min="15" max="15" width="18.109375" bestFit="1" customWidth="1"/>
    <col min="16" max="16" width="18.77734375" bestFit="1" customWidth="1"/>
    <col min="17" max="17" width="17.44140625" style="34" bestFit="1" customWidth="1"/>
    <col min="18" max="18" width="16.109375" style="34" bestFit="1" customWidth="1"/>
    <col min="19" max="19" width="14.6640625" style="35" bestFit="1" customWidth="1"/>
    <col min="20" max="20" width="11.5546875" bestFit="1" customWidth="1"/>
    <col min="21" max="21" width="10.77734375" bestFit="1" customWidth="1"/>
    <col min="22" max="22" width="9.21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612</v>
      </c>
      <c r="O1" t="s">
        <v>613</v>
      </c>
      <c r="P1" t="s">
        <v>614</v>
      </c>
      <c r="Q1" s="34" t="s">
        <v>615</v>
      </c>
      <c r="R1" s="34" t="s">
        <v>616</v>
      </c>
      <c r="S1" s="35" t="s">
        <v>617</v>
      </c>
    </row>
    <row r="2" spans="1:19" x14ac:dyDescent="0.3">
      <c r="A2" t="s">
        <v>13</v>
      </c>
      <c r="B2" t="s">
        <v>14</v>
      </c>
      <c r="C2" s="34">
        <v>45649</v>
      </c>
      <c r="D2" t="s">
        <v>16</v>
      </c>
      <c r="E2" t="s">
        <v>17</v>
      </c>
      <c r="F2" s="37">
        <v>1461</v>
      </c>
      <c r="G2" s="37">
        <v>184</v>
      </c>
      <c r="H2" s="37">
        <v>344</v>
      </c>
      <c r="I2" s="37">
        <v>21915</v>
      </c>
      <c r="J2" s="37">
        <v>21675</v>
      </c>
      <c r="K2" s="37">
        <v>15</v>
      </c>
      <c r="L2" t="s">
        <v>62</v>
      </c>
      <c r="M2" t="s">
        <v>19</v>
      </c>
      <c r="N2" s="37">
        <v>1989</v>
      </c>
      <c r="O2" s="36">
        <v>9.0759753593429152E-2</v>
      </c>
      <c r="P2" t="s">
        <v>620</v>
      </c>
    </row>
    <row r="3" spans="1:19" x14ac:dyDescent="0.3">
      <c r="A3" t="s">
        <v>13</v>
      </c>
      <c r="B3" t="s">
        <v>14</v>
      </c>
      <c r="C3" s="34">
        <v>45649</v>
      </c>
      <c r="D3" t="s">
        <v>16</v>
      </c>
      <c r="E3" t="s">
        <v>17</v>
      </c>
      <c r="F3" s="37">
        <v>1461</v>
      </c>
      <c r="G3" s="37">
        <v>184</v>
      </c>
      <c r="H3" s="37">
        <v>344</v>
      </c>
      <c r="I3" s="37">
        <v>21915</v>
      </c>
      <c r="J3" s="37">
        <v>21675</v>
      </c>
      <c r="K3" s="37">
        <v>15</v>
      </c>
      <c r="L3" t="s">
        <v>618</v>
      </c>
      <c r="M3" t="s">
        <v>19</v>
      </c>
      <c r="N3" s="37">
        <v>1989</v>
      </c>
      <c r="O3" s="36">
        <v>9.0759753593429152E-2</v>
      </c>
      <c r="P3" t="s">
        <v>620</v>
      </c>
    </row>
    <row r="4" spans="1:19" x14ac:dyDescent="0.3">
      <c r="A4" t="s">
        <v>20</v>
      </c>
      <c r="B4" t="s">
        <v>14</v>
      </c>
      <c r="C4" s="34">
        <v>45750</v>
      </c>
      <c r="D4" t="s">
        <v>22</v>
      </c>
      <c r="E4" t="s">
        <v>23</v>
      </c>
      <c r="F4" s="37">
        <v>4054</v>
      </c>
      <c r="G4" s="37">
        <v>389</v>
      </c>
      <c r="H4" s="37">
        <v>493</v>
      </c>
      <c r="I4" s="37">
        <v>64864</v>
      </c>
      <c r="J4" s="37">
        <v>64383</v>
      </c>
      <c r="K4" s="37">
        <v>117</v>
      </c>
      <c r="L4" t="s">
        <v>30</v>
      </c>
      <c r="M4" t="s">
        <v>25</v>
      </c>
      <c r="N4" s="37">
        <v>4936</v>
      </c>
      <c r="O4" s="36">
        <v>7.6097681302417369E-2</v>
      </c>
      <c r="P4" t="s">
        <v>620</v>
      </c>
    </row>
    <row r="5" spans="1:19" x14ac:dyDescent="0.3">
      <c r="A5" t="s">
        <v>20</v>
      </c>
      <c r="B5" t="s">
        <v>14</v>
      </c>
      <c r="C5" s="34">
        <v>45750</v>
      </c>
      <c r="D5" t="s">
        <v>22</v>
      </c>
      <c r="E5" t="s">
        <v>23</v>
      </c>
      <c r="F5" s="37">
        <v>4054</v>
      </c>
      <c r="G5" s="37">
        <v>389</v>
      </c>
      <c r="H5" s="37">
        <v>493</v>
      </c>
      <c r="I5" s="37">
        <v>64864</v>
      </c>
      <c r="J5" s="37">
        <v>64383</v>
      </c>
      <c r="K5" s="37">
        <v>117</v>
      </c>
      <c r="L5" t="s">
        <v>619</v>
      </c>
      <c r="M5" t="s">
        <v>25</v>
      </c>
      <c r="N5" s="37">
        <v>4936</v>
      </c>
      <c r="O5" s="36">
        <v>7.6097681302417369E-2</v>
      </c>
      <c r="P5" t="s">
        <v>620</v>
      </c>
    </row>
    <row r="6" spans="1:19" x14ac:dyDescent="0.3">
      <c r="A6" t="s">
        <v>26</v>
      </c>
      <c r="B6" t="s">
        <v>27</v>
      </c>
      <c r="C6" s="34">
        <v>45789</v>
      </c>
      <c r="D6" t="s">
        <v>16</v>
      </c>
      <c r="E6" t="s">
        <v>29</v>
      </c>
      <c r="F6" s="37">
        <v>2795</v>
      </c>
      <c r="G6" s="37">
        <v>105</v>
      </c>
      <c r="H6" s="37">
        <v>49</v>
      </c>
      <c r="I6" s="37">
        <v>53105</v>
      </c>
      <c r="J6" s="37">
        <v>52307</v>
      </c>
      <c r="K6" s="37">
        <v>204</v>
      </c>
      <c r="L6" t="s">
        <v>30</v>
      </c>
      <c r="M6" t="s">
        <v>31</v>
      </c>
      <c r="N6" s="37">
        <v>2949</v>
      </c>
      <c r="O6" s="36">
        <v>5.5531494209584788E-2</v>
      </c>
      <c r="P6" t="s">
        <v>620</v>
      </c>
    </row>
    <row r="7" spans="1:19" x14ac:dyDescent="0.3">
      <c r="A7" t="s">
        <v>32</v>
      </c>
      <c r="B7" t="s">
        <v>33</v>
      </c>
      <c r="C7" s="34">
        <v>45516</v>
      </c>
      <c r="D7" t="s">
        <v>35</v>
      </c>
      <c r="E7" t="s">
        <v>36</v>
      </c>
      <c r="F7" s="37">
        <v>2404</v>
      </c>
      <c r="G7" s="37">
        <v>363</v>
      </c>
      <c r="H7" s="37">
        <v>138</v>
      </c>
      <c r="I7" s="37">
        <v>19232</v>
      </c>
      <c r="J7" s="37">
        <v>18636</v>
      </c>
      <c r="K7" s="37">
        <v>128</v>
      </c>
      <c r="L7" t="s">
        <v>37</v>
      </c>
      <c r="M7" t="s">
        <v>38</v>
      </c>
      <c r="N7" s="37">
        <v>2905</v>
      </c>
      <c r="O7" s="36">
        <v>0.15105033277870217</v>
      </c>
      <c r="P7" t="s">
        <v>620</v>
      </c>
    </row>
    <row r="8" spans="1:19" x14ac:dyDescent="0.3">
      <c r="A8" t="s">
        <v>39</v>
      </c>
      <c r="B8" t="s">
        <v>27</v>
      </c>
      <c r="C8" s="34">
        <v>45469</v>
      </c>
      <c r="D8" t="s">
        <v>16</v>
      </c>
      <c r="E8" t="s">
        <v>29</v>
      </c>
      <c r="F8" s="37">
        <v>3557</v>
      </c>
      <c r="G8" s="37">
        <v>687</v>
      </c>
      <c r="H8" s="37">
        <v>424</v>
      </c>
      <c r="I8" s="37">
        <v>71140</v>
      </c>
      <c r="J8" s="37">
        <v>70701</v>
      </c>
      <c r="K8" s="37">
        <v>224</v>
      </c>
      <c r="L8" t="s">
        <v>37</v>
      </c>
      <c r="M8" t="s">
        <v>19</v>
      </c>
      <c r="N8" s="37">
        <v>4668</v>
      </c>
      <c r="O8" s="36">
        <v>6.5617093055946027E-2</v>
      </c>
      <c r="P8" t="s">
        <v>19</v>
      </c>
      <c r="Q8" s="34">
        <v>45458</v>
      </c>
      <c r="R8" s="34">
        <v>45488</v>
      </c>
      <c r="S8" s="35">
        <v>150000</v>
      </c>
    </row>
    <row r="9" spans="1:19" x14ac:dyDescent="0.3">
      <c r="A9" t="s">
        <v>39</v>
      </c>
      <c r="B9" t="s">
        <v>27</v>
      </c>
      <c r="C9" s="34">
        <v>45469</v>
      </c>
      <c r="D9" t="s">
        <v>16</v>
      </c>
      <c r="E9" t="s">
        <v>29</v>
      </c>
      <c r="F9" s="37">
        <v>3557</v>
      </c>
      <c r="G9" s="37">
        <v>687</v>
      </c>
      <c r="H9" s="37">
        <v>424</v>
      </c>
      <c r="I9" s="37">
        <v>71140</v>
      </c>
      <c r="J9" s="37">
        <v>70701</v>
      </c>
      <c r="K9" s="37">
        <v>224</v>
      </c>
      <c r="L9" t="s">
        <v>30</v>
      </c>
      <c r="M9" t="s">
        <v>19</v>
      </c>
      <c r="N9" s="37">
        <v>4668</v>
      </c>
      <c r="O9" s="36">
        <v>6.5617093055946027E-2</v>
      </c>
      <c r="P9" t="s">
        <v>19</v>
      </c>
      <c r="Q9" s="34">
        <v>45458</v>
      </c>
      <c r="R9" s="34">
        <v>45488</v>
      </c>
      <c r="S9" s="35">
        <v>150000</v>
      </c>
    </row>
    <row r="10" spans="1:19" x14ac:dyDescent="0.3">
      <c r="A10" t="s">
        <v>42</v>
      </c>
      <c r="B10" t="s">
        <v>43</v>
      </c>
      <c r="C10" s="34">
        <v>45596</v>
      </c>
      <c r="D10" t="s">
        <v>45</v>
      </c>
      <c r="E10" t="s">
        <v>46</v>
      </c>
      <c r="F10" s="37">
        <v>2945</v>
      </c>
      <c r="G10" s="37">
        <v>930</v>
      </c>
      <c r="H10" s="37">
        <v>355</v>
      </c>
      <c r="I10" s="37">
        <v>23560</v>
      </c>
      <c r="J10" s="37">
        <v>23275</v>
      </c>
      <c r="K10" s="37">
        <v>256</v>
      </c>
      <c r="L10" t="s">
        <v>30</v>
      </c>
      <c r="M10" t="s">
        <v>25</v>
      </c>
      <c r="N10" s="37">
        <v>4230</v>
      </c>
      <c r="O10" s="36">
        <v>0.17954159592529711</v>
      </c>
      <c r="P10" t="s">
        <v>25</v>
      </c>
      <c r="Q10" s="34">
        <v>45566</v>
      </c>
      <c r="R10" s="34">
        <v>45596</v>
      </c>
      <c r="S10" s="35">
        <v>200000</v>
      </c>
    </row>
    <row r="11" spans="1:19" x14ac:dyDescent="0.3">
      <c r="A11" t="s">
        <v>47</v>
      </c>
      <c r="B11" t="s">
        <v>14</v>
      </c>
      <c r="C11" s="34">
        <v>45467</v>
      </c>
      <c r="D11" t="s">
        <v>45</v>
      </c>
      <c r="E11" t="s">
        <v>49</v>
      </c>
      <c r="F11" s="37">
        <v>3860</v>
      </c>
      <c r="G11" s="37">
        <v>201</v>
      </c>
      <c r="H11" s="37">
        <v>279</v>
      </c>
      <c r="I11" s="37">
        <v>61760</v>
      </c>
      <c r="J11" s="37">
        <v>61660</v>
      </c>
      <c r="K11" s="37">
        <v>235</v>
      </c>
      <c r="L11" t="s">
        <v>30</v>
      </c>
      <c r="M11" t="s">
        <v>25</v>
      </c>
      <c r="N11" s="37">
        <v>4340</v>
      </c>
      <c r="O11" s="36">
        <v>7.0272020725388601E-2</v>
      </c>
      <c r="P11" t="s">
        <v>19</v>
      </c>
      <c r="Q11" s="34">
        <v>45458</v>
      </c>
      <c r="R11" s="34">
        <v>45488</v>
      </c>
      <c r="S11" s="35">
        <v>150000</v>
      </c>
    </row>
    <row r="12" spans="1:19" x14ac:dyDescent="0.3">
      <c r="A12" t="s">
        <v>50</v>
      </c>
      <c r="B12" t="s">
        <v>27</v>
      </c>
      <c r="C12" s="34">
        <v>45486</v>
      </c>
      <c r="D12" t="s">
        <v>52</v>
      </c>
      <c r="E12" t="s">
        <v>53</v>
      </c>
      <c r="F12" s="37">
        <v>3929</v>
      </c>
      <c r="G12" s="37">
        <v>262</v>
      </c>
      <c r="H12" s="37">
        <v>278</v>
      </c>
      <c r="I12" s="37">
        <v>43219</v>
      </c>
      <c r="J12" s="37">
        <v>42841</v>
      </c>
      <c r="K12" s="37">
        <v>39</v>
      </c>
      <c r="L12" t="s">
        <v>37</v>
      </c>
      <c r="M12" t="s">
        <v>38</v>
      </c>
      <c r="N12" s="37">
        <v>4469</v>
      </c>
      <c r="O12" s="36">
        <v>0.10340359564080613</v>
      </c>
      <c r="P12" t="s">
        <v>19</v>
      </c>
      <c r="Q12" s="34">
        <v>45458</v>
      </c>
      <c r="R12" s="34">
        <v>45488</v>
      </c>
      <c r="S12" s="35">
        <v>150000</v>
      </c>
    </row>
    <row r="13" spans="1:19" x14ac:dyDescent="0.3">
      <c r="A13" t="s">
        <v>54</v>
      </c>
      <c r="B13" t="s">
        <v>43</v>
      </c>
      <c r="C13" s="34">
        <v>45534</v>
      </c>
      <c r="D13" t="s">
        <v>22</v>
      </c>
      <c r="E13" t="s">
        <v>56</v>
      </c>
      <c r="F13" s="37">
        <v>3784</v>
      </c>
      <c r="G13" s="37">
        <v>808</v>
      </c>
      <c r="H13" s="37">
        <v>404</v>
      </c>
      <c r="I13" s="37">
        <v>56760</v>
      </c>
      <c r="J13" s="37">
        <v>56343</v>
      </c>
      <c r="K13" s="37">
        <v>131</v>
      </c>
      <c r="L13" t="s">
        <v>30</v>
      </c>
      <c r="M13" t="s">
        <v>25</v>
      </c>
      <c r="N13" s="37">
        <v>4996</v>
      </c>
      <c r="O13" s="36">
        <v>8.8019732205778717E-2</v>
      </c>
      <c r="P13" t="s">
        <v>620</v>
      </c>
    </row>
    <row r="14" spans="1:19" x14ac:dyDescent="0.3">
      <c r="A14" t="s">
        <v>57</v>
      </c>
      <c r="B14" t="s">
        <v>43</v>
      </c>
      <c r="C14" s="34">
        <v>45727</v>
      </c>
      <c r="D14" t="s">
        <v>52</v>
      </c>
      <c r="E14" t="s">
        <v>59</v>
      </c>
      <c r="F14" s="37">
        <v>4241</v>
      </c>
      <c r="G14" s="37">
        <v>902</v>
      </c>
      <c r="H14" s="37">
        <v>47</v>
      </c>
      <c r="I14" s="37">
        <v>72097</v>
      </c>
      <c r="J14" s="37">
        <v>71598</v>
      </c>
      <c r="K14" s="37">
        <v>167</v>
      </c>
      <c r="L14" t="s">
        <v>30</v>
      </c>
      <c r="M14" t="s">
        <v>25</v>
      </c>
      <c r="N14" s="37">
        <v>5190</v>
      </c>
      <c r="O14" s="36">
        <v>7.198635172059864E-2</v>
      </c>
      <c r="P14" t="s">
        <v>38</v>
      </c>
      <c r="Q14" s="34">
        <v>45717</v>
      </c>
      <c r="R14" s="34">
        <v>45747</v>
      </c>
      <c r="S14" s="35">
        <v>180000</v>
      </c>
    </row>
    <row r="15" spans="1:19" x14ac:dyDescent="0.3">
      <c r="A15" t="s">
        <v>60</v>
      </c>
      <c r="B15" t="s">
        <v>33</v>
      </c>
      <c r="C15" s="34">
        <v>45690</v>
      </c>
      <c r="D15" t="s">
        <v>35</v>
      </c>
      <c r="E15" t="s">
        <v>36</v>
      </c>
      <c r="F15" s="37">
        <v>1792</v>
      </c>
      <c r="G15" s="37">
        <v>614</v>
      </c>
      <c r="H15" s="37">
        <v>497</v>
      </c>
      <c r="I15" s="37">
        <v>25088</v>
      </c>
      <c r="J15" s="37">
        <v>24675</v>
      </c>
      <c r="K15" s="37">
        <v>65</v>
      </c>
      <c r="L15" t="s">
        <v>62</v>
      </c>
      <c r="M15" t="s">
        <v>38</v>
      </c>
      <c r="N15" s="37">
        <v>2903</v>
      </c>
      <c r="O15" s="36">
        <v>0.11571269132653061</v>
      </c>
      <c r="P15" t="s">
        <v>620</v>
      </c>
    </row>
    <row r="16" spans="1:19" x14ac:dyDescent="0.3">
      <c r="A16" t="s">
        <v>63</v>
      </c>
      <c r="B16" t="s">
        <v>43</v>
      </c>
      <c r="C16" s="34">
        <v>45494</v>
      </c>
      <c r="D16" t="s">
        <v>16</v>
      </c>
      <c r="E16" t="s">
        <v>65</v>
      </c>
      <c r="F16" s="37">
        <v>1946</v>
      </c>
      <c r="G16" s="37">
        <v>686</v>
      </c>
      <c r="H16" s="37">
        <v>377</v>
      </c>
      <c r="I16" s="37">
        <v>23352</v>
      </c>
      <c r="J16" s="37">
        <v>22982</v>
      </c>
      <c r="K16" s="37">
        <v>213</v>
      </c>
      <c r="L16" t="s">
        <v>62</v>
      </c>
      <c r="M16" t="s">
        <v>31</v>
      </c>
      <c r="N16" s="37">
        <v>3009</v>
      </c>
      <c r="O16" s="36">
        <v>0.12885405960945528</v>
      </c>
      <c r="P16" t="s">
        <v>620</v>
      </c>
    </row>
    <row r="17" spans="1:19" x14ac:dyDescent="0.3">
      <c r="A17" t="s">
        <v>66</v>
      </c>
      <c r="B17" t="s">
        <v>27</v>
      </c>
      <c r="C17" s="34">
        <v>45614</v>
      </c>
      <c r="D17" t="s">
        <v>45</v>
      </c>
      <c r="E17" t="s">
        <v>68</v>
      </c>
      <c r="F17" s="37">
        <v>1171</v>
      </c>
      <c r="G17" s="37">
        <v>286</v>
      </c>
      <c r="H17" s="37">
        <v>231</v>
      </c>
      <c r="I17" s="37">
        <v>22249</v>
      </c>
      <c r="J17" s="37">
        <v>21282</v>
      </c>
      <c r="K17" s="37">
        <v>114</v>
      </c>
      <c r="L17" t="s">
        <v>37</v>
      </c>
      <c r="M17" t="s">
        <v>19</v>
      </c>
      <c r="N17" s="37">
        <v>1688</v>
      </c>
      <c r="O17" s="36">
        <v>7.5868578363072495E-2</v>
      </c>
      <c r="P17" t="s">
        <v>620</v>
      </c>
    </row>
    <row r="18" spans="1:19" x14ac:dyDescent="0.3">
      <c r="A18" t="s">
        <v>69</v>
      </c>
      <c r="B18" t="s">
        <v>43</v>
      </c>
      <c r="C18" s="34">
        <v>45704</v>
      </c>
      <c r="D18" t="s">
        <v>35</v>
      </c>
      <c r="E18" t="s">
        <v>71</v>
      </c>
      <c r="F18" s="37">
        <v>4242</v>
      </c>
      <c r="G18" s="37">
        <v>555</v>
      </c>
      <c r="H18" s="37">
        <v>131</v>
      </c>
      <c r="I18" s="37">
        <v>33936</v>
      </c>
      <c r="J18" s="37">
        <v>33802</v>
      </c>
      <c r="K18" s="37">
        <v>265</v>
      </c>
      <c r="L18" t="s">
        <v>62</v>
      </c>
      <c r="N18" s="37">
        <v>4928</v>
      </c>
      <c r="O18" s="36">
        <v>0.14521452145214522</v>
      </c>
      <c r="P18" t="s">
        <v>620</v>
      </c>
    </row>
    <row r="19" spans="1:19" x14ac:dyDescent="0.3">
      <c r="A19" t="s">
        <v>72</v>
      </c>
      <c r="B19" t="s">
        <v>43</v>
      </c>
      <c r="C19" s="34">
        <v>45589</v>
      </c>
      <c r="D19" t="s">
        <v>74</v>
      </c>
      <c r="E19" t="s">
        <v>75</v>
      </c>
      <c r="F19" s="37">
        <v>3888</v>
      </c>
      <c r="G19" s="37">
        <v>604</v>
      </c>
      <c r="H19" s="37">
        <v>128</v>
      </c>
      <c r="I19" s="37">
        <v>77760</v>
      </c>
      <c r="J19" s="37">
        <v>77167</v>
      </c>
      <c r="K19" s="37">
        <v>20</v>
      </c>
      <c r="L19" t="s">
        <v>62</v>
      </c>
      <c r="M19" t="s">
        <v>19</v>
      </c>
      <c r="N19" s="37">
        <v>4620</v>
      </c>
      <c r="O19" s="36">
        <v>5.941358024691358E-2</v>
      </c>
      <c r="P19" t="s">
        <v>25</v>
      </c>
      <c r="Q19" s="34">
        <v>45566</v>
      </c>
      <c r="R19" s="34">
        <v>45596</v>
      </c>
      <c r="S19" s="35">
        <v>200000</v>
      </c>
    </row>
    <row r="20" spans="1:19" x14ac:dyDescent="0.3">
      <c r="A20" t="s">
        <v>76</v>
      </c>
      <c r="B20" t="s">
        <v>43</v>
      </c>
      <c r="C20" s="34">
        <v>45530</v>
      </c>
      <c r="D20" t="s">
        <v>22</v>
      </c>
      <c r="E20" t="s">
        <v>56</v>
      </c>
      <c r="F20" s="37">
        <v>3452</v>
      </c>
      <c r="G20" s="37">
        <v>377</v>
      </c>
      <c r="H20" s="37">
        <v>360</v>
      </c>
      <c r="I20" s="37">
        <v>55232</v>
      </c>
      <c r="J20" s="37">
        <v>55075</v>
      </c>
      <c r="K20" s="37">
        <v>87</v>
      </c>
      <c r="L20" t="s">
        <v>62</v>
      </c>
      <c r="M20" t="s">
        <v>31</v>
      </c>
      <c r="N20" s="37">
        <v>4189</v>
      </c>
      <c r="O20" s="36">
        <v>7.5843713789107758E-2</v>
      </c>
      <c r="P20" t="s">
        <v>620</v>
      </c>
    </row>
    <row r="21" spans="1:19" x14ac:dyDescent="0.3">
      <c r="A21" t="s">
        <v>78</v>
      </c>
      <c r="B21" t="s">
        <v>43</v>
      </c>
      <c r="C21" s="34">
        <v>45782</v>
      </c>
      <c r="D21" t="s">
        <v>22</v>
      </c>
      <c r="E21" t="s">
        <v>56</v>
      </c>
      <c r="F21" s="37">
        <v>4441</v>
      </c>
      <c r="G21" s="37">
        <v>511</v>
      </c>
      <c r="H21" s="37">
        <v>70</v>
      </c>
      <c r="I21" s="37">
        <v>53292</v>
      </c>
      <c r="J21" s="37">
        <v>53082</v>
      </c>
      <c r="K21" s="37">
        <v>159</v>
      </c>
      <c r="L21" t="s">
        <v>37</v>
      </c>
      <c r="M21" t="s">
        <v>38</v>
      </c>
      <c r="N21" s="37">
        <v>5022</v>
      </c>
      <c r="O21" s="36">
        <v>9.4235532537716729E-2</v>
      </c>
      <c r="P21" t="s">
        <v>620</v>
      </c>
    </row>
    <row r="22" spans="1:19" x14ac:dyDescent="0.3">
      <c r="A22" t="s">
        <v>80</v>
      </c>
      <c r="B22" t="s">
        <v>33</v>
      </c>
      <c r="C22" s="34">
        <v>45523</v>
      </c>
      <c r="D22" t="s">
        <v>16</v>
      </c>
      <c r="E22" t="s">
        <v>82</v>
      </c>
      <c r="F22" s="37">
        <v>3000</v>
      </c>
      <c r="G22" s="37">
        <v>382</v>
      </c>
      <c r="H22" s="37">
        <v>325</v>
      </c>
      <c r="I22" s="37">
        <v>36000</v>
      </c>
      <c r="J22" s="37">
        <v>35819</v>
      </c>
      <c r="K22" s="37">
        <v>19</v>
      </c>
      <c r="L22" t="s">
        <v>62</v>
      </c>
      <c r="M22" t="s">
        <v>19</v>
      </c>
      <c r="N22" s="37">
        <v>3707</v>
      </c>
      <c r="O22" s="36">
        <v>0.10297222222222223</v>
      </c>
      <c r="P22" t="s">
        <v>620</v>
      </c>
    </row>
    <row r="23" spans="1:19" x14ac:dyDescent="0.3">
      <c r="A23" t="s">
        <v>83</v>
      </c>
      <c r="B23" t="s">
        <v>33</v>
      </c>
      <c r="C23" s="34">
        <v>45466</v>
      </c>
      <c r="D23" t="s">
        <v>74</v>
      </c>
      <c r="E23" t="s">
        <v>85</v>
      </c>
      <c r="F23" s="37">
        <v>1071</v>
      </c>
      <c r="G23" s="37">
        <v>519</v>
      </c>
      <c r="H23" s="37">
        <v>22</v>
      </c>
      <c r="I23" s="37">
        <v>16065</v>
      </c>
      <c r="J23" s="37">
        <v>15865</v>
      </c>
      <c r="K23" s="37">
        <v>103</v>
      </c>
      <c r="L23" t="s">
        <v>30</v>
      </c>
      <c r="M23" t="s">
        <v>38</v>
      </c>
      <c r="N23" s="37">
        <v>1612</v>
      </c>
      <c r="O23" s="36">
        <v>0.10034235916588857</v>
      </c>
      <c r="P23" t="s">
        <v>19</v>
      </c>
      <c r="Q23" s="34">
        <v>45458</v>
      </c>
      <c r="R23" s="34">
        <v>45488</v>
      </c>
      <c r="S23" s="35">
        <v>150000</v>
      </c>
    </row>
    <row r="24" spans="1:19" x14ac:dyDescent="0.3">
      <c r="A24" t="s">
        <v>86</v>
      </c>
      <c r="B24" t="s">
        <v>33</v>
      </c>
      <c r="C24" s="34">
        <v>45544</v>
      </c>
      <c r="D24" t="s">
        <v>45</v>
      </c>
      <c r="E24" t="s">
        <v>88</v>
      </c>
      <c r="F24" s="37">
        <v>4054</v>
      </c>
      <c r="G24" s="37">
        <v>488</v>
      </c>
      <c r="H24" s="37">
        <v>373</v>
      </c>
      <c r="I24" s="37">
        <v>77026</v>
      </c>
      <c r="J24" s="37">
        <v>76881</v>
      </c>
      <c r="K24" s="37">
        <v>25</v>
      </c>
      <c r="L24" t="s">
        <v>30</v>
      </c>
      <c r="M24" t="s">
        <v>19</v>
      </c>
      <c r="N24" s="37">
        <v>4915</v>
      </c>
      <c r="O24" s="36">
        <v>6.3809622724794221E-2</v>
      </c>
      <c r="P24" t="s">
        <v>620</v>
      </c>
    </row>
    <row r="25" spans="1:19" x14ac:dyDescent="0.3">
      <c r="A25" t="s">
        <v>89</v>
      </c>
      <c r="B25" t="s">
        <v>33</v>
      </c>
      <c r="C25" s="34">
        <v>45661</v>
      </c>
      <c r="D25" t="s">
        <v>16</v>
      </c>
      <c r="E25" t="s">
        <v>82</v>
      </c>
      <c r="F25" s="37">
        <v>4838</v>
      </c>
      <c r="G25" s="37">
        <v>640</v>
      </c>
      <c r="H25" s="37">
        <v>128</v>
      </c>
      <c r="I25" s="37">
        <v>72570</v>
      </c>
      <c r="J25" s="37">
        <v>72396</v>
      </c>
      <c r="K25" s="37">
        <v>83</v>
      </c>
      <c r="L25" t="s">
        <v>62</v>
      </c>
      <c r="M25" t="s">
        <v>38</v>
      </c>
      <c r="N25" s="37">
        <v>5606</v>
      </c>
      <c r="O25" s="36">
        <v>7.7249552156538517E-2</v>
      </c>
      <c r="P25" t="s">
        <v>31</v>
      </c>
      <c r="Q25" s="34">
        <v>45651</v>
      </c>
      <c r="R25" s="34">
        <v>45667</v>
      </c>
      <c r="S25" s="35">
        <v>250000</v>
      </c>
    </row>
    <row r="26" spans="1:19" x14ac:dyDescent="0.3">
      <c r="A26" t="s">
        <v>91</v>
      </c>
      <c r="B26" t="s">
        <v>43</v>
      </c>
      <c r="C26" s="34">
        <v>45715</v>
      </c>
      <c r="D26" t="s">
        <v>22</v>
      </c>
      <c r="E26" t="s">
        <v>56</v>
      </c>
      <c r="F26" s="37">
        <v>1570</v>
      </c>
      <c r="G26" s="37">
        <v>187</v>
      </c>
      <c r="H26" s="37">
        <v>260</v>
      </c>
      <c r="I26" s="37">
        <v>25120</v>
      </c>
      <c r="J26" s="37">
        <v>24613</v>
      </c>
      <c r="K26" s="37">
        <v>133</v>
      </c>
      <c r="L26" t="s">
        <v>30</v>
      </c>
      <c r="M26" t="s">
        <v>38</v>
      </c>
      <c r="N26" s="37">
        <v>2017</v>
      </c>
      <c r="O26" s="36">
        <v>8.0294585987261149E-2</v>
      </c>
      <c r="P26" t="s">
        <v>620</v>
      </c>
    </row>
    <row r="27" spans="1:19" x14ac:dyDescent="0.3">
      <c r="A27" t="s">
        <v>93</v>
      </c>
      <c r="B27" t="s">
        <v>43</v>
      </c>
      <c r="C27" s="34">
        <v>45602</v>
      </c>
      <c r="D27" t="s">
        <v>74</v>
      </c>
      <c r="E27" t="s">
        <v>75</v>
      </c>
      <c r="F27" s="37">
        <v>1606</v>
      </c>
      <c r="G27" s="37">
        <v>547</v>
      </c>
      <c r="H27" s="37">
        <v>316</v>
      </c>
      <c r="I27" s="37">
        <v>32120</v>
      </c>
      <c r="J27" s="37">
        <v>31736</v>
      </c>
      <c r="K27" s="37">
        <v>225</v>
      </c>
      <c r="L27" t="s">
        <v>30</v>
      </c>
      <c r="M27" t="s">
        <v>25</v>
      </c>
      <c r="N27" s="37">
        <v>2469</v>
      </c>
      <c r="O27" s="36">
        <v>7.6867995018679955E-2</v>
      </c>
      <c r="P27" t="s">
        <v>620</v>
      </c>
    </row>
    <row r="28" spans="1:19" x14ac:dyDescent="0.3">
      <c r="A28" t="s">
        <v>93</v>
      </c>
      <c r="B28" t="s">
        <v>43</v>
      </c>
      <c r="C28" s="34">
        <v>45602</v>
      </c>
      <c r="D28" t="s">
        <v>74</v>
      </c>
      <c r="E28" t="s">
        <v>75</v>
      </c>
      <c r="F28" s="37">
        <v>1606</v>
      </c>
      <c r="G28" s="37">
        <v>547</v>
      </c>
      <c r="H28" s="37">
        <v>316</v>
      </c>
      <c r="I28" s="37">
        <v>32120</v>
      </c>
      <c r="J28" s="37">
        <v>31736</v>
      </c>
      <c r="K28" s="37">
        <v>225</v>
      </c>
      <c r="L28" t="s">
        <v>618</v>
      </c>
      <c r="M28" t="s">
        <v>25</v>
      </c>
      <c r="N28" s="37">
        <v>2469</v>
      </c>
      <c r="O28" s="36">
        <v>7.6867995018679955E-2</v>
      </c>
      <c r="P28" t="s">
        <v>620</v>
      </c>
    </row>
    <row r="29" spans="1:19" x14ac:dyDescent="0.3">
      <c r="A29" t="s">
        <v>96</v>
      </c>
      <c r="B29" t="s">
        <v>43</v>
      </c>
      <c r="C29" s="34">
        <v>45680</v>
      </c>
      <c r="D29" t="s">
        <v>74</v>
      </c>
      <c r="E29" t="s">
        <v>75</v>
      </c>
      <c r="F29" s="37">
        <v>3961</v>
      </c>
      <c r="G29" s="37">
        <v>761</v>
      </c>
      <c r="H29" s="37">
        <v>131</v>
      </c>
      <c r="I29" s="37">
        <v>67337</v>
      </c>
      <c r="J29" s="37">
        <v>66615</v>
      </c>
      <c r="K29" s="37">
        <v>161</v>
      </c>
      <c r="L29" t="s">
        <v>62</v>
      </c>
      <c r="M29" t="s">
        <v>31</v>
      </c>
      <c r="N29" s="37">
        <v>4853</v>
      </c>
      <c r="O29" s="36">
        <v>7.2070332803659209E-2</v>
      </c>
      <c r="P29" t="s">
        <v>620</v>
      </c>
    </row>
    <row r="30" spans="1:19" x14ac:dyDescent="0.3">
      <c r="A30" t="s">
        <v>98</v>
      </c>
      <c r="B30" t="s">
        <v>14</v>
      </c>
      <c r="C30" s="34">
        <v>45757</v>
      </c>
      <c r="D30" t="s">
        <v>45</v>
      </c>
      <c r="E30" t="s">
        <v>49</v>
      </c>
      <c r="F30" s="37">
        <v>3128</v>
      </c>
      <c r="G30" s="37">
        <v>211</v>
      </c>
      <c r="H30" s="37">
        <v>197</v>
      </c>
      <c r="I30" s="37">
        <v>59432</v>
      </c>
      <c r="J30" s="37">
        <v>59182</v>
      </c>
      <c r="K30" s="37">
        <v>238</v>
      </c>
      <c r="L30" t="s">
        <v>37</v>
      </c>
      <c r="N30" s="37">
        <v>3536</v>
      </c>
      <c r="O30" s="36">
        <v>5.9496567505720827E-2</v>
      </c>
      <c r="P30" t="s">
        <v>620</v>
      </c>
    </row>
    <row r="31" spans="1:19" x14ac:dyDescent="0.3">
      <c r="A31" t="s">
        <v>100</v>
      </c>
      <c r="B31" t="s">
        <v>27</v>
      </c>
      <c r="C31" s="34">
        <v>45752</v>
      </c>
      <c r="D31" t="s">
        <v>16</v>
      </c>
      <c r="E31" t="s">
        <v>29</v>
      </c>
      <c r="F31" s="37">
        <v>3009</v>
      </c>
      <c r="G31" s="37">
        <v>413</v>
      </c>
      <c r="H31" s="37">
        <v>358</v>
      </c>
      <c r="I31" s="37">
        <v>42126</v>
      </c>
      <c r="J31" s="37">
        <v>41309</v>
      </c>
      <c r="K31" s="37">
        <v>211</v>
      </c>
      <c r="L31" t="s">
        <v>62</v>
      </c>
      <c r="M31" t="s">
        <v>25</v>
      </c>
      <c r="N31" s="37">
        <v>3780</v>
      </c>
      <c r="O31" s="36">
        <v>8.9730807577268201E-2</v>
      </c>
      <c r="P31" t="s">
        <v>620</v>
      </c>
    </row>
    <row r="32" spans="1:19" x14ac:dyDescent="0.3">
      <c r="A32" t="s">
        <v>102</v>
      </c>
      <c r="B32" t="s">
        <v>27</v>
      </c>
      <c r="C32" s="34">
        <v>45552</v>
      </c>
      <c r="D32" t="s">
        <v>22</v>
      </c>
      <c r="E32" t="s">
        <v>104</v>
      </c>
      <c r="F32" s="37">
        <v>2076</v>
      </c>
      <c r="G32" s="37">
        <v>195</v>
      </c>
      <c r="H32" s="37">
        <v>104</v>
      </c>
      <c r="I32" s="37">
        <v>33216</v>
      </c>
      <c r="J32" s="37">
        <v>32244</v>
      </c>
      <c r="K32" s="37">
        <v>51</v>
      </c>
      <c r="L32" t="s">
        <v>62</v>
      </c>
      <c r="M32" t="s">
        <v>38</v>
      </c>
      <c r="N32" s="37">
        <v>2375</v>
      </c>
      <c r="O32" s="36">
        <v>7.1501685934489398E-2</v>
      </c>
      <c r="P32" t="s">
        <v>620</v>
      </c>
    </row>
    <row r="33" spans="1:19" x14ac:dyDescent="0.3">
      <c r="A33" t="s">
        <v>105</v>
      </c>
      <c r="B33" t="s">
        <v>33</v>
      </c>
      <c r="C33" s="34">
        <v>45720</v>
      </c>
      <c r="D33" t="s">
        <v>74</v>
      </c>
      <c r="E33" t="s">
        <v>85</v>
      </c>
      <c r="F33" s="37">
        <v>432</v>
      </c>
      <c r="G33" s="37">
        <v>624</v>
      </c>
      <c r="H33" s="37">
        <v>123</v>
      </c>
      <c r="I33" s="37">
        <v>6912</v>
      </c>
      <c r="J33" s="37">
        <v>6259</v>
      </c>
      <c r="K33" s="37">
        <v>79</v>
      </c>
      <c r="L33" t="s">
        <v>62</v>
      </c>
      <c r="M33" t="s">
        <v>38</v>
      </c>
      <c r="N33" s="37">
        <v>1179</v>
      </c>
      <c r="O33" s="36">
        <v>0.17057291666666666</v>
      </c>
      <c r="P33" t="s">
        <v>38</v>
      </c>
      <c r="Q33" s="34">
        <v>45717</v>
      </c>
      <c r="R33" s="34">
        <v>45747</v>
      </c>
      <c r="S33" s="35">
        <v>180000</v>
      </c>
    </row>
    <row r="34" spans="1:19" x14ac:dyDescent="0.3">
      <c r="A34" t="s">
        <v>107</v>
      </c>
      <c r="B34" t="s">
        <v>33</v>
      </c>
      <c r="C34" s="34">
        <v>45688</v>
      </c>
      <c r="D34" t="s">
        <v>45</v>
      </c>
      <c r="E34" t="s">
        <v>88</v>
      </c>
      <c r="F34" s="37">
        <v>2566</v>
      </c>
      <c r="G34" s="37">
        <v>118</v>
      </c>
      <c r="H34" s="37">
        <v>37</v>
      </c>
      <c r="I34" s="37">
        <v>12830</v>
      </c>
      <c r="J34" s="37">
        <v>12264</v>
      </c>
      <c r="K34" s="37">
        <v>221</v>
      </c>
      <c r="L34" t="s">
        <v>62</v>
      </c>
      <c r="M34" t="s">
        <v>31</v>
      </c>
      <c r="N34" s="37">
        <v>2721</v>
      </c>
      <c r="O34" s="36">
        <v>0.21208106001558846</v>
      </c>
      <c r="P34" t="s">
        <v>620</v>
      </c>
    </row>
    <row r="35" spans="1:19" x14ac:dyDescent="0.3">
      <c r="A35" t="s">
        <v>109</v>
      </c>
      <c r="B35" t="s">
        <v>33</v>
      </c>
      <c r="C35" s="34">
        <v>45713</v>
      </c>
      <c r="D35" t="s">
        <v>74</v>
      </c>
      <c r="E35" t="s">
        <v>85</v>
      </c>
      <c r="F35" s="37">
        <v>3095</v>
      </c>
      <c r="G35" s="37">
        <v>39</v>
      </c>
      <c r="H35" s="37">
        <v>78</v>
      </c>
      <c r="I35" s="37">
        <v>55710</v>
      </c>
      <c r="J35" s="37">
        <v>54808</v>
      </c>
      <c r="K35" s="37">
        <v>93</v>
      </c>
      <c r="L35" t="s">
        <v>37</v>
      </c>
      <c r="N35" s="37">
        <v>3212</v>
      </c>
      <c r="O35" s="36">
        <v>5.7655717106444085E-2</v>
      </c>
      <c r="P35" t="s">
        <v>620</v>
      </c>
    </row>
    <row r="36" spans="1:19" x14ac:dyDescent="0.3">
      <c r="A36" t="s">
        <v>111</v>
      </c>
      <c r="B36" t="s">
        <v>33</v>
      </c>
      <c r="C36" s="34">
        <v>45642</v>
      </c>
      <c r="D36" t="s">
        <v>22</v>
      </c>
      <c r="E36" t="s">
        <v>113</v>
      </c>
      <c r="F36" s="37">
        <v>438</v>
      </c>
      <c r="G36" s="37">
        <v>153</v>
      </c>
      <c r="H36" s="37">
        <v>275</v>
      </c>
      <c r="I36" s="37">
        <v>3066</v>
      </c>
      <c r="J36" s="37">
        <v>2701</v>
      </c>
      <c r="K36" s="37">
        <v>282</v>
      </c>
      <c r="L36" t="s">
        <v>30</v>
      </c>
      <c r="M36" t="s">
        <v>25</v>
      </c>
      <c r="N36" s="37">
        <v>866</v>
      </c>
      <c r="O36" s="36">
        <v>0.28245270711024134</v>
      </c>
      <c r="P36" t="s">
        <v>620</v>
      </c>
    </row>
    <row r="37" spans="1:19" x14ac:dyDescent="0.3">
      <c r="A37" t="s">
        <v>114</v>
      </c>
      <c r="B37" t="s">
        <v>14</v>
      </c>
      <c r="C37" s="34">
        <v>45504</v>
      </c>
      <c r="D37" t="s">
        <v>45</v>
      </c>
      <c r="E37" t="s">
        <v>49</v>
      </c>
      <c r="F37" s="37">
        <v>2278</v>
      </c>
      <c r="G37" s="37">
        <v>10</v>
      </c>
      <c r="H37" s="37">
        <v>321</v>
      </c>
      <c r="I37" s="37">
        <v>13668</v>
      </c>
      <c r="J37" s="37">
        <v>12676</v>
      </c>
      <c r="K37" s="37">
        <v>275</v>
      </c>
      <c r="L37" t="s">
        <v>37</v>
      </c>
      <c r="M37" t="s">
        <v>19</v>
      </c>
      <c r="N37" s="37">
        <v>2609</v>
      </c>
      <c r="O37" s="36">
        <v>0.19088381621305239</v>
      </c>
      <c r="P37" t="s">
        <v>620</v>
      </c>
    </row>
    <row r="38" spans="1:19" x14ac:dyDescent="0.3">
      <c r="A38" t="s">
        <v>116</v>
      </c>
      <c r="B38" t="s">
        <v>43</v>
      </c>
      <c r="C38" s="34">
        <v>45525</v>
      </c>
      <c r="D38" t="s">
        <v>52</v>
      </c>
      <c r="E38" t="s">
        <v>59</v>
      </c>
      <c r="F38" s="37">
        <v>1407</v>
      </c>
      <c r="G38" s="37">
        <v>400</v>
      </c>
      <c r="H38" s="37">
        <v>351</v>
      </c>
      <c r="I38" s="37">
        <v>16884</v>
      </c>
      <c r="J38" s="37">
        <v>15954</v>
      </c>
      <c r="K38" s="37">
        <v>113</v>
      </c>
      <c r="L38" t="s">
        <v>30</v>
      </c>
      <c r="M38" t="s">
        <v>19</v>
      </c>
      <c r="N38" s="37">
        <v>2158</v>
      </c>
      <c r="O38" s="36">
        <v>0.12781331438047855</v>
      </c>
      <c r="P38" t="s">
        <v>620</v>
      </c>
    </row>
    <row r="39" spans="1:19" x14ac:dyDescent="0.3">
      <c r="A39" t="s">
        <v>118</v>
      </c>
      <c r="B39" t="s">
        <v>43</v>
      </c>
      <c r="C39" s="34">
        <v>45742</v>
      </c>
      <c r="D39" t="s">
        <v>22</v>
      </c>
      <c r="E39" t="s">
        <v>56</v>
      </c>
      <c r="F39" s="37">
        <v>1652</v>
      </c>
      <c r="G39" s="37">
        <v>89</v>
      </c>
      <c r="H39" s="37">
        <v>357</v>
      </c>
      <c r="I39" s="37">
        <v>29736</v>
      </c>
      <c r="J39" s="37">
        <v>28771</v>
      </c>
      <c r="K39" s="37">
        <v>215</v>
      </c>
      <c r="L39" t="s">
        <v>30</v>
      </c>
      <c r="M39" t="s">
        <v>31</v>
      </c>
      <c r="N39" s="37">
        <v>2098</v>
      </c>
      <c r="O39" s="36">
        <v>7.055421038471886E-2</v>
      </c>
      <c r="P39" t="s">
        <v>38</v>
      </c>
      <c r="Q39" s="34">
        <v>45717</v>
      </c>
      <c r="R39" s="34">
        <v>45747</v>
      </c>
      <c r="S39" s="35">
        <v>180000</v>
      </c>
    </row>
    <row r="40" spans="1:19" x14ac:dyDescent="0.3">
      <c r="A40" t="s">
        <v>120</v>
      </c>
      <c r="B40" t="s">
        <v>33</v>
      </c>
      <c r="C40" s="34">
        <v>45626</v>
      </c>
      <c r="D40" t="s">
        <v>74</v>
      </c>
      <c r="E40" t="s">
        <v>85</v>
      </c>
      <c r="F40" s="37">
        <v>3775</v>
      </c>
      <c r="G40" s="37">
        <v>16</v>
      </c>
      <c r="H40" s="37">
        <v>239</v>
      </c>
      <c r="I40" s="37">
        <v>33975</v>
      </c>
      <c r="J40" s="37">
        <v>33310</v>
      </c>
      <c r="K40" s="37">
        <v>271</v>
      </c>
      <c r="L40" t="s">
        <v>62</v>
      </c>
      <c r="M40" t="s">
        <v>25</v>
      </c>
      <c r="N40" s="37">
        <v>4030</v>
      </c>
      <c r="O40" s="36">
        <v>0.11861662987490802</v>
      </c>
      <c r="P40" t="s">
        <v>620</v>
      </c>
    </row>
    <row r="41" spans="1:19" x14ac:dyDescent="0.3">
      <c r="A41" t="s">
        <v>122</v>
      </c>
      <c r="B41" t="s">
        <v>33</v>
      </c>
      <c r="C41" s="34">
        <v>45766</v>
      </c>
      <c r="D41" t="s">
        <v>35</v>
      </c>
      <c r="E41" t="s">
        <v>36</v>
      </c>
      <c r="F41" s="37">
        <v>4518</v>
      </c>
      <c r="G41" s="37">
        <v>285</v>
      </c>
      <c r="H41" s="37">
        <v>383</v>
      </c>
      <c r="I41" s="37">
        <v>67770</v>
      </c>
      <c r="J41" s="37">
        <v>67621</v>
      </c>
      <c r="K41" s="37">
        <v>31</v>
      </c>
      <c r="L41" t="s">
        <v>37</v>
      </c>
      <c r="M41" t="s">
        <v>25</v>
      </c>
      <c r="N41" s="37">
        <v>5186</v>
      </c>
      <c r="O41" s="36">
        <v>7.6523535487678915E-2</v>
      </c>
      <c r="P41" t="s">
        <v>620</v>
      </c>
    </row>
    <row r="42" spans="1:19" x14ac:dyDescent="0.3">
      <c r="A42" t="s">
        <v>124</v>
      </c>
      <c r="B42" t="s">
        <v>43</v>
      </c>
      <c r="C42" s="34">
        <v>45663</v>
      </c>
      <c r="D42" t="s">
        <v>45</v>
      </c>
      <c r="E42" t="s">
        <v>46</v>
      </c>
      <c r="F42" s="37">
        <v>3024</v>
      </c>
      <c r="G42" s="37">
        <v>925</v>
      </c>
      <c r="H42" s="37">
        <v>350</v>
      </c>
      <c r="I42" s="37">
        <v>24192</v>
      </c>
      <c r="J42" s="37">
        <v>23518</v>
      </c>
      <c r="K42" s="37">
        <v>36</v>
      </c>
      <c r="L42" t="s">
        <v>37</v>
      </c>
      <c r="M42" t="s">
        <v>25</v>
      </c>
      <c r="N42" s="37">
        <v>4299</v>
      </c>
      <c r="O42" s="36">
        <v>0.17770337301587302</v>
      </c>
      <c r="P42" t="s">
        <v>31</v>
      </c>
      <c r="Q42" s="34">
        <v>45651</v>
      </c>
      <c r="R42" s="34">
        <v>45667</v>
      </c>
      <c r="S42" s="35">
        <v>250000</v>
      </c>
    </row>
    <row r="43" spans="1:19" x14ac:dyDescent="0.3">
      <c r="A43" t="s">
        <v>126</v>
      </c>
      <c r="B43" t="s">
        <v>27</v>
      </c>
      <c r="C43" s="34">
        <v>45705</v>
      </c>
      <c r="D43" t="s">
        <v>16</v>
      </c>
      <c r="E43" t="s">
        <v>29</v>
      </c>
      <c r="F43" s="37">
        <v>3138</v>
      </c>
      <c r="G43" s="37">
        <v>123</v>
      </c>
      <c r="H43" s="37">
        <v>291</v>
      </c>
      <c r="I43" s="37">
        <v>28242</v>
      </c>
      <c r="J43" s="37">
        <v>27550</v>
      </c>
      <c r="K43" s="37">
        <v>87</v>
      </c>
      <c r="L43" t="s">
        <v>30</v>
      </c>
      <c r="M43" t="s">
        <v>38</v>
      </c>
      <c r="N43" s="37">
        <v>3552</v>
      </c>
      <c r="O43" s="36">
        <v>0.12577012959422137</v>
      </c>
      <c r="P43" t="s">
        <v>620</v>
      </c>
    </row>
    <row r="44" spans="1:19" x14ac:dyDescent="0.3">
      <c r="A44" t="s">
        <v>128</v>
      </c>
      <c r="B44" t="s">
        <v>43</v>
      </c>
      <c r="C44" s="34">
        <v>45621</v>
      </c>
      <c r="D44" t="s">
        <v>52</v>
      </c>
      <c r="E44" t="s">
        <v>59</v>
      </c>
      <c r="F44" s="37">
        <v>3564</v>
      </c>
      <c r="G44" s="37">
        <v>629</v>
      </c>
      <c r="H44" s="37">
        <v>177</v>
      </c>
      <c r="I44" s="37">
        <v>60588</v>
      </c>
      <c r="J44" s="37">
        <v>59627</v>
      </c>
      <c r="K44" s="37">
        <v>92</v>
      </c>
      <c r="L44" t="s">
        <v>30</v>
      </c>
      <c r="N44" s="37">
        <v>4370</v>
      </c>
      <c r="O44" s="36">
        <v>7.2126493695121141E-2</v>
      </c>
      <c r="P44" t="s">
        <v>620</v>
      </c>
    </row>
    <row r="45" spans="1:19" x14ac:dyDescent="0.3">
      <c r="A45" t="s">
        <v>130</v>
      </c>
      <c r="B45" t="s">
        <v>14</v>
      </c>
      <c r="C45" s="34">
        <v>45723</v>
      </c>
      <c r="D45" t="s">
        <v>52</v>
      </c>
      <c r="E45" t="s">
        <v>132</v>
      </c>
      <c r="F45" s="37">
        <v>4750</v>
      </c>
      <c r="G45" s="37">
        <v>151</v>
      </c>
      <c r="H45" s="37">
        <v>415</v>
      </c>
      <c r="I45" s="37">
        <v>38000</v>
      </c>
      <c r="J45" s="37">
        <v>37792</v>
      </c>
      <c r="K45" s="37">
        <v>299</v>
      </c>
      <c r="L45" t="s">
        <v>37</v>
      </c>
      <c r="M45" t="s">
        <v>38</v>
      </c>
      <c r="N45" s="37">
        <v>5316</v>
      </c>
      <c r="O45" s="36">
        <v>0.13989473684210527</v>
      </c>
      <c r="P45" t="s">
        <v>38</v>
      </c>
      <c r="Q45" s="34">
        <v>45717</v>
      </c>
      <c r="R45" s="34">
        <v>45747</v>
      </c>
      <c r="S45" s="35">
        <v>180000</v>
      </c>
    </row>
    <row r="46" spans="1:19" x14ac:dyDescent="0.3">
      <c r="A46" t="s">
        <v>133</v>
      </c>
      <c r="B46" t="s">
        <v>33</v>
      </c>
      <c r="C46" s="34">
        <v>45724</v>
      </c>
      <c r="D46" t="s">
        <v>16</v>
      </c>
      <c r="E46" t="s">
        <v>82</v>
      </c>
      <c r="F46" s="37">
        <v>456</v>
      </c>
      <c r="G46" s="37">
        <v>629</v>
      </c>
      <c r="H46" s="37">
        <v>428</v>
      </c>
      <c r="I46" s="37">
        <v>8208</v>
      </c>
      <c r="J46" s="37">
        <v>7377</v>
      </c>
      <c r="K46" s="37">
        <v>205</v>
      </c>
      <c r="L46" t="s">
        <v>62</v>
      </c>
      <c r="M46" t="s">
        <v>38</v>
      </c>
      <c r="N46" s="37">
        <v>1513</v>
      </c>
      <c r="O46" s="36">
        <v>0.18433235867446393</v>
      </c>
      <c r="P46" t="s">
        <v>38</v>
      </c>
      <c r="Q46" s="34">
        <v>45717</v>
      </c>
      <c r="R46" s="34">
        <v>45747</v>
      </c>
      <c r="S46" s="35">
        <v>180000</v>
      </c>
    </row>
    <row r="47" spans="1:19" x14ac:dyDescent="0.3">
      <c r="A47" t="s">
        <v>135</v>
      </c>
      <c r="B47" t="s">
        <v>27</v>
      </c>
      <c r="C47" s="34">
        <v>45721</v>
      </c>
      <c r="D47" t="s">
        <v>16</v>
      </c>
      <c r="E47" t="s">
        <v>29</v>
      </c>
      <c r="F47" s="37">
        <v>1543</v>
      </c>
      <c r="G47" s="37">
        <v>820</v>
      </c>
      <c r="H47" s="37">
        <v>333</v>
      </c>
      <c r="I47" s="37">
        <v>12344</v>
      </c>
      <c r="J47" s="37">
        <v>11496</v>
      </c>
      <c r="K47" s="37">
        <v>241</v>
      </c>
      <c r="L47" t="s">
        <v>37</v>
      </c>
      <c r="N47" s="37">
        <v>2696</v>
      </c>
      <c r="O47" s="36">
        <v>0.21840570317563188</v>
      </c>
      <c r="P47" t="s">
        <v>38</v>
      </c>
      <c r="Q47" s="34">
        <v>45717</v>
      </c>
      <c r="R47" s="34">
        <v>45747</v>
      </c>
      <c r="S47" s="35">
        <v>180000</v>
      </c>
    </row>
    <row r="48" spans="1:19" x14ac:dyDescent="0.3">
      <c r="A48" t="s">
        <v>137</v>
      </c>
      <c r="B48" t="s">
        <v>33</v>
      </c>
      <c r="C48" s="34">
        <v>45640</v>
      </c>
      <c r="D48" t="s">
        <v>45</v>
      </c>
      <c r="E48" t="s">
        <v>88</v>
      </c>
      <c r="F48" s="37">
        <v>2174</v>
      </c>
      <c r="G48" s="37">
        <v>658</v>
      </c>
      <c r="H48" s="37">
        <v>15</v>
      </c>
      <c r="I48" s="37">
        <v>13044</v>
      </c>
      <c r="J48" s="37">
        <v>12206</v>
      </c>
      <c r="K48" s="37">
        <v>137</v>
      </c>
      <c r="L48" t="s">
        <v>30</v>
      </c>
      <c r="M48" t="s">
        <v>31</v>
      </c>
      <c r="N48" s="37">
        <v>2847</v>
      </c>
      <c r="O48" s="36">
        <v>0.21826126954921804</v>
      </c>
      <c r="P48" t="s">
        <v>620</v>
      </c>
    </row>
    <row r="49" spans="1:19" x14ac:dyDescent="0.3">
      <c r="A49" t="s">
        <v>139</v>
      </c>
      <c r="B49" t="s">
        <v>14</v>
      </c>
      <c r="C49" s="34">
        <v>45718</v>
      </c>
      <c r="D49" t="s">
        <v>52</v>
      </c>
      <c r="E49" t="s">
        <v>132</v>
      </c>
      <c r="F49" s="37">
        <v>2358</v>
      </c>
      <c r="G49" s="37">
        <v>784</v>
      </c>
      <c r="H49" s="37">
        <v>344</v>
      </c>
      <c r="I49" s="37">
        <v>35370</v>
      </c>
      <c r="J49" s="37">
        <v>34475</v>
      </c>
      <c r="K49" s="37">
        <v>216</v>
      </c>
      <c r="L49" t="s">
        <v>30</v>
      </c>
      <c r="N49" s="37">
        <v>3486</v>
      </c>
      <c r="O49" s="36">
        <v>9.8558100084817649E-2</v>
      </c>
      <c r="P49" t="s">
        <v>38</v>
      </c>
      <c r="Q49" s="34">
        <v>45717</v>
      </c>
      <c r="R49" s="34">
        <v>45747</v>
      </c>
      <c r="S49" s="35">
        <v>180000</v>
      </c>
    </row>
    <row r="50" spans="1:19" x14ac:dyDescent="0.3">
      <c r="A50" t="s">
        <v>141</v>
      </c>
      <c r="B50" t="s">
        <v>43</v>
      </c>
      <c r="C50" s="34">
        <v>45597</v>
      </c>
      <c r="D50" t="s">
        <v>74</v>
      </c>
      <c r="E50" t="s">
        <v>75</v>
      </c>
      <c r="F50" s="37">
        <v>3371</v>
      </c>
      <c r="G50" s="37">
        <v>106</v>
      </c>
      <c r="H50" s="37">
        <v>327</v>
      </c>
      <c r="I50" s="37">
        <v>50565</v>
      </c>
      <c r="J50" s="37">
        <v>49816</v>
      </c>
      <c r="K50" s="37">
        <v>176</v>
      </c>
      <c r="L50" t="s">
        <v>62</v>
      </c>
      <c r="M50" t="s">
        <v>19</v>
      </c>
      <c r="N50" s="37">
        <v>3804</v>
      </c>
      <c r="O50" s="36">
        <v>7.5229902106199939E-2</v>
      </c>
      <c r="P50" t="s">
        <v>620</v>
      </c>
    </row>
    <row r="51" spans="1:19" x14ac:dyDescent="0.3">
      <c r="A51" t="s">
        <v>143</v>
      </c>
      <c r="B51" t="s">
        <v>14</v>
      </c>
      <c r="C51" s="34">
        <v>45779</v>
      </c>
      <c r="D51" t="s">
        <v>74</v>
      </c>
      <c r="E51" t="s">
        <v>145</v>
      </c>
      <c r="F51" s="37">
        <v>1108</v>
      </c>
      <c r="G51" s="37">
        <v>177</v>
      </c>
      <c r="H51" s="37">
        <v>212</v>
      </c>
      <c r="I51" s="37">
        <v>8864</v>
      </c>
      <c r="J51" s="37">
        <v>8710</v>
      </c>
      <c r="K51" s="37">
        <v>97</v>
      </c>
      <c r="L51" t="s">
        <v>30</v>
      </c>
      <c r="M51" t="s">
        <v>38</v>
      </c>
      <c r="N51" s="37">
        <v>1497</v>
      </c>
      <c r="O51" s="36">
        <v>0.16888537906137185</v>
      </c>
      <c r="P51" t="s">
        <v>620</v>
      </c>
    </row>
    <row r="52" spans="1:19" x14ac:dyDescent="0.3">
      <c r="A52" t="s">
        <v>146</v>
      </c>
      <c r="B52" t="s">
        <v>14</v>
      </c>
      <c r="C52" s="34">
        <v>45712</v>
      </c>
      <c r="D52" t="s">
        <v>45</v>
      </c>
      <c r="E52" t="s">
        <v>49</v>
      </c>
      <c r="F52" s="37">
        <v>2704</v>
      </c>
      <c r="G52" s="37">
        <v>752</v>
      </c>
      <c r="H52" s="37">
        <v>153</v>
      </c>
      <c r="I52" s="37">
        <v>21632</v>
      </c>
      <c r="J52" s="37">
        <v>20792</v>
      </c>
      <c r="K52" s="37">
        <v>127</v>
      </c>
      <c r="L52" t="s">
        <v>62</v>
      </c>
      <c r="N52" s="37">
        <v>3609</v>
      </c>
      <c r="O52" s="36">
        <v>0.16683616863905326</v>
      </c>
      <c r="P52" t="s">
        <v>620</v>
      </c>
    </row>
    <row r="53" spans="1:19" x14ac:dyDescent="0.3">
      <c r="A53" t="s">
        <v>148</v>
      </c>
      <c r="B53" t="s">
        <v>14</v>
      </c>
      <c r="C53" s="34">
        <v>45727</v>
      </c>
      <c r="D53" t="s">
        <v>35</v>
      </c>
      <c r="E53" t="s">
        <v>149</v>
      </c>
      <c r="F53" s="37">
        <v>1950</v>
      </c>
      <c r="G53" s="37">
        <v>295</v>
      </c>
      <c r="H53" s="37">
        <v>478</v>
      </c>
      <c r="I53" s="37">
        <v>37050</v>
      </c>
      <c r="J53" s="37">
        <v>36272</v>
      </c>
      <c r="K53" s="37">
        <v>119</v>
      </c>
      <c r="L53" t="s">
        <v>30</v>
      </c>
      <c r="N53" s="37">
        <v>2723</v>
      </c>
      <c r="O53" s="36">
        <v>7.349527665317139E-2</v>
      </c>
      <c r="P53" t="s">
        <v>38</v>
      </c>
      <c r="Q53" s="34">
        <v>45717</v>
      </c>
      <c r="R53" s="34">
        <v>45747</v>
      </c>
      <c r="S53" s="35">
        <v>180000</v>
      </c>
    </row>
    <row r="54" spans="1:19" x14ac:dyDescent="0.3">
      <c r="A54" t="s">
        <v>150</v>
      </c>
      <c r="B54" t="s">
        <v>14</v>
      </c>
      <c r="C54" s="34">
        <v>45453</v>
      </c>
      <c r="D54" t="s">
        <v>35</v>
      </c>
      <c r="E54" t="s">
        <v>149</v>
      </c>
      <c r="F54" s="37">
        <v>2164</v>
      </c>
      <c r="G54" s="37">
        <v>549</v>
      </c>
      <c r="H54" s="37">
        <v>274</v>
      </c>
      <c r="I54" s="37">
        <v>28132</v>
      </c>
      <c r="J54" s="37">
        <v>27361</v>
      </c>
      <c r="K54" s="37">
        <v>177</v>
      </c>
      <c r="L54" t="s">
        <v>30</v>
      </c>
      <c r="M54" t="s">
        <v>38</v>
      </c>
      <c r="N54" s="37">
        <v>2987</v>
      </c>
      <c r="O54" s="36">
        <v>0.10617801791554102</v>
      </c>
      <c r="P54" t="s">
        <v>620</v>
      </c>
    </row>
    <row r="55" spans="1:19" x14ac:dyDescent="0.3">
      <c r="A55" t="s">
        <v>152</v>
      </c>
      <c r="B55" t="s">
        <v>27</v>
      </c>
      <c r="C55" s="34">
        <v>45476</v>
      </c>
      <c r="D55" t="s">
        <v>35</v>
      </c>
      <c r="E55" t="s">
        <v>154</v>
      </c>
      <c r="F55" s="37">
        <v>2754</v>
      </c>
      <c r="G55" s="37">
        <v>130</v>
      </c>
      <c r="H55" s="37">
        <v>90</v>
      </c>
      <c r="I55" s="37">
        <v>22032</v>
      </c>
      <c r="J55" s="37">
        <v>21288</v>
      </c>
      <c r="K55" s="37">
        <v>112</v>
      </c>
      <c r="L55" t="s">
        <v>30</v>
      </c>
      <c r="M55" t="s">
        <v>31</v>
      </c>
      <c r="N55" s="37">
        <v>2974</v>
      </c>
      <c r="O55" s="36">
        <v>0.13498547567175018</v>
      </c>
      <c r="P55" t="s">
        <v>19</v>
      </c>
      <c r="Q55" s="34">
        <v>45458</v>
      </c>
      <c r="R55" s="34">
        <v>45488</v>
      </c>
      <c r="S55" s="35">
        <v>150000</v>
      </c>
    </row>
    <row r="56" spans="1:19" x14ac:dyDescent="0.3">
      <c r="A56" t="s">
        <v>155</v>
      </c>
      <c r="B56" t="s">
        <v>43</v>
      </c>
      <c r="C56" s="34">
        <v>45456</v>
      </c>
      <c r="D56" t="s">
        <v>45</v>
      </c>
      <c r="E56" t="s">
        <v>46</v>
      </c>
      <c r="F56" s="37">
        <v>2200</v>
      </c>
      <c r="G56" s="37">
        <v>504</v>
      </c>
      <c r="H56" s="37">
        <v>239</v>
      </c>
      <c r="I56" s="37">
        <v>37400</v>
      </c>
      <c r="J56" s="37">
        <v>36938</v>
      </c>
      <c r="K56" s="37">
        <v>225</v>
      </c>
      <c r="L56" t="s">
        <v>62</v>
      </c>
      <c r="M56" t="s">
        <v>25</v>
      </c>
      <c r="N56" s="37">
        <v>2943</v>
      </c>
      <c r="O56" s="36">
        <v>7.8689839572192513E-2</v>
      </c>
      <c r="P56" t="s">
        <v>620</v>
      </c>
    </row>
    <row r="57" spans="1:19" x14ac:dyDescent="0.3">
      <c r="A57" t="s">
        <v>157</v>
      </c>
      <c r="B57" t="s">
        <v>43</v>
      </c>
      <c r="C57" s="34">
        <v>45660</v>
      </c>
      <c r="D57" t="s">
        <v>52</v>
      </c>
      <c r="E57" t="s">
        <v>59</v>
      </c>
      <c r="F57" s="37">
        <v>947</v>
      </c>
      <c r="G57" s="37">
        <v>338</v>
      </c>
      <c r="H57" s="37">
        <v>350</v>
      </c>
      <c r="I57" s="37">
        <v>10417</v>
      </c>
      <c r="J57" s="37">
        <v>9730</v>
      </c>
      <c r="K57" s="37">
        <v>34</v>
      </c>
      <c r="L57" t="s">
        <v>30</v>
      </c>
      <c r="M57" t="s">
        <v>38</v>
      </c>
      <c r="N57" s="37">
        <v>1635</v>
      </c>
      <c r="O57" s="36">
        <v>0.1569549774407219</v>
      </c>
      <c r="P57" t="s">
        <v>31</v>
      </c>
      <c r="Q57" s="34">
        <v>45651</v>
      </c>
      <c r="R57" s="34">
        <v>45667</v>
      </c>
      <c r="S57" s="35">
        <v>250000</v>
      </c>
    </row>
    <row r="58" spans="1:19" x14ac:dyDescent="0.3">
      <c r="A58" t="s">
        <v>159</v>
      </c>
      <c r="B58" t="s">
        <v>27</v>
      </c>
      <c r="C58" s="34">
        <v>45712</v>
      </c>
      <c r="D58" t="s">
        <v>45</v>
      </c>
      <c r="E58" t="s">
        <v>68</v>
      </c>
      <c r="F58" s="37">
        <v>804</v>
      </c>
      <c r="G58" s="37">
        <v>639</v>
      </c>
      <c r="H58" s="37">
        <v>43</v>
      </c>
      <c r="I58" s="37">
        <v>4020</v>
      </c>
      <c r="J58" s="37">
        <v>3144</v>
      </c>
      <c r="K58" s="37">
        <v>11</v>
      </c>
      <c r="L58" t="s">
        <v>37</v>
      </c>
      <c r="N58" s="37">
        <v>1486</v>
      </c>
      <c r="O58" s="36">
        <v>0.36965174129353234</v>
      </c>
      <c r="P58" t="s">
        <v>620</v>
      </c>
    </row>
    <row r="59" spans="1:19" x14ac:dyDescent="0.3">
      <c r="A59" t="s">
        <v>159</v>
      </c>
      <c r="B59" t="s">
        <v>27</v>
      </c>
      <c r="C59" s="34">
        <v>45712</v>
      </c>
      <c r="D59" t="s">
        <v>45</v>
      </c>
      <c r="E59" t="s">
        <v>68</v>
      </c>
      <c r="F59" s="37">
        <v>804</v>
      </c>
      <c r="G59" s="37">
        <v>639</v>
      </c>
      <c r="H59" s="37">
        <v>43</v>
      </c>
      <c r="I59" s="37">
        <v>4020</v>
      </c>
      <c r="J59" s="37">
        <v>3144</v>
      </c>
      <c r="K59" s="37">
        <v>11</v>
      </c>
      <c r="L59" t="s">
        <v>619</v>
      </c>
      <c r="N59" s="37">
        <v>1486</v>
      </c>
      <c r="O59" s="36">
        <v>0.36965174129353234</v>
      </c>
      <c r="P59" t="s">
        <v>620</v>
      </c>
    </row>
    <row r="60" spans="1:19" x14ac:dyDescent="0.3">
      <c r="A60" t="s">
        <v>161</v>
      </c>
      <c r="B60" t="s">
        <v>27</v>
      </c>
      <c r="C60" s="34">
        <v>45729</v>
      </c>
      <c r="D60" t="s">
        <v>45</v>
      </c>
      <c r="E60" t="s">
        <v>68</v>
      </c>
      <c r="F60" s="37">
        <v>1686</v>
      </c>
      <c r="G60" s="37">
        <v>904</v>
      </c>
      <c r="H60" s="37">
        <v>472</v>
      </c>
      <c r="I60" s="37">
        <v>18546</v>
      </c>
      <c r="J60" s="37">
        <v>18171</v>
      </c>
      <c r="K60" s="37">
        <v>52</v>
      </c>
      <c r="L60" t="s">
        <v>62</v>
      </c>
      <c r="M60" t="s">
        <v>25</v>
      </c>
      <c r="N60" s="37">
        <v>3062</v>
      </c>
      <c r="O60" s="36">
        <v>0.16510298716704411</v>
      </c>
      <c r="P60" t="s">
        <v>38</v>
      </c>
      <c r="Q60" s="34">
        <v>45717</v>
      </c>
      <c r="R60" s="34">
        <v>45747</v>
      </c>
      <c r="S60" s="35">
        <v>180000</v>
      </c>
    </row>
    <row r="61" spans="1:19" x14ac:dyDescent="0.3">
      <c r="A61" t="s">
        <v>163</v>
      </c>
      <c r="B61" t="s">
        <v>43</v>
      </c>
      <c r="C61" s="34">
        <v>45460</v>
      </c>
      <c r="D61" t="s">
        <v>52</v>
      </c>
      <c r="E61" t="s">
        <v>59</v>
      </c>
      <c r="F61" s="37">
        <v>1226</v>
      </c>
      <c r="G61" s="37">
        <v>119</v>
      </c>
      <c r="H61" s="37">
        <v>7</v>
      </c>
      <c r="I61" s="37">
        <v>14712</v>
      </c>
      <c r="J61" s="37">
        <v>14049</v>
      </c>
      <c r="K61" s="37">
        <v>123</v>
      </c>
      <c r="L61" t="s">
        <v>37</v>
      </c>
      <c r="M61" t="s">
        <v>38</v>
      </c>
      <c r="N61" s="37">
        <v>1352</v>
      </c>
      <c r="O61" s="36">
        <v>9.1897770527460579E-2</v>
      </c>
      <c r="P61" t="s">
        <v>19</v>
      </c>
      <c r="Q61" s="34">
        <v>45458</v>
      </c>
      <c r="R61" s="34">
        <v>45488</v>
      </c>
      <c r="S61" s="35">
        <v>150000</v>
      </c>
    </row>
    <row r="62" spans="1:19" x14ac:dyDescent="0.3">
      <c r="A62" t="s">
        <v>165</v>
      </c>
      <c r="B62" t="s">
        <v>43</v>
      </c>
      <c r="C62" s="34">
        <v>45644</v>
      </c>
      <c r="D62" t="s">
        <v>45</v>
      </c>
      <c r="E62" t="s">
        <v>46</v>
      </c>
      <c r="F62" s="37">
        <v>2946</v>
      </c>
      <c r="G62" s="37">
        <v>498</v>
      </c>
      <c r="H62" s="37">
        <v>367</v>
      </c>
      <c r="I62" s="37">
        <v>29460</v>
      </c>
      <c r="J62" s="37">
        <v>28527</v>
      </c>
      <c r="K62" s="37">
        <v>60</v>
      </c>
      <c r="L62" t="s">
        <v>62</v>
      </c>
      <c r="M62" t="s">
        <v>31</v>
      </c>
      <c r="N62" s="37">
        <v>3811</v>
      </c>
      <c r="O62" s="36">
        <v>0.12936184657162253</v>
      </c>
      <c r="P62" t="s">
        <v>620</v>
      </c>
    </row>
    <row r="63" spans="1:19" x14ac:dyDescent="0.3">
      <c r="A63" t="s">
        <v>167</v>
      </c>
      <c r="B63" t="s">
        <v>14</v>
      </c>
      <c r="C63" s="34">
        <v>45586</v>
      </c>
      <c r="D63" t="s">
        <v>74</v>
      </c>
      <c r="E63" t="s">
        <v>145</v>
      </c>
      <c r="F63" s="37">
        <v>2825</v>
      </c>
      <c r="G63" s="37">
        <v>535</v>
      </c>
      <c r="H63" s="37">
        <v>295</v>
      </c>
      <c r="I63" s="37">
        <v>45200</v>
      </c>
      <c r="J63" s="37">
        <v>44739</v>
      </c>
      <c r="K63" s="37">
        <v>169</v>
      </c>
      <c r="L63" t="s">
        <v>30</v>
      </c>
      <c r="M63" t="s">
        <v>19</v>
      </c>
      <c r="N63" s="37">
        <v>3655</v>
      </c>
      <c r="O63" s="36">
        <v>8.0862831858407078E-2</v>
      </c>
      <c r="P63" t="s">
        <v>25</v>
      </c>
      <c r="Q63" s="34">
        <v>45566</v>
      </c>
      <c r="R63" s="34">
        <v>45596</v>
      </c>
      <c r="S63" s="35">
        <v>200000</v>
      </c>
    </row>
    <row r="64" spans="1:19" x14ac:dyDescent="0.3">
      <c r="A64" t="s">
        <v>169</v>
      </c>
      <c r="B64" t="s">
        <v>33</v>
      </c>
      <c r="C64" s="34">
        <v>45762</v>
      </c>
      <c r="D64" t="s">
        <v>16</v>
      </c>
      <c r="E64" t="s">
        <v>82</v>
      </c>
      <c r="F64" s="37">
        <v>103</v>
      </c>
      <c r="G64" s="37">
        <v>770</v>
      </c>
      <c r="H64" s="37">
        <v>19</v>
      </c>
      <c r="I64" s="37">
        <v>1030</v>
      </c>
      <c r="J64" s="37">
        <v>410</v>
      </c>
      <c r="K64" s="37">
        <v>262</v>
      </c>
      <c r="L64" t="s">
        <v>30</v>
      </c>
      <c r="M64" t="s">
        <v>38</v>
      </c>
      <c r="N64" s="37">
        <v>892</v>
      </c>
      <c r="O64" s="36">
        <v>0.86601941747572819</v>
      </c>
      <c r="P64" t="s">
        <v>620</v>
      </c>
    </row>
    <row r="65" spans="1:19" x14ac:dyDescent="0.3">
      <c r="A65" t="s">
        <v>171</v>
      </c>
      <c r="B65" t="s">
        <v>33</v>
      </c>
      <c r="C65" s="34">
        <v>45465</v>
      </c>
      <c r="D65" t="s">
        <v>22</v>
      </c>
      <c r="E65" t="s">
        <v>113</v>
      </c>
      <c r="F65" s="37">
        <v>2180</v>
      </c>
      <c r="G65" s="37">
        <v>263</v>
      </c>
      <c r="H65" s="37">
        <v>387</v>
      </c>
      <c r="I65" s="37">
        <v>30520</v>
      </c>
      <c r="J65" s="37">
        <v>30059</v>
      </c>
      <c r="K65" s="37">
        <v>174</v>
      </c>
      <c r="L65" t="s">
        <v>37</v>
      </c>
      <c r="N65" s="37">
        <v>2830</v>
      </c>
      <c r="O65" s="36">
        <v>9.2726081258191345E-2</v>
      </c>
      <c r="P65" t="s">
        <v>19</v>
      </c>
      <c r="Q65" s="34">
        <v>45458</v>
      </c>
      <c r="R65" s="34">
        <v>45488</v>
      </c>
      <c r="S65" s="35">
        <v>150000</v>
      </c>
    </row>
    <row r="66" spans="1:19" x14ac:dyDescent="0.3">
      <c r="A66" t="s">
        <v>173</v>
      </c>
      <c r="B66" t="s">
        <v>33</v>
      </c>
      <c r="C66" s="34">
        <v>45685</v>
      </c>
      <c r="D66" t="s">
        <v>74</v>
      </c>
      <c r="E66" t="s">
        <v>85</v>
      </c>
      <c r="F66" s="37">
        <v>904</v>
      </c>
      <c r="G66" s="37">
        <v>973</v>
      </c>
      <c r="H66" s="37">
        <v>63</v>
      </c>
      <c r="I66" s="37">
        <v>11752</v>
      </c>
      <c r="J66" s="37">
        <v>11580</v>
      </c>
      <c r="K66" s="37">
        <v>84</v>
      </c>
      <c r="L66" t="s">
        <v>37</v>
      </c>
      <c r="M66" t="s">
        <v>31</v>
      </c>
      <c r="N66" s="37">
        <v>1940</v>
      </c>
      <c r="O66" s="36">
        <v>0.1650782845473111</v>
      </c>
      <c r="P66" t="s">
        <v>620</v>
      </c>
    </row>
    <row r="67" spans="1:19" x14ac:dyDescent="0.3">
      <c r="A67" t="s">
        <v>173</v>
      </c>
      <c r="B67" t="s">
        <v>33</v>
      </c>
      <c r="C67" s="34">
        <v>45685</v>
      </c>
      <c r="D67" t="s">
        <v>74</v>
      </c>
      <c r="E67" t="s">
        <v>85</v>
      </c>
      <c r="F67" s="37">
        <v>904</v>
      </c>
      <c r="G67" s="37">
        <v>973</v>
      </c>
      <c r="H67" s="37">
        <v>63</v>
      </c>
      <c r="I67" s="37">
        <v>11752</v>
      </c>
      <c r="J67" s="37">
        <v>11580</v>
      </c>
      <c r="K67" s="37">
        <v>84</v>
      </c>
      <c r="L67" t="s">
        <v>30</v>
      </c>
      <c r="M67" t="s">
        <v>31</v>
      </c>
      <c r="N67" s="37">
        <v>1940</v>
      </c>
      <c r="O67" s="36">
        <v>0.1650782845473111</v>
      </c>
      <c r="P67" t="s">
        <v>620</v>
      </c>
    </row>
    <row r="68" spans="1:19" x14ac:dyDescent="0.3">
      <c r="A68" t="s">
        <v>173</v>
      </c>
      <c r="B68" t="s">
        <v>33</v>
      </c>
      <c r="C68" s="34">
        <v>45685</v>
      </c>
      <c r="D68" t="s">
        <v>74</v>
      </c>
      <c r="E68" t="s">
        <v>85</v>
      </c>
      <c r="F68" s="37">
        <v>904</v>
      </c>
      <c r="G68" s="37">
        <v>973</v>
      </c>
      <c r="H68" s="37">
        <v>63</v>
      </c>
      <c r="I68" s="37">
        <v>11752</v>
      </c>
      <c r="J68" s="37">
        <v>11580</v>
      </c>
      <c r="K68" s="37">
        <v>84</v>
      </c>
      <c r="L68" t="s">
        <v>618</v>
      </c>
      <c r="M68" t="s">
        <v>31</v>
      </c>
      <c r="N68" s="37">
        <v>1940</v>
      </c>
      <c r="O68" s="36">
        <v>0.1650782845473111</v>
      </c>
      <c r="P68" t="s">
        <v>620</v>
      </c>
    </row>
    <row r="69" spans="1:19" x14ac:dyDescent="0.3">
      <c r="A69" t="s">
        <v>176</v>
      </c>
      <c r="B69" t="s">
        <v>14</v>
      </c>
      <c r="C69" s="34">
        <v>45540</v>
      </c>
      <c r="D69" t="s">
        <v>74</v>
      </c>
      <c r="E69" t="s">
        <v>145</v>
      </c>
      <c r="F69" s="37">
        <v>4886</v>
      </c>
      <c r="G69" s="37">
        <v>983</v>
      </c>
      <c r="H69" s="37">
        <v>409</v>
      </c>
      <c r="I69" s="37">
        <v>43974</v>
      </c>
      <c r="J69" s="37">
        <v>43239</v>
      </c>
      <c r="K69" s="37">
        <v>65</v>
      </c>
      <c r="L69" t="s">
        <v>30</v>
      </c>
      <c r="M69" t="s">
        <v>19</v>
      </c>
      <c r="N69" s="37">
        <v>6278</v>
      </c>
      <c r="O69" s="36">
        <v>0.14276618001546368</v>
      </c>
      <c r="P69" t="s">
        <v>620</v>
      </c>
    </row>
    <row r="70" spans="1:19" x14ac:dyDescent="0.3">
      <c r="A70" t="s">
        <v>178</v>
      </c>
      <c r="B70" t="s">
        <v>14</v>
      </c>
      <c r="C70" s="34">
        <v>45618</v>
      </c>
      <c r="D70" t="s">
        <v>45</v>
      </c>
      <c r="E70" t="s">
        <v>49</v>
      </c>
      <c r="F70" s="37">
        <v>53</v>
      </c>
      <c r="G70" s="37">
        <v>81</v>
      </c>
      <c r="H70" s="37">
        <v>379</v>
      </c>
      <c r="I70" s="37">
        <v>954</v>
      </c>
      <c r="J70" s="37">
        <v>7</v>
      </c>
      <c r="K70" s="37">
        <v>148</v>
      </c>
      <c r="L70" t="s">
        <v>30</v>
      </c>
      <c r="M70" t="s">
        <v>31</v>
      </c>
      <c r="N70" s="37">
        <v>513</v>
      </c>
      <c r="O70" s="36">
        <v>0.53773584905660377</v>
      </c>
      <c r="P70" t="s">
        <v>620</v>
      </c>
    </row>
    <row r="71" spans="1:19" x14ac:dyDescent="0.3">
      <c r="A71" t="s">
        <v>180</v>
      </c>
      <c r="B71" t="s">
        <v>14</v>
      </c>
      <c r="C71" s="34">
        <v>45504</v>
      </c>
      <c r="D71" t="s">
        <v>45</v>
      </c>
      <c r="E71" t="s">
        <v>49</v>
      </c>
      <c r="F71" s="37">
        <v>4507</v>
      </c>
      <c r="G71" s="37">
        <v>217</v>
      </c>
      <c r="H71" s="37">
        <v>13</v>
      </c>
      <c r="I71" s="37">
        <v>90140</v>
      </c>
      <c r="J71" s="37">
        <v>89591</v>
      </c>
      <c r="K71" s="37">
        <v>125</v>
      </c>
      <c r="L71" t="s">
        <v>62</v>
      </c>
      <c r="M71" t="s">
        <v>31</v>
      </c>
      <c r="N71" s="37">
        <v>4737</v>
      </c>
      <c r="O71" s="36">
        <v>5.2551586421122697E-2</v>
      </c>
      <c r="P71" t="s">
        <v>620</v>
      </c>
    </row>
    <row r="72" spans="1:19" x14ac:dyDescent="0.3">
      <c r="A72" t="s">
        <v>181</v>
      </c>
      <c r="B72" t="s">
        <v>43</v>
      </c>
      <c r="C72" s="34">
        <v>45521</v>
      </c>
      <c r="D72" t="s">
        <v>52</v>
      </c>
      <c r="E72" t="s">
        <v>59</v>
      </c>
      <c r="F72" s="37">
        <v>2878</v>
      </c>
      <c r="G72" s="37">
        <v>248</v>
      </c>
      <c r="H72" s="37">
        <v>416</v>
      </c>
      <c r="I72" s="37">
        <v>43170</v>
      </c>
      <c r="J72" s="37">
        <v>42667</v>
      </c>
      <c r="K72" s="37">
        <v>75</v>
      </c>
      <c r="L72" t="s">
        <v>62</v>
      </c>
      <c r="M72" t="s">
        <v>31</v>
      </c>
      <c r="N72" s="37">
        <v>3542</v>
      </c>
      <c r="O72" s="36">
        <v>8.2047718322909427E-2</v>
      </c>
      <c r="P72" t="s">
        <v>620</v>
      </c>
    </row>
    <row r="73" spans="1:19" x14ac:dyDescent="0.3">
      <c r="A73" t="s">
        <v>183</v>
      </c>
      <c r="B73" t="s">
        <v>33</v>
      </c>
      <c r="C73" s="34">
        <v>45744</v>
      </c>
      <c r="D73" t="s">
        <v>35</v>
      </c>
      <c r="E73" t="s">
        <v>36</v>
      </c>
      <c r="F73" s="37">
        <v>1881</v>
      </c>
      <c r="G73" s="37">
        <v>501</v>
      </c>
      <c r="H73" s="37">
        <v>99</v>
      </c>
      <c r="I73" s="37">
        <v>20691</v>
      </c>
      <c r="J73" s="37">
        <v>19987</v>
      </c>
      <c r="K73" s="37">
        <v>289</v>
      </c>
      <c r="L73" t="s">
        <v>37</v>
      </c>
      <c r="N73" s="37">
        <v>2481</v>
      </c>
      <c r="O73" s="36">
        <v>0.11990720603160794</v>
      </c>
      <c r="P73" t="s">
        <v>38</v>
      </c>
      <c r="Q73" s="34">
        <v>45717</v>
      </c>
      <c r="R73" s="34">
        <v>45747</v>
      </c>
      <c r="S73" s="35">
        <v>180000</v>
      </c>
    </row>
    <row r="74" spans="1:19" x14ac:dyDescent="0.3">
      <c r="A74" t="s">
        <v>185</v>
      </c>
      <c r="B74" t="s">
        <v>14</v>
      </c>
      <c r="C74" s="34">
        <v>45499</v>
      </c>
      <c r="D74" t="s">
        <v>45</v>
      </c>
      <c r="E74" t="s">
        <v>49</v>
      </c>
      <c r="F74" s="37">
        <v>432</v>
      </c>
      <c r="G74" s="37">
        <v>171</v>
      </c>
      <c r="H74" s="37">
        <v>280</v>
      </c>
      <c r="I74" s="37">
        <v>3024</v>
      </c>
      <c r="J74" s="37">
        <v>2285</v>
      </c>
      <c r="K74" s="37">
        <v>184</v>
      </c>
      <c r="L74" t="s">
        <v>37</v>
      </c>
      <c r="M74" t="s">
        <v>19</v>
      </c>
      <c r="N74" s="37">
        <v>883</v>
      </c>
      <c r="O74" s="36">
        <v>0.29199735449735448</v>
      </c>
      <c r="P74" t="s">
        <v>620</v>
      </c>
    </row>
    <row r="75" spans="1:19" x14ac:dyDescent="0.3">
      <c r="A75" t="s">
        <v>187</v>
      </c>
      <c r="B75" t="s">
        <v>43</v>
      </c>
      <c r="C75" s="34">
        <v>45745</v>
      </c>
      <c r="D75" t="s">
        <v>45</v>
      </c>
      <c r="E75" t="s">
        <v>46</v>
      </c>
      <c r="F75" s="37">
        <v>4712</v>
      </c>
      <c r="G75" s="37">
        <v>568</v>
      </c>
      <c r="H75" s="37">
        <v>127</v>
      </c>
      <c r="I75" s="37">
        <v>84816</v>
      </c>
      <c r="J75" s="37">
        <v>84691</v>
      </c>
      <c r="K75" s="37">
        <v>100</v>
      </c>
      <c r="L75" t="s">
        <v>37</v>
      </c>
      <c r="M75" t="s">
        <v>31</v>
      </c>
      <c r="N75" s="37">
        <v>5407</v>
      </c>
      <c r="O75" s="36">
        <v>6.3749764195434822E-2</v>
      </c>
      <c r="P75" t="s">
        <v>38</v>
      </c>
      <c r="Q75" s="34">
        <v>45717</v>
      </c>
      <c r="R75" s="34">
        <v>45747</v>
      </c>
      <c r="S75" s="35">
        <v>180000</v>
      </c>
    </row>
    <row r="76" spans="1:19" x14ac:dyDescent="0.3">
      <c r="A76" t="s">
        <v>189</v>
      </c>
      <c r="B76" t="s">
        <v>33</v>
      </c>
      <c r="C76" s="34">
        <v>45634</v>
      </c>
      <c r="D76" t="s">
        <v>35</v>
      </c>
      <c r="E76" t="s">
        <v>36</v>
      </c>
      <c r="F76" s="37">
        <v>2610</v>
      </c>
      <c r="G76" s="37">
        <v>126</v>
      </c>
      <c r="H76" s="37">
        <v>288</v>
      </c>
      <c r="I76" s="37">
        <v>15660</v>
      </c>
      <c r="J76" s="37">
        <v>15145</v>
      </c>
      <c r="K76" s="37">
        <v>73</v>
      </c>
      <c r="L76" t="s">
        <v>37</v>
      </c>
      <c r="N76" s="37">
        <v>3024</v>
      </c>
      <c r="O76" s="36">
        <v>0.19310344827586207</v>
      </c>
      <c r="P76" t="s">
        <v>620</v>
      </c>
    </row>
    <row r="77" spans="1:19" x14ac:dyDescent="0.3">
      <c r="A77" t="s">
        <v>191</v>
      </c>
      <c r="B77" t="s">
        <v>14</v>
      </c>
      <c r="C77" s="34">
        <v>45724</v>
      </c>
      <c r="D77" t="s">
        <v>22</v>
      </c>
      <c r="E77" t="s">
        <v>23</v>
      </c>
      <c r="F77" s="37">
        <v>1292</v>
      </c>
      <c r="G77" s="37">
        <v>626</v>
      </c>
      <c r="H77" s="37">
        <v>496</v>
      </c>
      <c r="I77" s="37">
        <v>25840</v>
      </c>
      <c r="J77" s="37">
        <v>24916</v>
      </c>
      <c r="K77" s="37">
        <v>149</v>
      </c>
      <c r="L77" t="s">
        <v>62</v>
      </c>
      <c r="M77" t="s">
        <v>31</v>
      </c>
      <c r="N77" s="37">
        <v>2414</v>
      </c>
      <c r="O77" s="36">
        <v>9.3421052631578946E-2</v>
      </c>
      <c r="P77" t="s">
        <v>38</v>
      </c>
      <c r="Q77" s="34">
        <v>45717</v>
      </c>
      <c r="R77" s="34">
        <v>45747</v>
      </c>
      <c r="S77" s="35">
        <v>180000</v>
      </c>
    </row>
    <row r="78" spans="1:19" x14ac:dyDescent="0.3">
      <c r="A78" t="s">
        <v>192</v>
      </c>
      <c r="B78" t="s">
        <v>43</v>
      </c>
      <c r="C78" s="34">
        <v>45749</v>
      </c>
      <c r="D78" t="s">
        <v>74</v>
      </c>
      <c r="E78" t="s">
        <v>75</v>
      </c>
      <c r="F78" s="37">
        <v>199</v>
      </c>
      <c r="G78" s="37">
        <v>772</v>
      </c>
      <c r="H78" s="37">
        <v>400</v>
      </c>
      <c r="I78" s="37">
        <v>3582</v>
      </c>
      <c r="J78" s="37">
        <v>2988</v>
      </c>
      <c r="K78" s="37">
        <v>43</v>
      </c>
      <c r="L78" t="s">
        <v>30</v>
      </c>
      <c r="N78" s="37">
        <v>1371</v>
      </c>
      <c r="O78" s="36">
        <v>0.38274706867671693</v>
      </c>
      <c r="P78" t="s">
        <v>620</v>
      </c>
    </row>
    <row r="79" spans="1:19" x14ac:dyDescent="0.3">
      <c r="A79" t="s">
        <v>194</v>
      </c>
      <c r="B79" t="s">
        <v>27</v>
      </c>
      <c r="C79" s="34">
        <v>45537</v>
      </c>
      <c r="D79" t="s">
        <v>45</v>
      </c>
      <c r="E79" t="s">
        <v>68</v>
      </c>
      <c r="F79" s="37">
        <v>2551</v>
      </c>
      <c r="G79" s="37">
        <v>915</v>
      </c>
      <c r="H79" s="37">
        <v>205</v>
      </c>
      <c r="I79" s="37">
        <v>30612</v>
      </c>
      <c r="J79" s="37">
        <v>30360</v>
      </c>
      <c r="K79" s="37">
        <v>227</v>
      </c>
      <c r="L79" t="s">
        <v>30</v>
      </c>
      <c r="M79" t="s">
        <v>25</v>
      </c>
      <c r="N79" s="37">
        <v>3671</v>
      </c>
      <c r="O79" s="36">
        <v>0.1199202926956749</v>
      </c>
      <c r="P79" t="s">
        <v>620</v>
      </c>
    </row>
    <row r="80" spans="1:19" x14ac:dyDescent="0.3">
      <c r="A80" t="s">
        <v>196</v>
      </c>
      <c r="B80" t="s">
        <v>27</v>
      </c>
      <c r="C80" s="34">
        <v>45719</v>
      </c>
      <c r="D80" t="s">
        <v>16</v>
      </c>
      <c r="E80" t="s">
        <v>29</v>
      </c>
      <c r="F80" s="37">
        <v>296</v>
      </c>
      <c r="G80" s="37">
        <v>60</v>
      </c>
      <c r="H80" s="37">
        <v>141</v>
      </c>
      <c r="I80" s="37">
        <v>5624</v>
      </c>
      <c r="J80" s="37">
        <v>5239</v>
      </c>
      <c r="K80" s="37">
        <v>88</v>
      </c>
      <c r="L80" t="s">
        <v>37</v>
      </c>
      <c r="M80" t="s">
        <v>25</v>
      </c>
      <c r="N80" s="37">
        <v>497</v>
      </c>
      <c r="O80" s="36">
        <v>8.837126600284495E-2</v>
      </c>
      <c r="P80" t="s">
        <v>38</v>
      </c>
      <c r="Q80" s="34">
        <v>45717</v>
      </c>
      <c r="R80" s="34">
        <v>45747</v>
      </c>
      <c r="S80" s="35">
        <v>180000</v>
      </c>
    </row>
    <row r="81" spans="1:19" x14ac:dyDescent="0.3">
      <c r="A81" t="s">
        <v>198</v>
      </c>
      <c r="B81" t="s">
        <v>43</v>
      </c>
      <c r="C81" s="34">
        <v>45583</v>
      </c>
      <c r="D81" t="s">
        <v>35</v>
      </c>
      <c r="E81" t="s">
        <v>71</v>
      </c>
      <c r="F81" s="37">
        <v>4126</v>
      </c>
      <c r="G81" s="37">
        <v>426</v>
      </c>
      <c r="H81" s="37">
        <v>486</v>
      </c>
      <c r="I81" s="37">
        <v>78394</v>
      </c>
      <c r="J81" s="37">
        <v>77798</v>
      </c>
      <c r="K81" s="37">
        <v>88</v>
      </c>
      <c r="L81" t="s">
        <v>62</v>
      </c>
      <c r="M81" t="s">
        <v>38</v>
      </c>
      <c r="N81" s="37">
        <v>5038</v>
      </c>
      <c r="O81" s="36">
        <v>6.4265122330790625E-2</v>
      </c>
      <c r="P81" t="s">
        <v>25</v>
      </c>
      <c r="Q81" s="34">
        <v>45566</v>
      </c>
      <c r="R81" s="34">
        <v>45596</v>
      </c>
      <c r="S81" s="35">
        <v>200000</v>
      </c>
    </row>
    <row r="82" spans="1:19" x14ac:dyDescent="0.3">
      <c r="A82" t="s">
        <v>200</v>
      </c>
      <c r="B82" t="s">
        <v>27</v>
      </c>
      <c r="C82" s="34">
        <v>45593</v>
      </c>
      <c r="D82" t="s">
        <v>16</v>
      </c>
      <c r="E82" t="s">
        <v>29</v>
      </c>
      <c r="F82" s="37">
        <v>1855</v>
      </c>
      <c r="G82" s="37">
        <v>200</v>
      </c>
      <c r="H82" s="37">
        <v>174</v>
      </c>
      <c r="I82" s="37">
        <v>16695</v>
      </c>
      <c r="J82" s="37">
        <v>16330</v>
      </c>
      <c r="K82" s="37">
        <v>123</v>
      </c>
      <c r="L82" t="s">
        <v>30</v>
      </c>
      <c r="M82" t="s">
        <v>31</v>
      </c>
      <c r="N82" s="37">
        <v>2229</v>
      </c>
      <c r="O82" s="36">
        <v>0.13351302785265048</v>
      </c>
      <c r="P82" t="s">
        <v>25</v>
      </c>
      <c r="Q82" s="34">
        <v>45566</v>
      </c>
      <c r="R82" s="34">
        <v>45596</v>
      </c>
      <c r="S82" s="35">
        <v>200000</v>
      </c>
    </row>
    <row r="83" spans="1:19" x14ac:dyDescent="0.3">
      <c r="A83" t="s">
        <v>202</v>
      </c>
      <c r="B83" t="s">
        <v>33</v>
      </c>
      <c r="C83" s="34">
        <v>45505</v>
      </c>
      <c r="D83" t="s">
        <v>16</v>
      </c>
      <c r="E83" t="s">
        <v>82</v>
      </c>
      <c r="F83" s="37">
        <v>1674</v>
      </c>
      <c r="G83" s="37">
        <v>929</v>
      </c>
      <c r="H83" s="37">
        <v>37</v>
      </c>
      <c r="I83" s="37">
        <v>21762</v>
      </c>
      <c r="J83" s="37">
        <v>20998</v>
      </c>
      <c r="K83" s="37">
        <v>255</v>
      </c>
      <c r="L83" t="s">
        <v>30</v>
      </c>
      <c r="M83" t="s">
        <v>38</v>
      </c>
      <c r="N83" s="37">
        <v>2640</v>
      </c>
      <c r="O83" s="36">
        <v>0.12131237937689551</v>
      </c>
      <c r="P83" t="s">
        <v>620</v>
      </c>
    </row>
    <row r="84" spans="1:19" x14ac:dyDescent="0.3">
      <c r="A84" t="s">
        <v>204</v>
      </c>
      <c r="B84" t="s">
        <v>14</v>
      </c>
      <c r="C84" s="34">
        <v>45603</v>
      </c>
      <c r="D84" t="s">
        <v>35</v>
      </c>
      <c r="E84" t="s">
        <v>149</v>
      </c>
      <c r="F84" s="37">
        <v>1121</v>
      </c>
      <c r="G84" s="37">
        <v>135</v>
      </c>
      <c r="H84" s="37">
        <v>18</v>
      </c>
      <c r="I84" s="37">
        <v>15694</v>
      </c>
      <c r="J84" s="37">
        <v>14957</v>
      </c>
      <c r="K84" s="37">
        <v>99</v>
      </c>
      <c r="L84" t="s">
        <v>30</v>
      </c>
      <c r="M84" t="s">
        <v>38</v>
      </c>
      <c r="N84" s="37">
        <v>1274</v>
      </c>
      <c r="O84" s="36">
        <v>8.1177520071364848E-2</v>
      </c>
      <c r="P84" t="s">
        <v>620</v>
      </c>
    </row>
    <row r="85" spans="1:19" x14ac:dyDescent="0.3">
      <c r="A85" t="s">
        <v>206</v>
      </c>
      <c r="B85" t="s">
        <v>43</v>
      </c>
      <c r="C85" s="34">
        <v>45720</v>
      </c>
      <c r="D85" t="s">
        <v>35</v>
      </c>
      <c r="E85" t="s">
        <v>71</v>
      </c>
      <c r="F85" s="37">
        <v>1249</v>
      </c>
      <c r="G85" s="37">
        <v>116</v>
      </c>
      <c r="H85" s="37">
        <v>420</v>
      </c>
      <c r="I85" s="37">
        <v>8743</v>
      </c>
      <c r="J85" s="37">
        <v>8538</v>
      </c>
      <c r="K85" s="37">
        <v>63</v>
      </c>
      <c r="L85" t="s">
        <v>30</v>
      </c>
      <c r="N85" s="37">
        <v>1785</v>
      </c>
      <c r="O85" s="36">
        <v>0.20416333066453163</v>
      </c>
      <c r="P85" t="s">
        <v>38</v>
      </c>
      <c r="Q85" s="34">
        <v>45717</v>
      </c>
      <c r="R85" s="34">
        <v>45747</v>
      </c>
      <c r="S85" s="35">
        <v>180000</v>
      </c>
    </row>
    <row r="86" spans="1:19" x14ac:dyDescent="0.3">
      <c r="A86" t="s">
        <v>207</v>
      </c>
      <c r="B86" t="s">
        <v>14</v>
      </c>
      <c r="C86" s="34">
        <v>45460</v>
      </c>
      <c r="D86" t="s">
        <v>52</v>
      </c>
      <c r="E86" t="s">
        <v>132</v>
      </c>
      <c r="F86" s="37">
        <v>954</v>
      </c>
      <c r="G86" s="37">
        <v>324</v>
      </c>
      <c r="H86" s="37">
        <v>288</v>
      </c>
      <c r="I86" s="37">
        <v>19080</v>
      </c>
      <c r="J86" s="37">
        <v>18859</v>
      </c>
      <c r="K86" s="37">
        <v>21</v>
      </c>
      <c r="L86" t="s">
        <v>62</v>
      </c>
      <c r="M86" t="s">
        <v>38</v>
      </c>
      <c r="N86" s="37">
        <v>1566</v>
      </c>
      <c r="O86" s="36">
        <v>8.2075471698113203E-2</v>
      </c>
      <c r="P86" t="s">
        <v>19</v>
      </c>
      <c r="Q86" s="34">
        <v>45458</v>
      </c>
      <c r="R86" s="34">
        <v>45488</v>
      </c>
      <c r="S86" s="35">
        <v>150000</v>
      </c>
    </row>
    <row r="87" spans="1:19" x14ac:dyDescent="0.3">
      <c r="A87" t="s">
        <v>208</v>
      </c>
      <c r="B87" t="s">
        <v>33</v>
      </c>
      <c r="C87" s="34">
        <v>45574</v>
      </c>
      <c r="D87" t="s">
        <v>45</v>
      </c>
      <c r="E87" t="s">
        <v>88</v>
      </c>
      <c r="F87" s="37">
        <v>3068</v>
      </c>
      <c r="G87" s="37">
        <v>137</v>
      </c>
      <c r="H87" s="37">
        <v>329</v>
      </c>
      <c r="I87" s="37">
        <v>39884</v>
      </c>
      <c r="J87" s="37">
        <v>39404</v>
      </c>
      <c r="K87" s="37">
        <v>266</v>
      </c>
      <c r="L87" t="s">
        <v>37</v>
      </c>
      <c r="M87" t="s">
        <v>25</v>
      </c>
      <c r="N87" s="37">
        <v>3534</v>
      </c>
      <c r="O87" s="36">
        <v>8.860696018453515E-2</v>
      </c>
      <c r="P87" t="s">
        <v>25</v>
      </c>
      <c r="Q87" s="34">
        <v>45566</v>
      </c>
      <c r="R87" s="34">
        <v>45596</v>
      </c>
      <c r="S87" s="35">
        <v>200000</v>
      </c>
    </row>
    <row r="88" spans="1:19" x14ac:dyDescent="0.3">
      <c r="A88" t="s">
        <v>210</v>
      </c>
      <c r="B88" t="s">
        <v>33</v>
      </c>
      <c r="C88" s="34">
        <v>45456</v>
      </c>
      <c r="D88" t="s">
        <v>35</v>
      </c>
      <c r="E88" t="s">
        <v>36</v>
      </c>
      <c r="F88" s="37">
        <v>2103</v>
      </c>
      <c r="G88" s="37">
        <v>892</v>
      </c>
      <c r="H88" s="37">
        <v>103</v>
      </c>
      <c r="I88" s="37">
        <v>39957</v>
      </c>
      <c r="J88" s="37">
        <v>39466</v>
      </c>
      <c r="K88" s="37">
        <v>28</v>
      </c>
      <c r="L88" t="s">
        <v>62</v>
      </c>
      <c r="N88" s="37">
        <v>3098</v>
      </c>
      <c r="O88" s="36">
        <v>7.7533348349475686E-2</v>
      </c>
      <c r="P88" t="s">
        <v>620</v>
      </c>
    </row>
    <row r="89" spans="1:19" x14ac:dyDescent="0.3">
      <c r="A89" t="s">
        <v>211</v>
      </c>
      <c r="B89" t="s">
        <v>33</v>
      </c>
      <c r="C89" s="34">
        <v>45584</v>
      </c>
      <c r="D89" t="s">
        <v>35</v>
      </c>
      <c r="E89" t="s">
        <v>36</v>
      </c>
      <c r="F89" s="37">
        <v>1816</v>
      </c>
      <c r="G89" s="37">
        <v>29</v>
      </c>
      <c r="H89" s="37">
        <v>41</v>
      </c>
      <c r="I89" s="37">
        <v>19976</v>
      </c>
      <c r="J89" s="37">
        <v>19262</v>
      </c>
      <c r="K89" s="37">
        <v>283</v>
      </c>
      <c r="L89" t="s">
        <v>30</v>
      </c>
      <c r="M89" t="s">
        <v>31</v>
      </c>
      <c r="N89" s="37">
        <v>1886</v>
      </c>
      <c r="O89" s="36">
        <v>9.4413295955146179E-2</v>
      </c>
      <c r="P89" t="s">
        <v>25</v>
      </c>
      <c r="Q89" s="34">
        <v>45566</v>
      </c>
      <c r="R89" s="34">
        <v>45596</v>
      </c>
      <c r="S89" s="35">
        <v>200000</v>
      </c>
    </row>
    <row r="90" spans="1:19" x14ac:dyDescent="0.3">
      <c r="A90" t="s">
        <v>213</v>
      </c>
      <c r="B90" t="s">
        <v>33</v>
      </c>
      <c r="C90" s="34">
        <v>45497</v>
      </c>
      <c r="D90" t="s">
        <v>52</v>
      </c>
      <c r="E90" t="s">
        <v>215</v>
      </c>
      <c r="F90" s="37">
        <v>725</v>
      </c>
      <c r="G90" s="37">
        <v>88</v>
      </c>
      <c r="H90" s="37">
        <v>428</v>
      </c>
      <c r="I90" s="37">
        <v>14500</v>
      </c>
      <c r="J90" s="37">
        <v>13637</v>
      </c>
      <c r="K90" s="37">
        <v>200</v>
      </c>
      <c r="L90" t="s">
        <v>62</v>
      </c>
      <c r="M90" t="s">
        <v>31</v>
      </c>
      <c r="N90" s="37">
        <v>1241</v>
      </c>
      <c r="O90" s="36">
        <v>8.558620689655172E-2</v>
      </c>
      <c r="P90" t="s">
        <v>620</v>
      </c>
    </row>
    <row r="91" spans="1:19" x14ac:dyDescent="0.3">
      <c r="A91" t="s">
        <v>213</v>
      </c>
      <c r="B91" t="s">
        <v>33</v>
      </c>
      <c r="C91" s="34">
        <v>45497</v>
      </c>
      <c r="D91" t="s">
        <v>52</v>
      </c>
      <c r="E91" t="s">
        <v>215</v>
      </c>
      <c r="F91" s="37">
        <v>725</v>
      </c>
      <c r="G91" s="37">
        <v>88</v>
      </c>
      <c r="H91" s="37">
        <v>428</v>
      </c>
      <c r="I91" s="37">
        <v>14500</v>
      </c>
      <c r="J91" s="37">
        <v>13637</v>
      </c>
      <c r="K91" s="37">
        <v>200</v>
      </c>
      <c r="L91" t="s">
        <v>30</v>
      </c>
      <c r="M91" t="s">
        <v>31</v>
      </c>
      <c r="N91" s="37">
        <v>1241</v>
      </c>
      <c r="O91" s="36">
        <v>8.558620689655172E-2</v>
      </c>
      <c r="P91" t="s">
        <v>620</v>
      </c>
    </row>
    <row r="92" spans="1:19" x14ac:dyDescent="0.3">
      <c r="A92" t="s">
        <v>213</v>
      </c>
      <c r="B92" t="s">
        <v>33</v>
      </c>
      <c r="C92" s="34">
        <v>45497</v>
      </c>
      <c r="D92" t="s">
        <v>52</v>
      </c>
      <c r="E92" t="s">
        <v>215</v>
      </c>
      <c r="F92" s="37">
        <v>725</v>
      </c>
      <c r="G92" s="37">
        <v>88</v>
      </c>
      <c r="H92" s="37">
        <v>428</v>
      </c>
      <c r="I92" s="37">
        <v>14500</v>
      </c>
      <c r="J92" s="37">
        <v>13637</v>
      </c>
      <c r="K92" s="37">
        <v>200</v>
      </c>
      <c r="L92" t="s">
        <v>618</v>
      </c>
      <c r="M92" t="s">
        <v>31</v>
      </c>
      <c r="N92" s="37">
        <v>1241</v>
      </c>
      <c r="O92" s="36">
        <v>8.558620689655172E-2</v>
      </c>
      <c r="P92" t="s">
        <v>620</v>
      </c>
    </row>
    <row r="93" spans="1:19" x14ac:dyDescent="0.3">
      <c r="A93" t="s">
        <v>217</v>
      </c>
      <c r="B93" t="s">
        <v>27</v>
      </c>
      <c r="C93" s="34">
        <v>45580</v>
      </c>
      <c r="D93" t="s">
        <v>74</v>
      </c>
      <c r="E93" t="s">
        <v>219</v>
      </c>
      <c r="F93" s="37">
        <v>1094</v>
      </c>
      <c r="G93" s="37">
        <v>472</v>
      </c>
      <c r="H93" s="37">
        <v>21</v>
      </c>
      <c r="I93" s="37">
        <v>9846</v>
      </c>
      <c r="J93" s="37">
        <v>9609</v>
      </c>
      <c r="K93" s="37">
        <v>112</v>
      </c>
      <c r="L93" t="s">
        <v>37</v>
      </c>
      <c r="N93" s="37">
        <v>1587</v>
      </c>
      <c r="O93" s="36">
        <v>0.16118220597196831</v>
      </c>
      <c r="P93" t="s">
        <v>25</v>
      </c>
      <c r="Q93" s="34">
        <v>45566</v>
      </c>
      <c r="R93" s="34">
        <v>45596</v>
      </c>
      <c r="S93" s="35">
        <v>200000</v>
      </c>
    </row>
    <row r="94" spans="1:19" x14ac:dyDescent="0.3">
      <c r="A94" t="s">
        <v>220</v>
      </c>
      <c r="B94" t="s">
        <v>43</v>
      </c>
      <c r="C94" s="34">
        <v>45635</v>
      </c>
      <c r="D94" t="s">
        <v>52</v>
      </c>
      <c r="E94" t="s">
        <v>59</v>
      </c>
      <c r="F94" s="37">
        <v>1841</v>
      </c>
      <c r="G94" s="37">
        <v>851</v>
      </c>
      <c r="H94" s="37">
        <v>342</v>
      </c>
      <c r="I94" s="37">
        <v>34979</v>
      </c>
      <c r="J94" s="37">
        <v>34154</v>
      </c>
      <c r="K94" s="37">
        <v>255</v>
      </c>
      <c r="L94" t="s">
        <v>62</v>
      </c>
      <c r="M94" t="s">
        <v>38</v>
      </c>
      <c r="N94" s="37">
        <v>3034</v>
      </c>
      <c r="O94" s="36">
        <v>8.6737756939878216E-2</v>
      </c>
      <c r="P94" t="s">
        <v>620</v>
      </c>
    </row>
    <row r="95" spans="1:19" x14ac:dyDescent="0.3">
      <c r="A95" t="s">
        <v>222</v>
      </c>
      <c r="B95" t="s">
        <v>33</v>
      </c>
      <c r="C95" s="34">
        <v>45766</v>
      </c>
      <c r="D95" t="s">
        <v>52</v>
      </c>
      <c r="E95" t="s">
        <v>215</v>
      </c>
      <c r="F95" s="37">
        <v>4177</v>
      </c>
      <c r="G95" s="37">
        <v>569</v>
      </c>
      <c r="H95" s="37">
        <v>55</v>
      </c>
      <c r="I95" s="37">
        <v>25062</v>
      </c>
      <c r="J95" s="37">
        <v>24847</v>
      </c>
      <c r="K95" s="37">
        <v>230</v>
      </c>
      <c r="L95" t="s">
        <v>62</v>
      </c>
      <c r="M95" t="s">
        <v>19</v>
      </c>
      <c r="N95" s="37">
        <v>4801</v>
      </c>
      <c r="O95" s="36">
        <v>0.19156491900087783</v>
      </c>
      <c r="P95" t="s">
        <v>620</v>
      </c>
    </row>
    <row r="96" spans="1:19" x14ac:dyDescent="0.3">
      <c r="A96" t="s">
        <v>223</v>
      </c>
      <c r="B96" t="s">
        <v>27</v>
      </c>
      <c r="C96" s="34">
        <v>45684</v>
      </c>
      <c r="D96" t="s">
        <v>22</v>
      </c>
      <c r="E96" t="s">
        <v>104</v>
      </c>
      <c r="F96" s="37">
        <v>3428</v>
      </c>
      <c r="G96" s="37">
        <v>305</v>
      </c>
      <c r="H96" s="37">
        <v>85</v>
      </c>
      <c r="I96" s="37">
        <v>58276</v>
      </c>
      <c r="J96" s="37">
        <v>58052</v>
      </c>
      <c r="K96" s="37">
        <v>242</v>
      </c>
      <c r="L96" t="s">
        <v>37</v>
      </c>
      <c r="M96" t="s">
        <v>38</v>
      </c>
      <c r="N96" s="37">
        <v>3818</v>
      </c>
      <c r="O96" s="36">
        <v>6.5515821264328367E-2</v>
      </c>
      <c r="P96" t="s">
        <v>620</v>
      </c>
    </row>
    <row r="97" spans="1:19" x14ac:dyDescent="0.3">
      <c r="A97" t="s">
        <v>223</v>
      </c>
      <c r="B97" t="s">
        <v>27</v>
      </c>
      <c r="C97" s="34">
        <v>45684</v>
      </c>
      <c r="D97" t="s">
        <v>22</v>
      </c>
      <c r="E97" t="s">
        <v>104</v>
      </c>
      <c r="F97" s="37">
        <v>3428</v>
      </c>
      <c r="G97" s="37">
        <v>305</v>
      </c>
      <c r="H97" s="37">
        <v>85</v>
      </c>
      <c r="I97" s="37">
        <v>58276</v>
      </c>
      <c r="J97" s="37">
        <v>58052</v>
      </c>
      <c r="K97" s="37">
        <v>242</v>
      </c>
      <c r="L97" t="s">
        <v>619</v>
      </c>
      <c r="M97" t="s">
        <v>38</v>
      </c>
      <c r="N97" s="37">
        <v>3818</v>
      </c>
      <c r="O97" s="36">
        <v>6.5515821264328367E-2</v>
      </c>
      <c r="P97" t="s">
        <v>620</v>
      </c>
    </row>
    <row r="98" spans="1:19" x14ac:dyDescent="0.3">
      <c r="A98" t="s">
        <v>225</v>
      </c>
      <c r="B98" t="s">
        <v>14</v>
      </c>
      <c r="C98" s="34">
        <v>45449</v>
      </c>
      <c r="D98" t="s">
        <v>74</v>
      </c>
      <c r="E98" t="s">
        <v>145</v>
      </c>
      <c r="F98" s="37">
        <v>1436</v>
      </c>
      <c r="G98" s="37">
        <v>765</v>
      </c>
      <c r="H98" s="37">
        <v>496</v>
      </c>
      <c r="I98" s="37">
        <v>12924</v>
      </c>
      <c r="J98" s="37">
        <v>12701</v>
      </c>
      <c r="K98" s="37">
        <v>197</v>
      </c>
      <c r="L98" t="s">
        <v>62</v>
      </c>
      <c r="M98" t="s">
        <v>31</v>
      </c>
      <c r="N98" s="37">
        <v>2697</v>
      </c>
      <c r="O98" s="36">
        <v>0.20868152274837512</v>
      </c>
      <c r="P98" t="s">
        <v>620</v>
      </c>
    </row>
    <row r="99" spans="1:19" x14ac:dyDescent="0.3">
      <c r="A99" t="s">
        <v>227</v>
      </c>
      <c r="B99" t="s">
        <v>43</v>
      </c>
      <c r="C99" s="34">
        <v>45480</v>
      </c>
      <c r="D99" t="s">
        <v>35</v>
      </c>
      <c r="E99" t="s">
        <v>71</v>
      </c>
      <c r="F99" s="37">
        <v>302</v>
      </c>
      <c r="G99" s="37">
        <v>47</v>
      </c>
      <c r="H99" s="37">
        <v>430</v>
      </c>
      <c r="I99" s="37">
        <v>5738</v>
      </c>
      <c r="J99" s="37">
        <v>4890</v>
      </c>
      <c r="K99" s="37">
        <v>25</v>
      </c>
      <c r="L99" t="s">
        <v>30</v>
      </c>
      <c r="M99" t="s">
        <v>38</v>
      </c>
      <c r="N99" s="37">
        <v>779</v>
      </c>
      <c r="O99" s="36">
        <v>0.13576158940397351</v>
      </c>
      <c r="P99" t="s">
        <v>19</v>
      </c>
      <c r="Q99" s="34">
        <v>45458</v>
      </c>
      <c r="R99" s="34">
        <v>45488</v>
      </c>
      <c r="S99" s="35">
        <v>150000</v>
      </c>
    </row>
    <row r="100" spans="1:19" x14ac:dyDescent="0.3">
      <c r="A100" t="s">
        <v>229</v>
      </c>
      <c r="B100" t="s">
        <v>14</v>
      </c>
      <c r="C100" s="34">
        <v>45667</v>
      </c>
      <c r="D100" t="s">
        <v>52</v>
      </c>
      <c r="E100" t="s">
        <v>132</v>
      </c>
      <c r="F100" s="37">
        <v>2214</v>
      </c>
      <c r="G100" s="37">
        <v>249</v>
      </c>
      <c r="H100" s="37">
        <v>152</v>
      </c>
      <c r="I100" s="37">
        <v>15498</v>
      </c>
      <c r="J100" s="37">
        <v>14800</v>
      </c>
      <c r="K100" s="37">
        <v>180</v>
      </c>
      <c r="L100" t="s">
        <v>37</v>
      </c>
      <c r="N100" s="37">
        <v>2615</v>
      </c>
      <c r="O100" s="36">
        <v>0.16873144921925409</v>
      </c>
      <c r="P100" t="s">
        <v>31</v>
      </c>
      <c r="Q100" s="34">
        <v>45651</v>
      </c>
      <c r="R100" s="34">
        <v>45667</v>
      </c>
      <c r="S100" s="35">
        <v>250000</v>
      </c>
    </row>
    <row r="101" spans="1:19" x14ac:dyDescent="0.3">
      <c r="A101" t="s">
        <v>231</v>
      </c>
      <c r="B101" t="s">
        <v>33</v>
      </c>
      <c r="C101" s="34">
        <v>45446</v>
      </c>
      <c r="D101" t="s">
        <v>52</v>
      </c>
      <c r="E101" t="s">
        <v>215</v>
      </c>
      <c r="F101" s="37">
        <v>3861</v>
      </c>
      <c r="G101" s="37">
        <v>960</v>
      </c>
      <c r="H101" s="37">
        <v>101</v>
      </c>
      <c r="I101" s="37">
        <v>69498</v>
      </c>
      <c r="J101" s="37">
        <v>68817</v>
      </c>
      <c r="K101" s="37">
        <v>297</v>
      </c>
      <c r="L101" t="s">
        <v>30</v>
      </c>
      <c r="M101" t="s">
        <v>38</v>
      </c>
      <c r="N101" s="37">
        <v>4922</v>
      </c>
      <c r="O101" s="36">
        <v>7.0822181933293038E-2</v>
      </c>
      <c r="P101" t="s">
        <v>620</v>
      </c>
    </row>
    <row r="102" spans="1:19" x14ac:dyDescent="0.3">
      <c r="A102" t="s">
        <v>233</v>
      </c>
      <c r="B102" t="s">
        <v>43</v>
      </c>
      <c r="C102" s="34">
        <v>45740</v>
      </c>
      <c r="D102" t="s">
        <v>52</v>
      </c>
      <c r="E102" t="s">
        <v>59</v>
      </c>
      <c r="F102" s="37">
        <v>1263</v>
      </c>
      <c r="G102" s="37">
        <v>397</v>
      </c>
      <c r="H102" s="37">
        <v>357</v>
      </c>
      <c r="I102" s="37">
        <v>25260</v>
      </c>
      <c r="J102" s="37">
        <v>24615</v>
      </c>
      <c r="K102" s="37">
        <v>137</v>
      </c>
      <c r="L102" t="s">
        <v>37</v>
      </c>
      <c r="M102" t="s">
        <v>38</v>
      </c>
      <c r="N102" s="37">
        <v>2017</v>
      </c>
      <c r="O102" s="36">
        <v>7.984956452889945E-2</v>
      </c>
      <c r="P102" t="s">
        <v>38</v>
      </c>
      <c r="Q102" s="34">
        <v>45717</v>
      </c>
      <c r="R102" s="34">
        <v>45747</v>
      </c>
      <c r="S102" s="35">
        <v>180000</v>
      </c>
    </row>
    <row r="103" spans="1:19" x14ac:dyDescent="0.3">
      <c r="A103" t="s">
        <v>235</v>
      </c>
      <c r="B103" t="s">
        <v>14</v>
      </c>
      <c r="C103" s="34">
        <v>45586</v>
      </c>
      <c r="D103" t="s">
        <v>35</v>
      </c>
      <c r="E103" t="s">
        <v>149</v>
      </c>
      <c r="F103" s="37">
        <v>3801</v>
      </c>
      <c r="G103" s="37">
        <v>967</v>
      </c>
      <c r="H103" s="37">
        <v>401</v>
      </c>
      <c r="I103" s="37">
        <v>38010</v>
      </c>
      <c r="J103" s="37">
        <v>37625</v>
      </c>
      <c r="K103" s="37">
        <v>236</v>
      </c>
      <c r="L103" t="s">
        <v>62</v>
      </c>
      <c r="M103" t="s">
        <v>31</v>
      </c>
      <c r="N103" s="37">
        <v>5169</v>
      </c>
      <c r="O103" s="36">
        <v>0.13599052880820836</v>
      </c>
      <c r="P103" t="s">
        <v>25</v>
      </c>
      <c r="Q103" s="34">
        <v>45566</v>
      </c>
      <c r="R103" s="34">
        <v>45596</v>
      </c>
      <c r="S103" s="35">
        <v>200000</v>
      </c>
    </row>
    <row r="104" spans="1:19" x14ac:dyDescent="0.3">
      <c r="A104" t="s">
        <v>236</v>
      </c>
      <c r="B104" t="s">
        <v>33</v>
      </c>
      <c r="C104" s="34">
        <v>45637</v>
      </c>
      <c r="D104" t="s">
        <v>74</v>
      </c>
      <c r="E104" t="s">
        <v>85</v>
      </c>
      <c r="F104" s="37">
        <v>1431</v>
      </c>
      <c r="G104" s="37">
        <v>951</v>
      </c>
      <c r="H104" s="37">
        <v>26</v>
      </c>
      <c r="I104" s="37">
        <v>8586</v>
      </c>
      <c r="J104" s="37">
        <v>8396</v>
      </c>
      <c r="K104" s="37">
        <v>150</v>
      </c>
      <c r="L104" t="s">
        <v>37</v>
      </c>
      <c r="M104" t="s">
        <v>31</v>
      </c>
      <c r="N104" s="37">
        <v>2408</v>
      </c>
      <c r="O104" s="36">
        <v>0.28045655718611695</v>
      </c>
      <c r="P104" t="s">
        <v>620</v>
      </c>
    </row>
    <row r="105" spans="1:19" x14ac:dyDescent="0.3">
      <c r="A105" t="s">
        <v>238</v>
      </c>
      <c r="B105" t="s">
        <v>33</v>
      </c>
      <c r="C105" s="34">
        <v>45603</v>
      </c>
      <c r="D105" t="s">
        <v>52</v>
      </c>
      <c r="E105" t="s">
        <v>215</v>
      </c>
      <c r="F105" s="37">
        <v>2647</v>
      </c>
      <c r="G105" s="37">
        <v>304</v>
      </c>
      <c r="H105" s="37">
        <v>170</v>
      </c>
      <c r="I105" s="37">
        <v>18529</v>
      </c>
      <c r="J105" s="37">
        <v>17841</v>
      </c>
      <c r="K105" s="37">
        <v>46</v>
      </c>
      <c r="L105" t="s">
        <v>62</v>
      </c>
      <c r="M105" t="s">
        <v>31</v>
      </c>
      <c r="N105" s="37">
        <v>3121</v>
      </c>
      <c r="O105" s="36">
        <v>0.16843866371633656</v>
      </c>
      <c r="P105" t="s">
        <v>620</v>
      </c>
    </row>
    <row r="106" spans="1:19" x14ac:dyDescent="0.3">
      <c r="A106" t="s">
        <v>239</v>
      </c>
      <c r="B106" t="s">
        <v>33</v>
      </c>
      <c r="C106" s="34">
        <v>45604</v>
      </c>
      <c r="D106" t="s">
        <v>22</v>
      </c>
      <c r="E106" t="s">
        <v>113</v>
      </c>
      <c r="F106" s="37">
        <v>3182</v>
      </c>
      <c r="G106" s="37">
        <v>559</v>
      </c>
      <c r="H106" s="37">
        <v>160</v>
      </c>
      <c r="I106" s="37">
        <v>57276</v>
      </c>
      <c r="J106" s="37">
        <v>56890</v>
      </c>
      <c r="K106" s="37">
        <v>163</v>
      </c>
      <c r="L106" t="s">
        <v>62</v>
      </c>
      <c r="M106" t="s">
        <v>38</v>
      </c>
      <c r="N106" s="37">
        <v>3901</v>
      </c>
      <c r="O106" s="36">
        <v>6.8108806480899509E-2</v>
      </c>
      <c r="P106" t="s">
        <v>620</v>
      </c>
    </row>
    <row r="107" spans="1:19" x14ac:dyDescent="0.3">
      <c r="A107" t="s">
        <v>241</v>
      </c>
      <c r="B107" t="s">
        <v>14</v>
      </c>
      <c r="C107" s="34">
        <v>45545</v>
      </c>
      <c r="D107" t="s">
        <v>52</v>
      </c>
      <c r="E107" t="s">
        <v>132</v>
      </c>
      <c r="F107" s="37">
        <v>1238</v>
      </c>
      <c r="G107" s="37">
        <v>366</v>
      </c>
      <c r="H107" s="37">
        <v>444</v>
      </c>
      <c r="I107" s="37">
        <v>19808</v>
      </c>
      <c r="J107" s="37">
        <v>19334</v>
      </c>
      <c r="K107" s="37">
        <v>123</v>
      </c>
      <c r="L107" t="s">
        <v>62</v>
      </c>
      <c r="N107" s="37">
        <v>2048</v>
      </c>
      <c r="O107" s="36">
        <v>0.10339256865912763</v>
      </c>
      <c r="P107" t="s">
        <v>620</v>
      </c>
    </row>
    <row r="108" spans="1:19" x14ac:dyDescent="0.3">
      <c r="A108" t="s">
        <v>243</v>
      </c>
      <c r="B108" t="s">
        <v>33</v>
      </c>
      <c r="C108" s="34">
        <v>45517</v>
      </c>
      <c r="D108" t="s">
        <v>52</v>
      </c>
      <c r="E108" t="s">
        <v>215</v>
      </c>
      <c r="F108" s="37">
        <v>4739</v>
      </c>
      <c r="G108" s="37">
        <v>527</v>
      </c>
      <c r="H108" s="37">
        <v>135</v>
      </c>
      <c r="I108" s="37">
        <v>61607</v>
      </c>
      <c r="J108" s="37">
        <v>61333</v>
      </c>
      <c r="K108" s="37">
        <v>36</v>
      </c>
      <c r="L108" t="s">
        <v>30</v>
      </c>
      <c r="M108" t="s">
        <v>25</v>
      </c>
      <c r="N108" s="37">
        <v>5401</v>
      </c>
      <c r="O108" s="36">
        <v>8.7668609086629767E-2</v>
      </c>
      <c r="P108" t="s">
        <v>620</v>
      </c>
    </row>
    <row r="109" spans="1:19" x14ac:dyDescent="0.3">
      <c r="A109" t="s">
        <v>243</v>
      </c>
      <c r="B109" t="s">
        <v>33</v>
      </c>
      <c r="C109" s="34">
        <v>45517</v>
      </c>
      <c r="D109" t="s">
        <v>52</v>
      </c>
      <c r="E109" t="s">
        <v>215</v>
      </c>
      <c r="F109" s="37">
        <v>4739</v>
      </c>
      <c r="G109" s="37">
        <v>527</v>
      </c>
      <c r="H109" s="37">
        <v>135</v>
      </c>
      <c r="I109" s="37">
        <v>61607</v>
      </c>
      <c r="J109" s="37">
        <v>61333</v>
      </c>
      <c r="K109" s="37">
        <v>36</v>
      </c>
      <c r="L109" t="s">
        <v>618</v>
      </c>
      <c r="M109" t="s">
        <v>25</v>
      </c>
      <c r="N109" s="37">
        <v>5401</v>
      </c>
      <c r="O109" s="36">
        <v>8.7668609086629767E-2</v>
      </c>
      <c r="P109" t="s">
        <v>620</v>
      </c>
    </row>
    <row r="110" spans="1:19" x14ac:dyDescent="0.3">
      <c r="A110" t="s">
        <v>245</v>
      </c>
      <c r="B110" t="s">
        <v>14</v>
      </c>
      <c r="C110" s="34">
        <v>45453</v>
      </c>
      <c r="D110" t="s">
        <v>35</v>
      </c>
      <c r="E110" t="s">
        <v>149</v>
      </c>
      <c r="F110" s="37">
        <v>1575</v>
      </c>
      <c r="G110" s="37">
        <v>771</v>
      </c>
      <c r="H110" s="37">
        <v>486</v>
      </c>
      <c r="I110" s="37">
        <v>25200</v>
      </c>
      <c r="J110" s="37">
        <v>24826</v>
      </c>
      <c r="K110" s="37">
        <v>17</v>
      </c>
      <c r="L110" t="s">
        <v>62</v>
      </c>
      <c r="M110" t="s">
        <v>38</v>
      </c>
      <c r="N110" s="37">
        <v>2832</v>
      </c>
      <c r="O110" s="36">
        <v>0.11238095238095239</v>
      </c>
      <c r="P110" t="s">
        <v>620</v>
      </c>
    </row>
    <row r="111" spans="1:19" x14ac:dyDescent="0.3">
      <c r="A111" t="s">
        <v>246</v>
      </c>
      <c r="B111" t="s">
        <v>27</v>
      </c>
      <c r="C111" s="34">
        <v>45475</v>
      </c>
      <c r="D111" t="s">
        <v>45</v>
      </c>
      <c r="E111" t="s">
        <v>68</v>
      </c>
      <c r="F111" s="37">
        <v>4171</v>
      </c>
      <c r="G111" s="37">
        <v>548</v>
      </c>
      <c r="H111" s="37">
        <v>86</v>
      </c>
      <c r="I111" s="37">
        <v>66736</v>
      </c>
      <c r="J111" s="37">
        <v>66634</v>
      </c>
      <c r="K111" s="37">
        <v>173</v>
      </c>
      <c r="L111" t="s">
        <v>62</v>
      </c>
      <c r="M111" t="s">
        <v>31</v>
      </c>
      <c r="N111" s="37">
        <v>4805</v>
      </c>
      <c r="O111" s="36">
        <v>7.2000119875329657E-2</v>
      </c>
      <c r="P111" t="s">
        <v>19</v>
      </c>
      <c r="Q111" s="34">
        <v>45458</v>
      </c>
      <c r="R111" s="34">
        <v>45488</v>
      </c>
      <c r="S111" s="35">
        <v>150000</v>
      </c>
    </row>
    <row r="112" spans="1:19" x14ac:dyDescent="0.3">
      <c r="A112" t="s">
        <v>248</v>
      </c>
      <c r="B112" t="s">
        <v>27</v>
      </c>
      <c r="C112" s="34">
        <v>45698</v>
      </c>
      <c r="D112" t="s">
        <v>74</v>
      </c>
      <c r="E112" t="s">
        <v>219</v>
      </c>
      <c r="F112" s="37">
        <v>1766</v>
      </c>
      <c r="G112" s="37">
        <v>92</v>
      </c>
      <c r="H112" s="37">
        <v>424</v>
      </c>
      <c r="I112" s="37">
        <v>24724</v>
      </c>
      <c r="J112" s="37">
        <v>24333</v>
      </c>
      <c r="K112" s="37">
        <v>52</v>
      </c>
      <c r="L112" t="s">
        <v>37</v>
      </c>
      <c r="N112" s="37">
        <v>2282</v>
      </c>
      <c r="O112" s="36">
        <v>9.2298980747451867E-2</v>
      </c>
      <c r="P112" t="s">
        <v>620</v>
      </c>
    </row>
    <row r="113" spans="1:19" x14ac:dyDescent="0.3">
      <c r="A113" t="s">
        <v>250</v>
      </c>
      <c r="B113" t="s">
        <v>27</v>
      </c>
      <c r="C113" s="34">
        <v>45583</v>
      </c>
      <c r="D113" t="s">
        <v>74</v>
      </c>
      <c r="E113" t="s">
        <v>219</v>
      </c>
      <c r="F113" s="37">
        <v>4450</v>
      </c>
      <c r="G113" s="37">
        <v>983</v>
      </c>
      <c r="H113" s="37">
        <v>143</v>
      </c>
      <c r="I113" s="37">
        <v>75650</v>
      </c>
      <c r="J113" s="37">
        <v>75008</v>
      </c>
      <c r="K113" s="37">
        <v>12</v>
      </c>
      <c r="L113" t="s">
        <v>62</v>
      </c>
      <c r="M113" t="s">
        <v>31</v>
      </c>
      <c r="N113" s="37">
        <v>5576</v>
      </c>
      <c r="O113" s="36">
        <v>7.3707865168539333E-2</v>
      </c>
      <c r="P113" t="s">
        <v>25</v>
      </c>
      <c r="Q113" s="34">
        <v>45566</v>
      </c>
      <c r="R113" s="34">
        <v>45596</v>
      </c>
      <c r="S113" s="35">
        <v>200000</v>
      </c>
    </row>
    <row r="114" spans="1:19" x14ac:dyDescent="0.3">
      <c r="A114" t="s">
        <v>251</v>
      </c>
      <c r="B114" t="s">
        <v>14</v>
      </c>
      <c r="C114" s="34">
        <v>45553</v>
      </c>
      <c r="D114" t="s">
        <v>16</v>
      </c>
      <c r="E114" t="s">
        <v>17</v>
      </c>
      <c r="F114" s="37">
        <v>1000</v>
      </c>
      <c r="G114" s="37">
        <v>978</v>
      </c>
      <c r="H114" s="37">
        <v>162</v>
      </c>
      <c r="I114" s="37">
        <v>6000</v>
      </c>
      <c r="J114" s="37">
        <v>5221</v>
      </c>
      <c r="K114" s="37">
        <v>223</v>
      </c>
      <c r="L114" t="s">
        <v>37</v>
      </c>
      <c r="M114" t="s">
        <v>25</v>
      </c>
      <c r="N114" s="37">
        <v>2140</v>
      </c>
      <c r="O114" s="36">
        <v>0.35666666666666669</v>
      </c>
      <c r="P114" t="s">
        <v>620</v>
      </c>
    </row>
    <row r="115" spans="1:19" x14ac:dyDescent="0.3">
      <c r="A115" t="s">
        <v>253</v>
      </c>
      <c r="B115" t="s">
        <v>43</v>
      </c>
      <c r="C115" s="34">
        <v>45454</v>
      </c>
      <c r="D115" t="s">
        <v>52</v>
      </c>
      <c r="E115" t="s">
        <v>59</v>
      </c>
      <c r="F115" s="37">
        <v>3689</v>
      </c>
      <c r="G115" s="37">
        <v>48</v>
      </c>
      <c r="H115" s="37">
        <v>306</v>
      </c>
      <c r="I115" s="37">
        <v>40579</v>
      </c>
      <c r="J115" s="37">
        <v>39588</v>
      </c>
      <c r="K115" s="37">
        <v>212</v>
      </c>
      <c r="L115" t="s">
        <v>37</v>
      </c>
      <c r="M115" t="s">
        <v>25</v>
      </c>
      <c r="N115" s="37">
        <v>4043</v>
      </c>
      <c r="O115" s="36">
        <v>9.9632815002833983E-2</v>
      </c>
      <c r="P115" t="s">
        <v>620</v>
      </c>
    </row>
    <row r="116" spans="1:19" x14ac:dyDescent="0.3">
      <c r="A116" t="s">
        <v>255</v>
      </c>
      <c r="B116" t="s">
        <v>27</v>
      </c>
      <c r="C116" s="34">
        <v>45739</v>
      </c>
      <c r="D116" t="s">
        <v>35</v>
      </c>
      <c r="E116" t="s">
        <v>154</v>
      </c>
      <c r="F116" s="37">
        <v>3655</v>
      </c>
      <c r="G116" s="37">
        <v>568</v>
      </c>
      <c r="H116" s="37">
        <v>286</v>
      </c>
      <c r="I116" s="37">
        <v>32895</v>
      </c>
      <c r="J116" s="37">
        <v>32015</v>
      </c>
      <c r="K116" s="37">
        <v>199</v>
      </c>
      <c r="L116" t="s">
        <v>30</v>
      </c>
      <c r="M116" t="s">
        <v>31</v>
      </c>
      <c r="N116" s="37">
        <v>4509</v>
      </c>
      <c r="O116" s="36">
        <v>0.13707250341997265</v>
      </c>
      <c r="P116" t="s">
        <v>38</v>
      </c>
      <c r="Q116" s="34">
        <v>45717</v>
      </c>
      <c r="R116" s="34">
        <v>45747</v>
      </c>
      <c r="S116" s="35">
        <v>180000</v>
      </c>
    </row>
    <row r="117" spans="1:19" x14ac:dyDescent="0.3">
      <c r="A117" t="s">
        <v>257</v>
      </c>
      <c r="B117" t="s">
        <v>33</v>
      </c>
      <c r="C117" s="34">
        <v>45457</v>
      </c>
      <c r="D117" t="s">
        <v>45</v>
      </c>
      <c r="E117" t="s">
        <v>88</v>
      </c>
      <c r="F117" s="37">
        <v>498</v>
      </c>
      <c r="G117" s="37">
        <v>38</v>
      </c>
      <c r="H117" s="37">
        <v>42</v>
      </c>
      <c r="I117" s="37">
        <v>4482</v>
      </c>
      <c r="J117" s="37">
        <v>3647</v>
      </c>
      <c r="K117" s="37">
        <v>32</v>
      </c>
      <c r="L117" t="s">
        <v>62</v>
      </c>
      <c r="M117" t="s">
        <v>19</v>
      </c>
      <c r="N117" s="37">
        <v>578</v>
      </c>
      <c r="O117" s="36">
        <v>0.12896028558679162</v>
      </c>
      <c r="P117" t="s">
        <v>620</v>
      </c>
    </row>
    <row r="118" spans="1:19" x14ac:dyDescent="0.3">
      <c r="A118" t="s">
        <v>259</v>
      </c>
      <c r="B118" t="s">
        <v>33</v>
      </c>
      <c r="C118" s="34">
        <v>45692</v>
      </c>
      <c r="D118" t="s">
        <v>52</v>
      </c>
      <c r="E118" t="s">
        <v>215</v>
      </c>
      <c r="F118" s="37">
        <v>4619</v>
      </c>
      <c r="G118" s="37">
        <v>821</v>
      </c>
      <c r="H118" s="37">
        <v>499</v>
      </c>
      <c r="I118" s="37">
        <v>69285</v>
      </c>
      <c r="J118" s="37">
        <v>69141</v>
      </c>
      <c r="K118" s="37">
        <v>298</v>
      </c>
      <c r="L118" t="s">
        <v>30</v>
      </c>
      <c r="M118" t="s">
        <v>38</v>
      </c>
      <c r="N118" s="37">
        <v>5939</v>
      </c>
      <c r="O118" s="36">
        <v>8.5718409468138843E-2</v>
      </c>
      <c r="P118" t="s">
        <v>620</v>
      </c>
    </row>
    <row r="119" spans="1:19" x14ac:dyDescent="0.3">
      <c r="A119" t="s">
        <v>261</v>
      </c>
      <c r="B119" t="s">
        <v>27</v>
      </c>
      <c r="C119" s="34">
        <v>45464</v>
      </c>
      <c r="D119" t="s">
        <v>52</v>
      </c>
      <c r="E119" t="s">
        <v>53</v>
      </c>
      <c r="F119" s="37">
        <v>4832</v>
      </c>
      <c r="G119" s="37">
        <v>893</v>
      </c>
      <c r="H119" s="37">
        <v>10</v>
      </c>
      <c r="I119" s="37">
        <v>91808</v>
      </c>
      <c r="J119" s="37">
        <v>91296</v>
      </c>
      <c r="K119" s="37">
        <v>182</v>
      </c>
      <c r="L119" t="s">
        <v>30</v>
      </c>
      <c r="N119" s="37">
        <v>5735</v>
      </c>
      <c r="O119" s="36">
        <v>6.2467323109097243E-2</v>
      </c>
      <c r="P119" t="s">
        <v>19</v>
      </c>
      <c r="Q119" s="34">
        <v>45458</v>
      </c>
      <c r="R119" s="34">
        <v>45488</v>
      </c>
      <c r="S119" s="35">
        <v>150000</v>
      </c>
    </row>
    <row r="120" spans="1:19" x14ac:dyDescent="0.3">
      <c r="A120" t="s">
        <v>263</v>
      </c>
      <c r="B120" t="s">
        <v>14</v>
      </c>
      <c r="C120" s="34">
        <v>45741</v>
      </c>
      <c r="D120" t="s">
        <v>74</v>
      </c>
      <c r="E120" t="s">
        <v>145</v>
      </c>
      <c r="F120" s="37">
        <v>4050</v>
      </c>
      <c r="G120" s="37">
        <v>871</v>
      </c>
      <c r="H120" s="37">
        <v>347</v>
      </c>
      <c r="I120" s="37">
        <v>52650</v>
      </c>
      <c r="J120" s="37">
        <v>51755</v>
      </c>
      <c r="K120" s="37">
        <v>209</v>
      </c>
      <c r="L120" t="s">
        <v>30</v>
      </c>
      <c r="M120" t="s">
        <v>25</v>
      </c>
      <c r="N120" s="37">
        <v>5268</v>
      </c>
      <c r="O120" s="36">
        <v>0.10005698005698006</v>
      </c>
      <c r="P120" t="s">
        <v>38</v>
      </c>
      <c r="Q120" s="34">
        <v>45717</v>
      </c>
      <c r="R120" s="34">
        <v>45747</v>
      </c>
      <c r="S120" s="35">
        <v>180000</v>
      </c>
    </row>
    <row r="121" spans="1:19" x14ac:dyDescent="0.3">
      <c r="A121" t="s">
        <v>265</v>
      </c>
      <c r="B121" t="s">
        <v>14</v>
      </c>
      <c r="C121" s="34">
        <v>45512</v>
      </c>
      <c r="D121" t="s">
        <v>35</v>
      </c>
      <c r="E121" t="s">
        <v>149</v>
      </c>
      <c r="F121" s="37">
        <v>3649</v>
      </c>
      <c r="G121" s="37">
        <v>215</v>
      </c>
      <c r="H121" s="37">
        <v>413</v>
      </c>
      <c r="I121" s="37">
        <v>25543</v>
      </c>
      <c r="J121" s="37">
        <v>24963</v>
      </c>
      <c r="K121" s="37">
        <v>167</v>
      </c>
      <c r="L121" t="s">
        <v>62</v>
      </c>
      <c r="M121" t="s">
        <v>31</v>
      </c>
      <c r="N121" s="37">
        <v>4277</v>
      </c>
      <c r="O121" s="36">
        <v>0.16744313510550835</v>
      </c>
      <c r="P121" t="s">
        <v>620</v>
      </c>
    </row>
    <row r="122" spans="1:19" x14ac:dyDescent="0.3">
      <c r="A122" t="s">
        <v>267</v>
      </c>
      <c r="B122" t="s">
        <v>33</v>
      </c>
      <c r="C122" s="34">
        <v>45502</v>
      </c>
      <c r="D122" t="s">
        <v>16</v>
      </c>
      <c r="E122" t="s">
        <v>82</v>
      </c>
      <c r="F122" s="37">
        <v>3523</v>
      </c>
      <c r="G122" s="37">
        <v>753</v>
      </c>
      <c r="H122" s="37">
        <v>482</v>
      </c>
      <c r="I122" s="37">
        <v>38753</v>
      </c>
      <c r="J122" s="37">
        <v>38579</v>
      </c>
      <c r="K122" s="37">
        <v>270</v>
      </c>
      <c r="L122" t="s">
        <v>37</v>
      </c>
      <c r="M122" t="s">
        <v>25</v>
      </c>
      <c r="N122" s="37">
        <v>4758</v>
      </c>
      <c r="O122" s="36">
        <v>0.12277759141227776</v>
      </c>
      <c r="P122" t="s">
        <v>620</v>
      </c>
    </row>
    <row r="123" spans="1:19" x14ac:dyDescent="0.3">
      <c r="A123" t="s">
        <v>269</v>
      </c>
      <c r="B123" t="s">
        <v>27</v>
      </c>
      <c r="C123" s="34">
        <v>45619</v>
      </c>
      <c r="D123" t="s">
        <v>52</v>
      </c>
      <c r="E123" t="s">
        <v>53</v>
      </c>
      <c r="F123" s="37">
        <v>2719</v>
      </c>
      <c r="G123" s="37">
        <v>17</v>
      </c>
      <c r="H123" s="37">
        <v>285</v>
      </c>
      <c r="I123" s="37">
        <v>40785</v>
      </c>
      <c r="J123" s="37">
        <v>40281</v>
      </c>
      <c r="K123" s="37">
        <v>40</v>
      </c>
      <c r="L123" t="s">
        <v>30</v>
      </c>
      <c r="M123" t="s">
        <v>25</v>
      </c>
      <c r="N123" s="37">
        <v>3021</v>
      </c>
      <c r="O123" s="36">
        <v>7.4071349760941527E-2</v>
      </c>
      <c r="P123" t="s">
        <v>620</v>
      </c>
    </row>
    <row r="124" spans="1:19" x14ac:dyDescent="0.3">
      <c r="A124" t="s">
        <v>271</v>
      </c>
      <c r="B124" t="s">
        <v>14</v>
      </c>
      <c r="C124" s="34">
        <v>45570</v>
      </c>
      <c r="D124" t="s">
        <v>35</v>
      </c>
      <c r="E124" t="s">
        <v>149</v>
      </c>
      <c r="F124" s="37">
        <v>1957</v>
      </c>
      <c r="G124" s="37">
        <v>877</v>
      </c>
      <c r="H124" s="37">
        <v>238</v>
      </c>
      <c r="I124" s="37">
        <v>17613</v>
      </c>
      <c r="J124" s="37">
        <v>16865</v>
      </c>
      <c r="K124" s="37">
        <v>297</v>
      </c>
      <c r="L124" t="s">
        <v>62</v>
      </c>
      <c r="M124" t="s">
        <v>31</v>
      </c>
      <c r="N124" s="37">
        <v>3072</v>
      </c>
      <c r="O124" s="36">
        <v>0.17441662408448305</v>
      </c>
      <c r="P124" t="s">
        <v>25</v>
      </c>
      <c r="Q124" s="34">
        <v>45566</v>
      </c>
      <c r="R124" s="34">
        <v>45596</v>
      </c>
      <c r="S124" s="35">
        <v>200000</v>
      </c>
    </row>
    <row r="125" spans="1:19" x14ac:dyDescent="0.3">
      <c r="A125" t="s">
        <v>273</v>
      </c>
      <c r="B125" t="s">
        <v>14</v>
      </c>
      <c r="C125" s="34">
        <v>45567</v>
      </c>
      <c r="D125" t="s">
        <v>45</v>
      </c>
      <c r="E125" t="s">
        <v>49</v>
      </c>
      <c r="F125" s="37">
        <v>4419</v>
      </c>
      <c r="G125" s="37">
        <v>236</v>
      </c>
      <c r="H125" s="37">
        <v>369</v>
      </c>
      <c r="I125" s="37">
        <v>44190</v>
      </c>
      <c r="J125" s="37">
        <v>43582</v>
      </c>
      <c r="K125" s="37">
        <v>10</v>
      </c>
      <c r="L125" t="s">
        <v>37</v>
      </c>
      <c r="M125" t="s">
        <v>19</v>
      </c>
      <c r="N125" s="37">
        <v>5024</v>
      </c>
      <c r="O125" s="36">
        <v>0.11369088028965829</v>
      </c>
      <c r="P125" t="s">
        <v>25</v>
      </c>
      <c r="Q125" s="34">
        <v>45566</v>
      </c>
      <c r="R125" s="34">
        <v>45596</v>
      </c>
      <c r="S125" s="35">
        <v>200000</v>
      </c>
    </row>
    <row r="126" spans="1:19" x14ac:dyDescent="0.3">
      <c r="A126" t="s">
        <v>275</v>
      </c>
      <c r="B126" t="s">
        <v>14</v>
      </c>
      <c r="C126" s="34">
        <v>45610</v>
      </c>
      <c r="D126" t="s">
        <v>35</v>
      </c>
      <c r="E126" t="s">
        <v>149</v>
      </c>
      <c r="F126" s="37">
        <v>4000</v>
      </c>
      <c r="G126" s="37">
        <v>689</v>
      </c>
      <c r="H126" s="37">
        <v>488</v>
      </c>
      <c r="I126" s="37">
        <v>40000</v>
      </c>
      <c r="J126" s="37">
        <v>39569</v>
      </c>
      <c r="K126" s="37">
        <v>44</v>
      </c>
      <c r="L126" t="s">
        <v>62</v>
      </c>
      <c r="M126" t="s">
        <v>19</v>
      </c>
      <c r="N126" s="37">
        <v>5177</v>
      </c>
      <c r="O126" s="36">
        <v>0.12942500000000001</v>
      </c>
      <c r="P126" t="s">
        <v>620</v>
      </c>
    </row>
    <row r="127" spans="1:19" x14ac:dyDescent="0.3">
      <c r="A127" t="s">
        <v>277</v>
      </c>
      <c r="B127" t="s">
        <v>14</v>
      </c>
      <c r="C127" s="34">
        <v>45788</v>
      </c>
      <c r="D127" t="s">
        <v>52</v>
      </c>
      <c r="E127" t="s">
        <v>132</v>
      </c>
      <c r="F127" s="37">
        <v>2493</v>
      </c>
      <c r="G127" s="37">
        <v>97</v>
      </c>
      <c r="H127" s="37">
        <v>44</v>
      </c>
      <c r="I127" s="37">
        <v>42381</v>
      </c>
      <c r="J127" s="37">
        <v>41991</v>
      </c>
      <c r="K127" s="37">
        <v>242</v>
      </c>
      <c r="L127" t="s">
        <v>30</v>
      </c>
      <c r="M127" t="s">
        <v>38</v>
      </c>
      <c r="N127" s="37">
        <v>2634</v>
      </c>
      <c r="O127" s="36">
        <v>6.2150491965739366E-2</v>
      </c>
      <c r="P127" t="s">
        <v>620</v>
      </c>
    </row>
    <row r="128" spans="1:19" x14ac:dyDescent="0.3">
      <c r="A128" t="s">
        <v>277</v>
      </c>
      <c r="B128" t="s">
        <v>14</v>
      </c>
      <c r="C128" s="34">
        <v>45788</v>
      </c>
      <c r="D128" t="s">
        <v>52</v>
      </c>
      <c r="E128" t="s">
        <v>132</v>
      </c>
      <c r="F128" s="37">
        <v>2493</v>
      </c>
      <c r="G128" s="37">
        <v>97</v>
      </c>
      <c r="H128" s="37">
        <v>44</v>
      </c>
      <c r="I128" s="37">
        <v>42381</v>
      </c>
      <c r="J128" s="37">
        <v>41991</v>
      </c>
      <c r="K128" s="37">
        <v>242</v>
      </c>
      <c r="L128" t="s">
        <v>618</v>
      </c>
      <c r="M128" t="s">
        <v>38</v>
      </c>
      <c r="N128" s="37">
        <v>2634</v>
      </c>
      <c r="O128" s="36">
        <v>6.2150491965739366E-2</v>
      </c>
      <c r="P128" t="s">
        <v>620</v>
      </c>
    </row>
    <row r="129" spans="1:19" x14ac:dyDescent="0.3">
      <c r="A129" t="s">
        <v>279</v>
      </c>
      <c r="B129" t="s">
        <v>27</v>
      </c>
      <c r="C129" s="34">
        <v>45734</v>
      </c>
      <c r="D129" t="s">
        <v>16</v>
      </c>
      <c r="E129" t="s">
        <v>29</v>
      </c>
      <c r="F129" s="37">
        <v>3704</v>
      </c>
      <c r="G129" s="37">
        <v>186</v>
      </c>
      <c r="H129" s="37">
        <v>458</v>
      </c>
      <c r="I129" s="37">
        <v>25928</v>
      </c>
      <c r="J129" s="37">
        <v>25081</v>
      </c>
      <c r="K129" s="37">
        <v>131</v>
      </c>
      <c r="L129" t="s">
        <v>30</v>
      </c>
      <c r="N129" s="37">
        <v>4348</v>
      </c>
      <c r="O129" s="36">
        <v>0.16769515581610614</v>
      </c>
      <c r="P129" t="s">
        <v>38</v>
      </c>
      <c r="Q129" s="34">
        <v>45717</v>
      </c>
      <c r="R129" s="34">
        <v>45747</v>
      </c>
      <c r="S129" s="35">
        <v>180000</v>
      </c>
    </row>
    <row r="130" spans="1:19" x14ac:dyDescent="0.3">
      <c r="A130" t="s">
        <v>281</v>
      </c>
      <c r="B130" t="s">
        <v>14</v>
      </c>
      <c r="C130" s="34">
        <v>45600</v>
      </c>
      <c r="D130" t="s">
        <v>52</v>
      </c>
      <c r="E130" t="s">
        <v>132</v>
      </c>
      <c r="F130" s="37">
        <v>1606</v>
      </c>
      <c r="G130" s="37">
        <v>451</v>
      </c>
      <c r="H130" s="37">
        <v>405</v>
      </c>
      <c r="I130" s="37">
        <v>20878</v>
      </c>
      <c r="J130" s="37">
        <v>20190</v>
      </c>
      <c r="K130" s="37">
        <v>219</v>
      </c>
      <c r="L130" t="s">
        <v>37</v>
      </c>
      <c r="M130" t="s">
        <v>38</v>
      </c>
      <c r="N130" s="37">
        <v>2462</v>
      </c>
      <c r="O130" s="36">
        <v>0.11792317271769326</v>
      </c>
      <c r="P130" t="s">
        <v>620</v>
      </c>
    </row>
    <row r="131" spans="1:19" x14ac:dyDescent="0.3">
      <c r="A131" t="s">
        <v>283</v>
      </c>
      <c r="B131" t="s">
        <v>43</v>
      </c>
      <c r="C131" s="34">
        <v>45600</v>
      </c>
      <c r="D131" t="s">
        <v>52</v>
      </c>
      <c r="E131" t="s">
        <v>59</v>
      </c>
      <c r="F131" s="37">
        <v>4551</v>
      </c>
      <c r="G131" s="37">
        <v>714</v>
      </c>
      <c r="H131" s="37">
        <v>207</v>
      </c>
      <c r="I131" s="37">
        <v>68265</v>
      </c>
      <c r="J131" s="37">
        <v>67754</v>
      </c>
      <c r="K131" s="37">
        <v>57</v>
      </c>
      <c r="L131" t="s">
        <v>62</v>
      </c>
      <c r="M131" t="s">
        <v>31</v>
      </c>
      <c r="N131" s="37">
        <v>5472</v>
      </c>
      <c r="O131" s="36">
        <v>8.0158206987475278E-2</v>
      </c>
      <c r="P131" t="s">
        <v>620</v>
      </c>
    </row>
    <row r="132" spans="1:19" x14ac:dyDescent="0.3">
      <c r="A132" t="s">
        <v>284</v>
      </c>
      <c r="B132" t="s">
        <v>33</v>
      </c>
      <c r="C132" s="34">
        <v>45695</v>
      </c>
      <c r="D132" t="s">
        <v>16</v>
      </c>
      <c r="E132" t="s">
        <v>82</v>
      </c>
      <c r="F132" s="37">
        <v>1970</v>
      </c>
      <c r="G132" s="37">
        <v>675</v>
      </c>
      <c r="H132" s="37">
        <v>478</v>
      </c>
      <c r="I132" s="37">
        <v>9850</v>
      </c>
      <c r="J132" s="37">
        <v>8924</v>
      </c>
      <c r="K132" s="37">
        <v>117</v>
      </c>
      <c r="L132" t="s">
        <v>62</v>
      </c>
      <c r="N132" s="37">
        <v>3123</v>
      </c>
      <c r="O132" s="36">
        <v>0.31705583756345179</v>
      </c>
      <c r="P132" t="s">
        <v>620</v>
      </c>
    </row>
    <row r="133" spans="1:19" x14ac:dyDescent="0.3">
      <c r="A133" t="s">
        <v>286</v>
      </c>
      <c r="B133" t="s">
        <v>43</v>
      </c>
      <c r="C133" s="34">
        <v>45586</v>
      </c>
      <c r="D133" t="s">
        <v>35</v>
      </c>
      <c r="E133" t="s">
        <v>71</v>
      </c>
      <c r="F133" s="37">
        <v>780</v>
      </c>
      <c r="G133" s="37">
        <v>928</v>
      </c>
      <c r="H133" s="37">
        <v>301</v>
      </c>
      <c r="I133" s="37">
        <v>8580</v>
      </c>
      <c r="J133" s="37">
        <v>8081</v>
      </c>
      <c r="K133" s="37">
        <v>91</v>
      </c>
      <c r="L133" t="s">
        <v>37</v>
      </c>
      <c r="M133" t="s">
        <v>31</v>
      </c>
      <c r="N133" s="37">
        <v>2009</v>
      </c>
      <c r="O133" s="36">
        <v>0.23414918414918415</v>
      </c>
      <c r="P133" t="s">
        <v>25</v>
      </c>
      <c r="Q133" s="34">
        <v>45566</v>
      </c>
      <c r="R133" s="34">
        <v>45596</v>
      </c>
      <c r="S133" s="35">
        <v>200000</v>
      </c>
    </row>
    <row r="134" spans="1:19" x14ac:dyDescent="0.3">
      <c r="A134" t="s">
        <v>287</v>
      </c>
      <c r="B134" t="s">
        <v>33</v>
      </c>
      <c r="C134" s="34">
        <v>45502</v>
      </c>
      <c r="D134" t="s">
        <v>35</v>
      </c>
      <c r="E134" t="s">
        <v>36</v>
      </c>
      <c r="F134" s="37">
        <v>498</v>
      </c>
      <c r="G134" s="37">
        <v>701</v>
      </c>
      <c r="H134" s="37">
        <v>412</v>
      </c>
      <c r="I134" s="37">
        <v>4980</v>
      </c>
      <c r="J134" s="37">
        <v>4185</v>
      </c>
      <c r="K134" s="37">
        <v>185</v>
      </c>
      <c r="L134" t="s">
        <v>62</v>
      </c>
      <c r="N134" s="37">
        <v>1611</v>
      </c>
      <c r="O134" s="36">
        <v>0.32349397590361445</v>
      </c>
      <c r="P134" t="s">
        <v>620</v>
      </c>
    </row>
    <row r="135" spans="1:19" x14ac:dyDescent="0.3">
      <c r="A135" t="s">
        <v>288</v>
      </c>
      <c r="B135" t="s">
        <v>33</v>
      </c>
      <c r="C135" s="34">
        <v>45567</v>
      </c>
      <c r="D135" t="s">
        <v>22</v>
      </c>
      <c r="E135" t="s">
        <v>113</v>
      </c>
      <c r="F135" s="37">
        <v>3432</v>
      </c>
      <c r="G135" s="37">
        <v>869</v>
      </c>
      <c r="H135" s="37">
        <v>123</v>
      </c>
      <c r="I135" s="37">
        <v>54912</v>
      </c>
      <c r="J135" s="37">
        <v>53916</v>
      </c>
      <c r="K135" s="37">
        <v>264</v>
      </c>
      <c r="L135" t="s">
        <v>37</v>
      </c>
      <c r="M135" t="s">
        <v>25</v>
      </c>
      <c r="N135" s="37">
        <v>4424</v>
      </c>
      <c r="O135" s="36">
        <v>8.0565268065268064E-2</v>
      </c>
      <c r="P135" t="s">
        <v>25</v>
      </c>
      <c r="Q135" s="34">
        <v>45566</v>
      </c>
      <c r="R135" s="34">
        <v>45596</v>
      </c>
      <c r="S135" s="35">
        <v>200000</v>
      </c>
    </row>
    <row r="136" spans="1:19" x14ac:dyDescent="0.3">
      <c r="A136" t="s">
        <v>289</v>
      </c>
      <c r="B136" t="s">
        <v>33</v>
      </c>
      <c r="C136" s="34">
        <v>45457</v>
      </c>
      <c r="D136" t="s">
        <v>35</v>
      </c>
      <c r="E136" t="s">
        <v>36</v>
      </c>
      <c r="F136" s="37">
        <v>4363</v>
      </c>
      <c r="G136" s="37">
        <v>649</v>
      </c>
      <c r="H136" s="37">
        <v>140</v>
      </c>
      <c r="I136" s="37">
        <v>21815</v>
      </c>
      <c r="J136" s="37">
        <v>21481</v>
      </c>
      <c r="K136" s="37">
        <v>157</v>
      </c>
      <c r="L136" t="s">
        <v>37</v>
      </c>
      <c r="M136" t="s">
        <v>19</v>
      </c>
      <c r="N136" s="37">
        <v>5152</v>
      </c>
      <c r="O136" s="36">
        <v>0.23616777446710979</v>
      </c>
      <c r="P136" t="s">
        <v>620</v>
      </c>
    </row>
    <row r="137" spans="1:19" x14ac:dyDescent="0.3">
      <c r="A137" t="s">
        <v>290</v>
      </c>
      <c r="B137" t="s">
        <v>27</v>
      </c>
      <c r="C137" s="34">
        <v>45753</v>
      </c>
      <c r="D137" t="s">
        <v>45</v>
      </c>
      <c r="E137" t="s">
        <v>68</v>
      </c>
      <c r="F137" s="37">
        <v>736</v>
      </c>
      <c r="G137" s="37">
        <v>771</v>
      </c>
      <c r="H137" s="37">
        <v>225</v>
      </c>
      <c r="I137" s="37">
        <v>5152</v>
      </c>
      <c r="J137" s="37">
        <v>4706</v>
      </c>
      <c r="K137" s="37">
        <v>19</v>
      </c>
      <c r="L137" t="s">
        <v>37</v>
      </c>
      <c r="M137" t="s">
        <v>19</v>
      </c>
      <c r="N137" s="37">
        <v>1732</v>
      </c>
      <c r="O137" s="36">
        <v>0.33618012422360249</v>
      </c>
      <c r="P137" t="s">
        <v>620</v>
      </c>
    </row>
    <row r="138" spans="1:19" x14ac:dyDescent="0.3">
      <c r="A138" t="s">
        <v>292</v>
      </c>
      <c r="B138" t="s">
        <v>14</v>
      </c>
      <c r="C138" s="34">
        <v>45543</v>
      </c>
      <c r="D138" t="s">
        <v>45</v>
      </c>
      <c r="E138" t="s">
        <v>49</v>
      </c>
      <c r="F138" s="37">
        <v>3811</v>
      </c>
      <c r="G138" s="37">
        <v>866</v>
      </c>
      <c r="H138" s="37">
        <v>216</v>
      </c>
      <c r="I138" s="37">
        <v>34299</v>
      </c>
      <c r="J138" s="37">
        <v>34088</v>
      </c>
      <c r="K138" s="37">
        <v>233</v>
      </c>
      <c r="L138" t="s">
        <v>30</v>
      </c>
      <c r="M138" t="s">
        <v>38</v>
      </c>
      <c r="N138" s="37">
        <v>4893</v>
      </c>
      <c r="O138" s="36">
        <v>0.14265722032712325</v>
      </c>
      <c r="P138" t="s">
        <v>620</v>
      </c>
    </row>
    <row r="139" spans="1:19" x14ac:dyDescent="0.3">
      <c r="A139" t="s">
        <v>294</v>
      </c>
      <c r="B139" t="s">
        <v>33</v>
      </c>
      <c r="C139" s="34">
        <v>45744</v>
      </c>
      <c r="D139" t="s">
        <v>45</v>
      </c>
      <c r="E139" t="s">
        <v>88</v>
      </c>
      <c r="F139" s="37">
        <v>4158</v>
      </c>
      <c r="G139" s="37">
        <v>167</v>
      </c>
      <c r="H139" s="37">
        <v>241</v>
      </c>
      <c r="I139" s="37">
        <v>45738</v>
      </c>
      <c r="J139" s="37">
        <v>45183</v>
      </c>
      <c r="K139" s="37">
        <v>142</v>
      </c>
      <c r="L139" t="s">
        <v>62</v>
      </c>
      <c r="N139" s="37">
        <v>4566</v>
      </c>
      <c r="O139" s="36">
        <v>9.9829463465827106E-2</v>
      </c>
      <c r="P139" t="s">
        <v>38</v>
      </c>
      <c r="Q139" s="34">
        <v>45717</v>
      </c>
      <c r="R139" s="34">
        <v>45747</v>
      </c>
      <c r="S139" s="35">
        <v>180000</v>
      </c>
    </row>
    <row r="140" spans="1:19" x14ac:dyDescent="0.3">
      <c r="A140" t="s">
        <v>295</v>
      </c>
      <c r="B140" t="s">
        <v>43</v>
      </c>
      <c r="C140" s="34">
        <v>45684</v>
      </c>
      <c r="D140" t="s">
        <v>16</v>
      </c>
      <c r="E140" t="s">
        <v>65</v>
      </c>
      <c r="F140" s="37">
        <v>3452</v>
      </c>
      <c r="G140" s="37">
        <v>652</v>
      </c>
      <c r="H140" s="37">
        <v>442</v>
      </c>
      <c r="I140" s="37">
        <v>65588</v>
      </c>
      <c r="J140" s="37">
        <v>65049</v>
      </c>
      <c r="K140" s="37">
        <v>158</v>
      </c>
      <c r="L140" t="s">
        <v>62</v>
      </c>
      <c r="M140" t="s">
        <v>31</v>
      </c>
      <c r="N140" s="37">
        <v>4546</v>
      </c>
      <c r="O140" s="36">
        <v>6.9311459413307311E-2</v>
      </c>
      <c r="P140" t="s">
        <v>620</v>
      </c>
    </row>
    <row r="141" spans="1:19" x14ac:dyDescent="0.3">
      <c r="A141" t="s">
        <v>296</v>
      </c>
      <c r="B141" t="s">
        <v>14</v>
      </c>
      <c r="C141" s="34">
        <v>45667</v>
      </c>
      <c r="D141" t="s">
        <v>52</v>
      </c>
      <c r="E141" t="s">
        <v>132</v>
      </c>
      <c r="F141" s="37">
        <v>3092</v>
      </c>
      <c r="G141" s="37">
        <v>106</v>
      </c>
      <c r="H141" s="37">
        <v>291</v>
      </c>
      <c r="I141" s="37">
        <v>27828</v>
      </c>
      <c r="J141" s="37">
        <v>27217</v>
      </c>
      <c r="K141" s="37">
        <v>102</v>
      </c>
      <c r="L141" t="s">
        <v>62</v>
      </c>
      <c r="N141" s="37">
        <v>3489</v>
      </c>
      <c r="O141" s="36">
        <v>0.12537731780940059</v>
      </c>
      <c r="P141" t="s">
        <v>31</v>
      </c>
      <c r="Q141" s="34">
        <v>45651</v>
      </c>
      <c r="R141" s="34">
        <v>45667</v>
      </c>
      <c r="S141" s="35">
        <v>250000</v>
      </c>
    </row>
    <row r="142" spans="1:19" x14ac:dyDescent="0.3">
      <c r="A142" t="s">
        <v>297</v>
      </c>
      <c r="B142" t="s">
        <v>14</v>
      </c>
      <c r="C142" s="34">
        <v>45494</v>
      </c>
      <c r="D142" t="s">
        <v>22</v>
      </c>
      <c r="E142" t="s">
        <v>23</v>
      </c>
      <c r="F142" s="37">
        <v>2147</v>
      </c>
      <c r="G142" s="37">
        <v>430</v>
      </c>
      <c r="H142" s="37">
        <v>393</v>
      </c>
      <c r="I142" s="37">
        <v>17176</v>
      </c>
      <c r="J142" s="37">
        <v>16483</v>
      </c>
      <c r="K142" s="37">
        <v>170</v>
      </c>
      <c r="L142" t="s">
        <v>30</v>
      </c>
      <c r="N142" s="37">
        <v>2970</v>
      </c>
      <c r="O142" s="36">
        <v>0.17291569632044715</v>
      </c>
      <c r="P142" t="s">
        <v>620</v>
      </c>
    </row>
    <row r="143" spans="1:19" x14ac:dyDescent="0.3">
      <c r="A143" t="s">
        <v>298</v>
      </c>
      <c r="B143" t="s">
        <v>27</v>
      </c>
      <c r="C143" s="34">
        <v>45564</v>
      </c>
      <c r="D143" t="s">
        <v>16</v>
      </c>
      <c r="E143" t="s">
        <v>29</v>
      </c>
      <c r="F143" s="37">
        <v>2936</v>
      </c>
      <c r="G143" s="37">
        <v>439</v>
      </c>
      <c r="H143" s="37">
        <v>44</v>
      </c>
      <c r="I143" s="37">
        <v>38168</v>
      </c>
      <c r="J143" s="37">
        <v>37571</v>
      </c>
      <c r="K143" s="37">
        <v>22</v>
      </c>
      <c r="L143" t="s">
        <v>37</v>
      </c>
      <c r="M143" t="s">
        <v>38</v>
      </c>
      <c r="N143" s="37">
        <v>3419</v>
      </c>
      <c r="O143" s="36">
        <v>8.9577656675749323E-2</v>
      </c>
      <c r="P143" t="s">
        <v>620</v>
      </c>
    </row>
    <row r="144" spans="1:19" x14ac:dyDescent="0.3">
      <c r="A144" t="s">
        <v>300</v>
      </c>
      <c r="B144" t="s">
        <v>33</v>
      </c>
      <c r="C144" s="34">
        <v>45586</v>
      </c>
      <c r="D144" t="s">
        <v>16</v>
      </c>
      <c r="E144" t="s">
        <v>82</v>
      </c>
      <c r="F144" s="37">
        <v>4840</v>
      </c>
      <c r="G144" s="37">
        <v>658</v>
      </c>
      <c r="H144" s="37">
        <v>211</v>
      </c>
      <c r="I144" s="37">
        <v>43560</v>
      </c>
      <c r="J144" s="37">
        <v>43225</v>
      </c>
      <c r="K144" s="37">
        <v>57</v>
      </c>
      <c r="L144" t="s">
        <v>62</v>
      </c>
      <c r="M144" t="s">
        <v>31</v>
      </c>
      <c r="N144" s="37">
        <v>5709</v>
      </c>
      <c r="O144" s="36">
        <v>0.13106060606060607</v>
      </c>
      <c r="P144" t="s">
        <v>25</v>
      </c>
      <c r="Q144" s="34">
        <v>45566</v>
      </c>
      <c r="R144" s="34">
        <v>45596</v>
      </c>
      <c r="S144" s="35">
        <v>200000</v>
      </c>
    </row>
    <row r="145" spans="1:19" x14ac:dyDescent="0.3">
      <c r="A145" t="s">
        <v>301</v>
      </c>
      <c r="B145" t="s">
        <v>33</v>
      </c>
      <c r="C145" s="34">
        <v>45720</v>
      </c>
      <c r="D145" t="s">
        <v>35</v>
      </c>
      <c r="E145" t="s">
        <v>36</v>
      </c>
      <c r="F145" s="37">
        <v>1947</v>
      </c>
      <c r="G145" s="37">
        <v>842</v>
      </c>
      <c r="H145" s="37">
        <v>101</v>
      </c>
      <c r="I145" s="37">
        <v>21417</v>
      </c>
      <c r="J145" s="37">
        <v>20967</v>
      </c>
      <c r="K145" s="37">
        <v>186</v>
      </c>
      <c r="L145" t="s">
        <v>62</v>
      </c>
      <c r="M145" t="s">
        <v>25</v>
      </c>
      <c r="N145" s="37">
        <v>2890</v>
      </c>
      <c r="O145" s="36">
        <v>0.13493953401503478</v>
      </c>
      <c r="P145" t="s">
        <v>38</v>
      </c>
      <c r="Q145" s="34">
        <v>45717</v>
      </c>
      <c r="R145" s="34">
        <v>45747</v>
      </c>
      <c r="S145" s="35">
        <v>180000</v>
      </c>
    </row>
    <row r="146" spans="1:19" x14ac:dyDescent="0.3">
      <c r="A146" t="s">
        <v>302</v>
      </c>
      <c r="B146" t="s">
        <v>43</v>
      </c>
      <c r="C146" s="34">
        <v>45694</v>
      </c>
      <c r="D146" t="s">
        <v>52</v>
      </c>
      <c r="E146" t="s">
        <v>59</v>
      </c>
      <c r="F146" s="37">
        <v>2072</v>
      </c>
      <c r="G146" s="37">
        <v>532</v>
      </c>
      <c r="H146" s="37">
        <v>71</v>
      </c>
      <c r="I146" s="37">
        <v>37296</v>
      </c>
      <c r="J146" s="37">
        <v>36467</v>
      </c>
      <c r="K146" s="37">
        <v>25</v>
      </c>
      <c r="L146" t="s">
        <v>30</v>
      </c>
      <c r="M146" t="s">
        <v>38</v>
      </c>
      <c r="N146" s="37">
        <v>2675</v>
      </c>
      <c r="O146" s="36">
        <v>7.172350922350923E-2</v>
      </c>
      <c r="P146" t="s">
        <v>620</v>
      </c>
    </row>
    <row r="147" spans="1:19" x14ac:dyDescent="0.3">
      <c r="A147" t="s">
        <v>304</v>
      </c>
      <c r="B147" t="s">
        <v>14</v>
      </c>
      <c r="C147" s="34">
        <v>45771</v>
      </c>
      <c r="D147" t="s">
        <v>16</v>
      </c>
      <c r="E147" t="s">
        <v>17</v>
      </c>
      <c r="F147" s="37">
        <v>3731</v>
      </c>
      <c r="G147" s="37">
        <v>115</v>
      </c>
      <c r="H147" s="37">
        <v>135</v>
      </c>
      <c r="I147" s="37">
        <v>55965</v>
      </c>
      <c r="J147" s="37">
        <v>55436</v>
      </c>
      <c r="K147" s="37">
        <v>103</v>
      </c>
      <c r="L147" t="s">
        <v>30</v>
      </c>
      <c r="M147" t="s">
        <v>19</v>
      </c>
      <c r="N147" s="37">
        <v>3981</v>
      </c>
      <c r="O147" s="36">
        <v>7.1133744304476013E-2</v>
      </c>
      <c r="P147" t="s">
        <v>620</v>
      </c>
    </row>
    <row r="148" spans="1:19" x14ac:dyDescent="0.3">
      <c r="A148" t="s">
        <v>306</v>
      </c>
      <c r="B148" t="s">
        <v>43</v>
      </c>
      <c r="C148" s="34">
        <v>45624</v>
      </c>
      <c r="D148" t="s">
        <v>22</v>
      </c>
      <c r="E148" t="s">
        <v>56</v>
      </c>
      <c r="F148" s="37">
        <v>4213</v>
      </c>
      <c r="G148" s="37">
        <v>253</v>
      </c>
      <c r="H148" s="37">
        <v>434</v>
      </c>
      <c r="I148" s="37">
        <v>75834</v>
      </c>
      <c r="J148" s="37">
        <v>75437</v>
      </c>
      <c r="K148" s="37">
        <v>272</v>
      </c>
      <c r="L148" t="s">
        <v>62</v>
      </c>
      <c r="M148" t="s">
        <v>38</v>
      </c>
      <c r="N148" s="37">
        <v>4900</v>
      </c>
      <c r="O148" s="36">
        <v>6.461481657304112E-2</v>
      </c>
      <c r="P148" t="s">
        <v>620</v>
      </c>
    </row>
    <row r="149" spans="1:19" x14ac:dyDescent="0.3">
      <c r="A149" t="s">
        <v>308</v>
      </c>
      <c r="B149" t="s">
        <v>33</v>
      </c>
      <c r="C149" s="34">
        <v>45484</v>
      </c>
      <c r="D149" t="s">
        <v>22</v>
      </c>
      <c r="E149" t="s">
        <v>113</v>
      </c>
      <c r="F149" s="37">
        <v>3134</v>
      </c>
      <c r="G149" s="37">
        <v>888</v>
      </c>
      <c r="H149" s="37">
        <v>444</v>
      </c>
      <c r="I149" s="37">
        <v>21938</v>
      </c>
      <c r="J149" s="37">
        <v>21337</v>
      </c>
      <c r="K149" s="37">
        <v>130</v>
      </c>
      <c r="L149" t="s">
        <v>37</v>
      </c>
      <c r="M149" t="s">
        <v>38</v>
      </c>
      <c r="N149" s="37">
        <v>4466</v>
      </c>
      <c r="O149" s="36">
        <v>0.20357370772176134</v>
      </c>
      <c r="P149" t="s">
        <v>19</v>
      </c>
      <c r="Q149" s="34">
        <v>45458</v>
      </c>
      <c r="R149" s="34">
        <v>45488</v>
      </c>
      <c r="S149" s="35">
        <v>150000</v>
      </c>
    </row>
    <row r="150" spans="1:19" x14ac:dyDescent="0.3">
      <c r="A150" t="s">
        <v>310</v>
      </c>
      <c r="B150" t="s">
        <v>43</v>
      </c>
      <c r="C150" s="34">
        <v>45504</v>
      </c>
      <c r="D150" t="s">
        <v>74</v>
      </c>
      <c r="E150" t="s">
        <v>75</v>
      </c>
      <c r="F150" s="37">
        <v>3008</v>
      </c>
      <c r="G150" s="37">
        <v>94</v>
      </c>
      <c r="H150" s="37">
        <v>37</v>
      </c>
      <c r="I150" s="37">
        <v>15040</v>
      </c>
      <c r="J150" s="37">
        <v>14639</v>
      </c>
      <c r="K150" s="37">
        <v>277</v>
      </c>
      <c r="L150" t="s">
        <v>62</v>
      </c>
      <c r="N150" s="37">
        <v>3139</v>
      </c>
      <c r="O150" s="36">
        <v>0.20871010638297871</v>
      </c>
      <c r="P150" t="s">
        <v>620</v>
      </c>
    </row>
    <row r="151" spans="1:19" x14ac:dyDescent="0.3">
      <c r="A151" t="s">
        <v>311</v>
      </c>
      <c r="B151" t="s">
        <v>14</v>
      </c>
      <c r="C151" s="34">
        <v>45745</v>
      </c>
      <c r="D151" t="s">
        <v>52</v>
      </c>
      <c r="E151" t="s">
        <v>132</v>
      </c>
      <c r="F151" s="37">
        <v>305</v>
      </c>
      <c r="G151" s="37">
        <v>187</v>
      </c>
      <c r="H151" s="37">
        <v>243</v>
      </c>
      <c r="I151" s="37">
        <v>4575</v>
      </c>
      <c r="J151" s="37">
        <v>3704</v>
      </c>
      <c r="K151" s="37">
        <v>234</v>
      </c>
      <c r="L151" t="s">
        <v>62</v>
      </c>
      <c r="M151" t="s">
        <v>31</v>
      </c>
      <c r="N151" s="37">
        <v>735</v>
      </c>
      <c r="O151" s="36">
        <v>0.16065573770491803</v>
      </c>
      <c r="P151" t="s">
        <v>38</v>
      </c>
      <c r="Q151" s="34">
        <v>45717</v>
      </c>
      <c r="R151" s="34">
        <v>45747</v>
      </c>
      <c r="S151" s="35">
        <v>180000</v>
      </c>
    </row>
    <row r="152" spans="1:19" x14ac:dyDescent="0.3">
      <c r="A152" t="s">
        <v>312</v>
      </c>
      <c r="B152" t="s">
        <v>27</v>
      </c>
      <c r="C152" s="34">
        <v>45594</v>
      </c>
      <c r="D152" t="s">
        <v>22</v>
      </c>
      <c r="E152" t="s">
        <v>104</v>
      </c>
      <c r="F152" s="37">
        <v>2746</v>
      </c>
      <c r="G152" s="37">
        <v>156</v>
      </c>
      <c r="H152" s="37">
        <v>203</v>
      </c>
      <c r="I152" s="37">
        <v>32952</v>
      </c>
      <c r="J152" s="37">
        <v>32147</v>
      </c>
      <c r="K152" s="37">
        <v>147</v>
      </c>
      <c r="L152" t="s">
        <v>37</v>
      </c>
      <c r="M152" t="s">
        <v>19</v>
      </c>
      <c r="N152" s="37">
        <v>3105</v>
      </c>
      <c r="O152" s="36">
        <v>9.422796795338674E-2</v>
      </c>
      <c r="P152" t="s">
        <v>25</v>
      </c>
      <c r="Q152" s="34">
        <v>45566</v>
      </c>
      <c r="R152" s="34">
        <v>45596</v>
      </c>
      <c r="S152" s="35">
        <v>200000</v>
      </c>
    </row>
    <row r="153" spans="1:19" x14ac:dyDescent="0.3">
      <c r="A153" t="s">
        <v>314</v>
      </c>
      <c r="B153" t="s">
        <v>43</v>
      </c>
      <c r="C153" s="34">
        <v>45488</v>
      </c>
      <c r="D153" t="s">
        <v>52</v>
      </c>
      <c r="E153" t="s">
        <v>59</v>
      </c>
      <c r="F153" s="37">
        <v>2291</v>
      </c>
      <c r="G153" s="37">
        <v>78</v>
      </c>
      <c r="H153" s="37">
        <v>485</v>
      </c>
      <c r="I153" s="37">
        <v>18328</v>
      </c>
      <c r="J153" s="37">
        <v>18101</v>
      </c>
      <c r="K153" s="37">
        <v>10</v>
      </c>
      <c r="L153" t="s">
        <v>37</v>
      </c>
      <c r="M153" t="s">
        <v>25</v>
      </c>
      <c r="N153" s="37">
        <v>2854</v>
      </c>
      <c r="O153" s="36">
        <v>0.15571802706241816</v>
      </c>
      <c r="P153" t="s">
        <v>19</v>
      </c>
      <c r="Q153" s="34">
        <v>45458</v>
      </c>
      <c r="R153" s="34">
        <v>45488</v>
      </c>
      <c r="S153" s="35">
        <v>150000</v>
      </c>
    </row>
    <row r="154" spans="1:19" x14ac:dyDescent="0.3">
      <c r="A154" t="s">
        <v>314</v>
      </c>
      <c r="B154" t="s">
        <v>43</v>
      </c>
      <c r="C154" s="34">
        <v>45488</v>
      </c>
      <c r="D154" t="s">
        <v>52</v>
      </c>
      <c r="E154" t="s">
        <v>59</v>
      </c>
      <c r="F154" s="37">
        <v>2291</v>
      </c>
      <c r="G154" s="37">
        <v>78</v>
      </c>
      <c r="H154" s="37">
        <v>485</v>
      </c>
      <c r="I154" s="37">
        <v>18328</v>
      </c>
      <c r="J154" s="37">
        <v>18101</v>
      </c>
      <c r="K154" s="37">
        <v>10</v>
      </c>
      <c r="L154" t="s">
        <v>607</v>
      </c>
      <c r="M154" t="s">
        <v>25</v>
      </c>
      <c r="N154" s="37">
        <v>2854</v>
      </c>
      <c r="O154" s="36">
        <v>0.15571802706241816</v>
      </c>
      <c r="P154" t="s">
        <v>19</v>
      </c>
      <c r="Q154" s="34">
        <v>45458</v>
      </c>
      <c r="R154" s="34">
        <v>45488</v>
      </c>
      <c r="S154" s="35">
        <v>150000</v>
      </c>
    </row>
    <row r="155" spans="1:19" x14ac:dyDescent="0.3">
      <c r="A155" t="s">
        <v>317</v>
      </c>
      <c r="B155" t="s">
        <v>14</v>
      </c>
      <c r="C155" s="34">
        <v>45535</v>
      </c>
      <c r="D155" t="s">
        <v>52</v>
      </c>
      <c r="E155" t="s">
        <v>132</v>
      </c>
      <c r="F155" s="37">
        <v>3170</v>
      </c>
      <c r="G155" s="37">
        <v>857</v>
      </c>
      <c r="H155" s="37">
        <v>379</v>
      </c>
      <c r="I155" s="37">
        <v>19020</v>
      </c>
      <c r="J155" s="37">
        <v>18559</v>
      </c>
      <c r="K155" s="37">
        <v>240</v>
      </c>
      <c r="L155" t="s">
        <v>62</v>
      </c>
      <c r="N155" s="37">
        <v>4406</v>
      </c>
      <c r="O155" s="36">
        <v>0.2316508937960042</v>
      </c>
      <c r="P155" t="s">
        <v>620</v>
      </c>
    </row>
    <row r="156" spans="1:19" x14ac:dyDescent="0.3">
      <c r="A156" t="s">
        <v>319</v>
      </c>
      <c r="B156" t="s">
        <v>27</v>
      </c>
      <c r="C156" s="34">
        <v>45741</v>
      </c>
      <c r="D156" t="s">
        <v>35</v>
      </c>
      <c r="E156" t="s">
        <v>154</v>
      </c>
      <c r="F156" s="37">
        <v>2070</v>
      </c>
      <c r="G156" s="37">
        <v>275</v>
      </c>
      <c r="H156" s="37">
        <v>386</v>
      </c>
      <c r="I156" s="37">
        <v>39330</v>
      </c>
      <c r="J156" s="37">
        <v>38627</v>
      </c>
      <c r="K156" s="37">
        <v>114</v>
      </c>
      <c r="L156" t="s">
        <v>62</v>
      </c>
      <c r="M156" t="s">
        <v>38</v>
      </c>
      <c r="N156" s="37">
        <v>2731</v>
      </c>
      <c r="O156" s="36">
        <v>6.9438087973557078E-2</v>
      </c>
      <c r="P156" t="s">
        <v>38</v>
      </c>
      <c r="Q156" s="34">
        <v>45717</v>
      </c>
      <c r="R156" s="34">
        <v>45747</v>
      </c>
      <c r="S156" s="35">
        <v>180000</v>
      </c>
    </row>
    <row r="157" spans="1:19" x14ac:dyDescent="0.3">
      <c r="A157" t="s">
        <v>320</v>
      </c>
      <c r="B157" t="s">
        <v>27</v>
      </c>
      <c r="C157" s="34">
        <v>45567</v>
      </c>
      <c r="D157" t="s">
        <v>45</v>
      </c>
      <c r="E157" t="s">
        <v>68</v>
      </c>
      <c r="F157" s="37">
        <v>80</v>
      </c>
      <c r="G157" s="37">
        <v>362</v>
      </c>
      <c r="H157" s="37">
        <v>80</v>
      </c>
      <c r="I157" s="37">
        <v>1040</v>
      </c>
      <c r="J157" s="37">
        <v>349</v>
      </c>
      <c r="K157" s="37">
        <v>117</v>
      </c>
      <c r="L157" t="s">
        <v>30</v>
      </c>
      <c r="M157" t="s">
        <v>31</v>
      </c>
      <c r="N157" s="37">
        <v>522</v>
      </c>
      <c r="O157" s="36">
        <v>0.50192307692307692</v>
      </c>
      <c r="P157" t="s">
        <v>25</v>
      </c>
      <c r="Q157" s="34">
        <v>45566</v>
      </c>
      <c r="R157" s="34">
        <v>45596</v>
      </c>
      <c r="S157" s="35">
        <v>200000</v>
      </c>
    </row>
    <row r="158" spans="1:19" x14ac:dyDescent="0.3">
      <c r="A158" t="s">
        <v>321</v>
      </c>
      <c r="B158" t="s">
        <v>27</v>
      </c>
      <c r="C158" s="34">
        <v>45593</v>
      </c>
      <c r="D158" t="s">
        <v>35</v>
      </c>
      <c r="E158" t="s">
        <v>154</v>
      </c>
      <c r="F158" s="37">
        <v>4929</v>
      </c>
      <c r="G158" s="37">
        <v>749</v>
      </c>
      <c r="H158" s="37">
        <v>452</v>
      </c>
      <c r="I158" s="37">
        <v>93651</v>
      </c>
      <c r="J158" s="37">
        <v>92810</v>
      </c>
      <c r="K158" s="37">
        <v>66</v>
      </c>
      <c r="L158" t="s">
        <v>37</v>
      </c>
      <c r="M158" t="s">
        <v>38</v>
      </c>
      <c r="N158" s="37">
        <v>6130</v>
      </c>
      <c r="O158" s="36">
        <v>6.5455787978772245E-2</v>
      </c>
      <c r="P158" t="s">
        <v>25</v>
      </c>
      <c r="Q158" s="34">
        <v>45566</v>
      </c>
      <c r="R158" s="34">
        <v>45596</v>
      </c>
      <c r="S158" s="35">
        <v>200000</v>
      </c>
    </row>
    <row r="159" spans="1:19" x14ac:dyDescent="0.3">
      <c r="A159" t="s">
        <v>322</v>
      </c>
      <c r="B159" t="s">
        <v>33</v>
      </c>
      <c r="C159" s="34">
        <v>45516</v>
      </c>
      <c r="D159" t="s">
        <v>45</v>
      </c>
      <c r="E159" t="s">
        <v>88</v>
      </c>
      <c r="F159" s="37">
        <v>1878</v>
      </c>
      <c r="G159" s="37">
        <v>62</v>
      </c>
      <c r="H159" s="37">
        <v>179</v>
      </c>
      <c r="I159" s="37">
        <v>37560</v>
      </c>
      <c r="J159" s="37">
        <v>36874</v>
      </c>
      <c r="K159" s="37">
        <v>142</v>
      </c>
      <c r="L159" t="s">
        <v>30</v>
      </c>
      <c r="M159" t="s">
        <v>38</v>
      </c>
      <c r="N159" s="37">
        <v>2119</v>
      </c>
      <c r="O159" s="36">
        <v>5.6416400425985093E-2</v>
      </c>
      <c r="P159" t="s">
        <v>620</v>
      </c>
    </row>
    <row r="160" spans="1:19" x14ac:dyDescent="0.3">
      <c r="A160" t="s">
        <v>323</v>
      </c>
      <c r="B160" t="s">
        <v>27</v>
      </c>
      <c r="C160" s="34">
        <v>45448</v>
      </c>
      <c r="D160" t="s">
        <v>16</v>
      </c>
      <c r="E160" t="s">
        <v>29</v>
      </c>
      <c r="F160" s="37">
        <v>3065</v>
      </c>
      <c r="G160" s="37">
        <v>772</v>
      </c>
      <c r="H160" s="37">
        <v>142</v>
      </c>
      <c r="I160" s="37">
        <v>18390</v>
      </c>
      <c r="J160" s="37">
        <v>17875</v>
      </c>
      <c r="K160" s="37">
        <v>200</v>
      </c>
      <c r="L160" t="s">
        <v>37</v>
      </c>
      <c r="N160" s="37">
        <v>3979</v>
      </c>
      <c r="O160" s="36">
        <v>0.21636759108210984</v>
      </c>
      <c r="P160" t="s">
        <v>620</v>
      </c>
    </row>
    <row r="161" spans="1:19" x14ac:dyDescent="0.3">
      <c r="A161" t="s">
        <v>323</v>
      </c>
      <c r="B161" t="s">
        <v>27</v>
      </c>
      <c r="C161" s="34">
        <v>45448</v>
      </c>
      <c r="D161" t="s">
        <v>16</v>
      </c>
      <c r="E161" t="s">
        <v>29</v>
      </c>
      <c r="F161" s="37">
        <v>3065</v>
      </c>
      <c r="G161" s="37">
        <v>772</v>
      </c>
      <c r="H161" s="37">
        <v>142</v>
      </c>
      <c r="I161" s="37">
        <v>18390</v>
      </c>
      <c r="J161" s="37">
        <v>17875</v>
      </c>
      <c r="K161" s="37">
        <v>200</v>
      </c>
      <c r="L161" t="s">
        <v>618</v>
      </c>
      <c r="N161" s="37">
        <v>3979</v>
      </c>
      <c r="O161" s="36">
        <v>0.21636759108210984</v>
      </c>
      <c r="P161" t="s">
        <v>620</v>
      </c>
    </row>
    <row r="162" spans="1:19" x14ac:dyDescent="0.3">
      <c r="A162" t="s">
        <v>326</v>
      </c>
      <c r="B162" t="s">
        <v>33</v>
      </c>
      <c r="C162" s="34">
        <v>45586</v>
      </c>
      <c r="D162" t="s">
        <v>16</v>
      </c>
      <c r="E162" t="s">
        <v>82</v>
      </c>
      <c r="F162" s="37">
        <v>3256</v>
      </c>
      <c r="G162" s="37">
        <v>459</v>
      </c>
      <c r="H162" s="37">
        <v>266</v>
      </c>
      <c r="I162" s="37">
        <v>26048</v>
      </c>
      <c r="J162" s="37">
        <v>25529</v>
      </c>
      <c r="K162" s="37">
        <v>143</v>
      </c>
      <c r="L162" t="s">
        <v>30</v>
      </c>
      <c r="M162" t="s">
        <v>25</v>
      </c>
      <c r="N162" s="37">
        <v>3981</v>
      </c>
      <c r="O162" s="36">
        <v>0.15283323095823095</v>
      </c>
      <c r="P162" t="s">
        <v>25</v>
      </c>
      <c r="Q162" s="34">
        <v>45566</v>
      </c>
      <c r="R162" s="34">
        <v>45596</v>
      </c>
      <c r="S162" s="35">
        <v>200000</v>
      </c>
    </row>
    <row r="163" spans="1:19" x14ac:dyDescent="0.3">
      <c r="A163" t="s">
        <v>327</v>
      </c>
      <c r="B163" t="s">
        <v>33</v>
      </c>
      <c r="C163" s="34">
        <v>45762</v>
      </c>
      <c r="D163" t="s">
        <v>74</v>
      </c>
      <c r="E163" t="s">
        <v>85</v>
      </c>
      <c r="F163" s="37">
        <v>4133</v>
      </c>
      <c r="G163" s="37">
        <v>466</v>
      </c>
      <c r="H163" s="37">
        <v>327</v>
      </c>
      <c r="I163" s="37">
        <v>24798</v>
      </c>
      <c r="J163" s="37">
        <v>24620</v>
      </c>
      <c r="K163" s="37">
        <v>176</v>
      </c>
      <c r="L163" t="s">
        <v>37</v>
      </c>
      <c r="M163" t="s">
        <v>38</v>
      </c>
      <c r="N163" s="37">
        <v>4926</v>
      </c>
      <c r="O163" s="36">
        <v>0.19864505202032423</v>
      </c>
      <c r="P163" t="s">
        <v>620</v>
      </c>
    </row>
    <row r="164" spans="1:19" x14ac:dyDescent="0.3">
      <c r="A164" t="s">
        <v>328</v>
      </c>
      <c r="B164" t="s">
        <v>14</v>
      </c>
      <c r="C164" s="34">
        <v>45459</v>
      </c>
      <c r="D164" t="s">
        <v>74</v>
      </c>
      <c r="E164" t="s">
        <v>145</v>
      </c>
      <c r="F164" s="37">
        <v>1702</v>
      </c>
      <c r="G164" s="37">
        <v>750</v>
      </c>
      <c r="H164" s="37">
        <v>179</v>
      </c>
      <c r="I164" s="37">
        <v>34040</v>
      </c>
      <c r="J164" s="37">
        <v>33174</v>
      </c>
      <c r="K164" s="37">
        <v>76</v>
      </c>
      <c r="L164" t="s">
        <v>37</v>
      </c>
      <c r="M164" t="s">
        <v>19</v>
      </c>
      <c r="N164" s="37">
        <v>2631</v>
      </c>
      <c r="O164" s="36">
        <v>7.7291421856639245E-2</v>
      </c>
      <c r="P164" t="s">
        <v>19</v>
      </c>
      <c r="Q164" s="34">
        <v>45458</v>
      </c>
      <c r="R164" s="34">
        <v>45488</v>
      </c>
      <c r="S164" s="35">
        <v>150000</v>
      </c>
    </row>
    <row r="165" spans="1:19" x14ac:dyDescent="0.3">
      <c r="A165" t="s">
        <v>330</v>
      </c>
      <c r="B165" t="s">
        <v>27</v>
      </c>
      <c r="C165" s="34">
        <v>45526</v>
      </c>
      <c r="D165" t="s">
        <v>45</v>
      </c>
      <c r="E165" t="s">
        <v>68</v>
      </c>
      <c r="F165" s="37">
        <v>4295</v>
      </c>
      <c r="G165" s="37">
        <v>853</v>
      </c>
      <c r="H165" s="37">
        <v>325</v>
      </c>
      <c r="I165" s="37">
        <v>85900</v>
      </c>
      <c r="J165" s="37">
        <v>85788</v>
      </c>
      <c r="K165" s="37">
        <v>290</v>
      </c>
      <c r="L165" t="s">
        <v>30</v>
      </c>
      <c r="M165" t="s">
        <v>38</v>
      </c>
      <c r="N165" s="37">
        <v>5473</v>
      </c>
      <c r="O165" s="36">
        <v>6.3713620488940623E-2</v>
      </c>
      <c r="P165" t="s">
        <v>620</v>
      </c>
    </row>
    <row r="166" spans="1:19" x14ac:dyDescent="0.3">
      <c r="A166" t="s">
        <v>332</v>
      </c>
      <c r="B166" t="s">
        <v>33</v>
      </c>
      <c r="C166" s="34">
        <v>45499</v>
      </c>
      <c r="D166" t="s">
        <v>52</v>
      </c>
      <c r="E166" t="s">
        <v>215</v>
      </c>
      <c r="F166" s="37">
        <v>3559</v>
      </c>
      <c r="G166" s="37">
        <v>59</v>
      </c>
      <c r="H166" s="37">
        <v>289</v>
      </c>
      <c r="I166" s="37">
        <v>35590</v>
      </c>
      <c r="J166" s="37">
        <v>35105</v>
      </c>
      <c r="K166" s="37">
        <v>122</v>
      </c>
      <c r="L166" t="s">
        <v>37</v>
      </c>
      <c r="M166" t="s">
        <v>19</v>
      </c>
      <c r="N166" s="37">
        <v>3907</v>
      </c>
      <c r="O166" s="36">
        <v>0.10977802753582468</v>
      </c>
      <c r="P166" t="s">
        <v>620</v>
      </c>
    </row>
    <row r="167" spans="1:19" x14ac:dyDescent="0.3">
      <c r="A167" t="s">
        <v>333</v>
      </c>
      <c r="B167" t="s">
        <v>43</v>
      </c>
      <c r="C167" s="34">
        <v>45769</v>
      </c>
      <c r="D167" t="s">
        <v>52</v>
      </c>
      <c r="E167" t="s">
        <v>59</v>
      </c>
      <c r="F167" s="37">
        <v>4804</v>
      </c>
      <c r="G167" s="37">
        <v>550</v>
      </c>
      <c r="H167" s="37">
        <v>270</v>
      </c>
      <c r="I167" s="37">
        <v>28824</v>
      </c>
      <c r="J167" s="37">
        <v>28370</v>
      </c>
      <c r="K167" s="37">
        <v>47</v>
      </c>
      <c r="L167" t="s">
        <v>37</v>
      </c>
      <c r="M167" t="s">
        <v>38</v>
      </c>
      <c r="N167" s="37">
        <v>5624</v>
      </c>
      <c r="O167" s="36">
        <v>0.19511518179295032</v>
      </c>
      <c r="P167" t="s">
        <v>620</v>
      </c>
    </row>
    <row r="168" spans="1:19" x14ac:dyDescent="0.3">
      <c r="A168" t="s">
        <v>335</v>
      </c>
      <c r="B168" t="s">
        <v>14</v>
      </c>
      <c r="C168" s="34">
        <v>45658</v>
      </c>
      <c r="D168" t="s">
        <v>74</v>
      </c>
      <c r="E168" t="s">
        <v>145</v>
      </c>
      <c r="F168" s="37">
        <v>754</v>
      </c>
      <c r="G168" s="37">
        <v>197</v>
      </c>
      <c r="H168" s="37">
        <v>257</v>
      </c>
      <c r="I168" s="37">
        <v>6786</v>
      </c>
      <c r="J168" s="37">
        <v>6221</v>
      </c>
      <c r="K168" s="37">
        <v>212</v>
      </c>
      <c r="L168" t="s">
        <v>30</v>
      </c>
      <c r="M168" t="s">
        <v>31</v>
      </c>
      <c r="N168" s="37">
        <v>1208</v>
      </c>
      <c r="O168" s="36">
        <v>0.17801355732390214</v>
      </c>
      <c r="P168" t="s">
        <v>31</v>
      </c>
      <c r="Q168" s="34">
        <v>45651</v>
      </c>
      <c r="R168" s="34">
        <v>45667</v>
      </c>
      <c r="S168" s="35">
        <v>250000</v>
      </c>
    </row>
    <row r="169" spans="1:19" x14ac:dyDescent="0.3">
      <c r="A169" t="s">
        <v>337</v>
      </c>
      <c r="B169" t="s">
        <v>33</v>
      </c>
      <c r="C169" s="34">
        <v>45574</v>
      </c>
      <c r="D169" t="s">
        <v>45</v>
      </c>
      <c r="E169" t="s">
        <v>88</v>
      </c>
      <c r="F169" s="37">
        <v>985</v>
      </c>
      <c r="G169" s="37">
        <v>932</v>
      </c>
      <c r="H169" s="37">
        <v>287</v>
      </c>
      <c r="I169" s="37">
        <v>6895</v>
      </c>
      <c r="J169" s="37">
        <v>6757</v>
      </c>
      <c r="K169" s="37">
        <v>64</v>
      </c>
      <c r="L169" t="s">
        <v>62</v>
      </c>
      <c r="M169" t="s">
        <v>38</v>
      </c>
      <c r="N169" s="37">
        <v>2204</v>
      </c>
      <c r="O169" s="36">
        <v>0.31965192168237855</v>
      </c>
      <c r="P169" t="s">
        <v>25</v>
      </c>
      <c r="Q169" s="34">
        <v>45566</v>
      </c>
      <c r="R169" s="34">
        <v>45596</v>
      </c>
      <c r="S169" s="35">
        <v>200000</v>
      </c>
    </row>
    <row r="170" spans="1:19" x14ac:dyDescent="0.3">
      <c r="A170" t="s">
        <v>338</v>
      </c>
      <c r="B170" t="s">
        <v>27</v>
      </c>
      <c r="C170" s="34">
        <v>45647</v>
      </c>
      <c r="D170" t="s">
        <v>52</v>
      </c>
      <c r="E170" t="s">
        <v>53</v>
      </c>
      <c r="F170" s="37">
        <v>2283</v>
      </c>
      <c r="G170" s="37">
        <v>210</v>
      </c>
      <c r="H170" s="37">
        <v>130</v>
      </c>
      <c r="I170" s="37">
        <v>22830</v>
      </c>
      <c r="J170" s="37">
        <v>22617</v>
      </c>
      <c r="K170" s="37">
        <v>143</v>
      </c>
      <c r="L170" t="s">
        <v>62</v>
      </c>
      <c r="M170" t="s">
        <v>25</v>
      </c>
      <c r="N170" s="37">
        <v>2623</v>
      </c>
      <c r="O170" s="36">
        <v>0.11489268506351293</v>
      </c>
      <c r="P170" t="s">
        <v>620</v>
      </c>
    </row>
    <row r="171" spans="1:19" x14ac:dyDescent="0.3">
      <c r="A171" t="s">
        <v>340</v>
      </c>
      <c r="B171" t="s">
        <v>43</v>
      </c>
      <c r="C171" s="34">
        <v>45587</v>
      </c>
      <c r="D171" t="s">
        <v>45</v>
      </c>
      <c r="E171" t="s">
        <v>46</v>
      </c>
      <c r="F171" s="37">
        <v>3352</v>
      </c>
      <c r="G171" s="37">
        <v>941</v>
      </c>
      <c r="H171" s="37">
        <v>482</v>
      </c>
      <c r="I171" s="37">
        <v>43576</v>
      </c>
      <c r="J171" s="37">
        <v>43338</v>
      </c>
      <c r="K171" s="37">
        <v>240</v>
      </c>
      <c r="L171" t="s">
        <v>62</v>
      </c>
      <c r="M171" t="s">
        <v>25</v>
      </c>
      <c r="N171" s="37">
        <v>4775</v>
      </c>
      <c r="O171" s="36">
        <v>0.1095786671562328</v>
      </c>
      <c r="P171" t="s">
        <v>25</v>
      </c>
      <c r="Q171" s="34">
        <v>45566</v>
      </c>
      <c r="R171" s="34">
        <v>45596</v>
      </c>
      <c r="S171" s="35">
        <v>200000</v>
      </c>
    </row>
    <row r="172" spans="1:19" x14ac:dyDescent="0.3">
      <c r="A172" t="s">
        <v>342</v>
      </c>
      <c r="B172" t="s">
        <v>27</v>
      </c>
      <c r="C172" s="34">
        <v>45496</v>
      </c>
      <c r="D172" t="s">
        <v>35</v>
      </c>
      <c r="E172" t="s">
        <v>154</v>
      </c>
      <c r="F172" s="37">
        <v>4775</v>
      </c>
      <c r="G172" s="37">
        <v>173</v>
      </c>
      <c r="H172" s="37">
        <v>206</v>
      </c>
      <c r="I172" s="37">
        <v>47750</v>
      </c>
      <c r="J172" s="37">
        <v>47544</v>
      </c>
      <c r="K172" s="37">
        <v>187</v>
      </c>
      <c r="L172" t="s">
        <v>62</v>
      </c>
      <c r="M172" t="s">
        <v>25</v>
      </c>
      <c r="N172" s="37">
        <v>5154</v>
      </c>
      <c r="O172" s="36">
        <v>0.10793717277486911</v>
      </c>
      <c r="P172" t="s">
        <v>620</v>
      </c>
    </row>
    <row r="173" spans="1:19" x14ac:dyDescent="0.3">
      <c r="A173" t="s">
        <v>344</v>
      </c>
      <c r="B173" t="s">
        <v>33</v>
      </c>
      <c r="C173" s="34">
        <v>45515</v>
      </c>
      <c r="D173" t="s">
        <v>35</v>
      </c>
      <c r="E173" t="s">
        <v>36</v>
      </c>
      <c r="F173" s="37">
        <v>1762</v>
      </c>
      <c r="G173" s="37">
        <v>405</v>
      </c>
      <c r="H173" s="37">
        <v>423</v>
      </c>
      <c r="I173" s="37">
        <v>22906</v>
      </c>
      <c r="J173" s="37">
        <v>21925</v>
      </c>
      <c r="K173" s="37">
        <v>25</v>
      </c>
      <c r="L173" t="s">
        <v>30</v>
      </c>
      <c r="M173" t="s">
        <v>19</v>
      </c>
      <c r="N173" s="37">
        <v>2590</v>
      </c>
      <c r="O173" s="36">
        <v>0.11307081114118571</v>
      </c>
      <c r="P173" t="s">
        <v>620</v>
      </c>
    </row>
    <row r="174" spans="1:19" x14ac:dyDescent="0.3">
      <c r="A174" t="s">
        <v>346</v>
      </c>
      <c r="B174" t="s">
        <v>43</v>
      </c>
      <c r="C174" s="34">
        <v>45621</v>
      </c>
      <c r="D174" t="s">
        <v>35</v>
      </c>
      <c r="E174" t="s">
        <v>71</v>
      </c>
      <c r="F174" s="37">
        <v>2120</v>
      </c>
      <c r="G174" s="37">
        <v>158</v>
      </c>
      <c r="H174" s="37">
        <v>488</v>
      </c>
      <c r="I174" s="37">
        <v>12720</v>
      </c>
      <c r="J174" s="37">
        <v>12085</v>
      </c>
      <c r="K174" s="37">
        <v>17</v>
      </c>
      <c r="L174" t="s">
        <v>62</v>
      </c>
      <c r="M174" t="s">
        <v>25</v>
      </c>
      <c r="N174" s="37">
        <v>2766</v>
      </c>
      <c r="O174" s="36">
        <v>0.21745283018867925</v>
      </c>
      <c r="P174" t="s">
        <v>620</v>
      </c>
    </row>
    <row r="175" spans="1:19" x14ac:dyDescent="0.3">
      <c r="A175" t="s">
        <v>347</v>
      </c>
      <c r="B175" t="s">
        <v>14</v>
      </c>
      <c r="C175" s="34">
        <v>45528</v>
      </c>
      <c r="D175" t="s">
        <v>74</v>
      </c>
      <c r="E175" t="s">
        <v>145</v>
      </c>
      <c r="F175" s="37">
        <v>1082</v>
      </c>
      <c r="G175" s="37">
        <v>209</v>
      </c>
      <c r="H175" s="37">
        <v>484</v>
      </c>
      <c r="I175" s="37">
        <v>19476</v>
      </c>
      <c r="J175" s="37">
        <v>18654</v>
      </c>
      <c r="K175" s="37">
        <v>20</v>
      </c>
      <c r="L175" t="s">
        <v>30</v>
      </c>
      <c r="N175" s="37">
        <v>1775</v>
      </c>
      <c r="O175" s="36">
        <v>9.1137810638734856E-2</v>
      </c>
      <c r="P175" t="s">
        <v>620</v>
      </c>
    </row>
    <row r="176" spans="1:19" x14ac:dyDescent="0.3">
      <c r="A176" t="s">
        <v>349</v>
      </c>
      <c r="B176" t="s">
        <v>14</v>
      </c>
      <c r="C176" s="34">
        <v>45707</v>
      </c>
      <c r="D176" t="s">
        <v>22</v>
      </c>
      <c r="E176" t="s">
        <v>23</v>
      </c>
      <c r="F176" s="37">
        <v>4671</v>
      </c>
      <c r="G176" s="37">
        <v>876</v>
      </c>
      <c r="H176" s="37">
        <v>366</v>
      </c>
      <c r="I176" s="37">
        <v>51381</v>
      </c>
      <c r="J176" s="37">
        <v>50565</v>
      </c>
      <c r="K176" s="37">
        <v>245</v>
      </c>
      <c r="L176" t="s">
        <v>30</v>
      </c>
      <c r="M176" t="s">
        <v>38</v>
      </c>
      <c r="N176" s="37">
        <v>5913</v>
      </c>
      <c r="O176" s="36">
        <v>0.11508145034156594</v>
      </c>
      <c r="P176" t="s">
        <v>620</v>
      </c>
    </row>
    <row r="177" spans="1:19" x14ac:dyDescent="0.3">
      <c r="A177" t="s">
        <v>351</v>
      </c>
      <c r="B177" t="s">
        <v>43</v>
      </c>
      <c r="C177" s="34">
        <v>45748</v>
      </c>
      <c r="D177" t="s">
        <v>35</v>
      </c>
      <c r="E177" t="s">
        <v>71</v>
      </c>
      <c r="F177" s="37">
        <v>3430</v>
      </c>
      <c r="G177" s="37">
        <v>566</v>
      </c>
      <c r="H177" s="37">
        <v>164</v>
      </c>
      <c r="I177" s="37">
        <v>48020</v>
      </c>
      <c r="J177" s="37">
        <v>47305</v>
      </c>
      <c r="K177" s="37">
        <v>120</v>
      </c>
      <c r="L177" t="s">
        <v>62</v>
      </c>
      <c r="N177" s="37">
        <v>4160</v>
      </c>
      <c r="O177" s="36">
        <v>8.6630570595585168E-2</v>
      </c>
      <c r="P177" t="s">
        <v>620</v>
      </c>
    </row>
    <row r="178" spans="1:19" x14ac:dyDescent="0.3">
      <c r="A178" t="s">
        <v>353</v>
      </c>
      <c r="B178" t="s">
        <v>33</v>
      </c>
      <c r="C178" s="34">
        <v>45755</v>
      </c>
      <c r="D178" t="s">
        <v>52</v>
      </c>
      <c r="E178" t="s">
        <v>215</v>
      </c>
      <c r="F178" s="37">
        <v>4501</v>
      </c>
      <c r="G178" s="37">
        <v>375</v>
      </c>
      <c r="H178" s="37">
        <v>323</v>
      </c>
      <c r="I178" s="37">
        <v>22505</v>
      </c>
      <c r="J178" s="37">
        <v>21836</v>
      </c>
      <c r="K178" s="37">
        <v>132</v>
      </c>
      <c r="L178" t="s">
        <v>30</v>
      </c>
      <c r="M178" t="s">
        <v>25</v>
      </c>
      <c r="N178" s="37">
        <v>5199</v>
      </c>
      <c r="O178" s="36">
        <v>0.23101532992668297</v>
      </c>
      <c r="P178" t="s">
        <v>620</v>
      </c>
    </row>
    <row r="179" spans="1:19" x14ac:dyDescent="0.3">
      <c r="A179" t="s">
        <v>355</v>
      </c>
      <c r="B179" t="s">
        <v>27</v>
      </c>
      <c r="C179" s="34">
        <v>45715</v>
      </c>
      <c r="D179" t="s">
        <v>22</v>
      </c>
      <c r="E179" t="s">
        <v>104</v>
      </c>
      <c r="F179" s="37">
        <v>4934</v>
      </c>
      <c r="G179" s="37">
        <v>971</v>
      </c>
      <c r="H179" s="37">
        <v>156</v>
      </c>
      <c r="I179" s="37">
        <v>39472</v>
      </c>
      <c r="J179" s="37">
        <v>39025</v>
      </c>
      <c r="K179" s="37">
        <v>169</v>
      </c>
      <c r="L179" t="s">
        <v>30</v>
      </c>
      <c r="M179" t="s">
        <v>38</v>
      </c>
      <c r="N179" s="37">
        <v>6061</v>
      </c>
      <c r="O179" s="36">
        <v>0.15355188488042157</v>
      </c>
      <c r="P179" t="s">
        <v>620</v>
      </c>
    </row>
    <row r="180" spans="1:19" x14ac:dyDescent="0.3">
      <c r="A180" t="s">
        <v>355</v>
      </c>
      <c r="B180" t="s">
        <v>27</v>
      </c>
      <c r="C180" s="34">
        <v>45715</v>
      </c>
      <c r="D180" t="s">
        <v>22</v>
      </c>
      <c r="E180" t="s">
        <v>104</v>
      </c>
      <c r="F180" s="37">
        <v>4934</v>
      </c>
      <c r="G180" s="37">
        <v>971</v>
      </c>
      <c r="H180" s="37">
        <v>156</v>
      </c>
      <c r="I180" s="37">
        <v>39472</v>
      </c>
      <c r="J180" s="37">
        <v>39025</v>
      </c>
      <c r="K180" s="37">
        <v>169</v>
      </c>
      <c r="L180" t="s">
        <v>618</v>
      </c>
      <c r="M180" t="s">
        <v>38</v>
      </c>
      <c r="N180" s="37">
        <v>6061</v>
      </c>
      <c r="O180" s="36">
        <v>0.15355188488042157</v>
      </c>
      <c r="P180" t="s">
        <v>620</v>
      </c>
    </row>
    <row r="181" spans="1:19" x14ac:dyDescent="0.3">
      <c r="A181" t="s">
        <v>356</v>
      </c>
      <c r="B181" t="s">
        <v>14</v>
      </c>
      <c r="C181" s="34">
        <v>45637</v>
      </c>
      <c r="D181" t="s">
        <v>22</v>
      </c>
      <c r="E181" t="s">
        <v>23</v>
      </c>
      <c r="F181" s="37">
        <v>3239</v>
      </c>
      <c r="G181" s="37">
        <v>43</v>
      </c>
      <c r="H181" s="37">
        <v>211</v>
      </c>
      <c r="I181" s="37">
        <v>22673</v>
      </c>
      <c r="J181" s="37">
        <v>22171</v>
      </c>
      <c r="K181" s="37">
        <v>230</v>
      </c>
      <c r="L181" t="s">
        <v>30</v>
      </c>
      <c r="M181" t="s">
        <v>25</v>
      </c>
      <c r="N181" s="37">
        <v>3493</v>
      </c>
      <c r="O181" s="36">
        <v>0.15405989502933004</v>
      </c>
      <c r="P181" t="s">
        <v>620</v>
      </c>
    </row>
    <row r="182" spans="1:19" x14ac:dyDescent="0.3">
      <c r="A182" t="s">
        <v>357</v>
      </c>
      <c r="B182" t="s">
        <v>14</v>
      </c>
      <c r="C182" s="34">
        <v>45704</v>
      </c>
      <c r="D182" t="s">
        <v>16</v>
      </c>
      <c r="E182" t="s">
        <v>17</v>
      </c>
      <c r="F182" s="37">
        <v>1076</v>
      </c>
      <c r="G182" s="37">
        <v>313</v>
      </c>
      <c r="H182" s="37">
        <v>306</v>
      </c>
      <c r="I182" s="37">
        <v>11836</v>
      </c>
      <c r="J182" s="37">
        <v>11596</v>
      </c>
      <c r="K182" s="37">
        <v>104</v>
      </c>
      <c r="L182" t="s">
        <v>62</v>
      </c>
      <c r="M182" t="s">
        <v>19</v>
      </c>
      <c r="N182" s="37">
        <v>1695</v>
      </c>
      <c r="O182" s="36">
        <v>0.14320716458262928</v>
      </c>
      <c r="P182" t="s">
        <v>620</v>
      </c>
    </row>
    <row r="183" spans="1:19" x14ac:dyDescent="0.3">
      <c r="A183" t="s">
        <v>358</v>
      </c>
      <c r="B183" t="s">
        <v>33</v>
      </c>
      <c r="C183" s="34">
        <v>45624</v>
      </c>
      <c r="D183" t="s">
        <v>22</v>
      </c>
      <c r="E183" t="s">
        <v>113</v>
      </c>
      <c r="F183" s="37">
        <v>4771</v>
      </c>
      <c r="G183" s="37">
        <v>818</v>
      </c>
      <c r="H183" s="37">
        <v>56</v>
      </c>
      <c r="I183" s="37">
        <v>57252</v>
      </c>
      <c r="J183" s="37">
        <v>56378</v>
      </c>
      <c r="K183" s="37">
        <v>150</v>
      </c>
      <c r="L183" t="s">
        <v>62</v>
      </c>
      <c r="N183" s="37">
        <v>5645</v>
      </c>
      <c r="O183" s="36">
        <v>9.859917557465242E-2</v>
      </c>
      <c r="P183" t="s">
        <v>620</v>
      </c>
    </row>
    <row r="184" spans="1:19" x14ac:dyDescent="0.3">
      <c r="A184" t="s">
        <v>359</v>
      </c>
      <c r="B184" t="s">
        <v>43</v>
      </c>
      <c r="C184" s="34">
        <v>45608</v>
      </c>
      <c r="D184" t="s">
        <v>22</v>
      </c>
      <c r="E184" t="s">
        <v>56</v>
      </c>
      <c r="F184" s="37">
        <v>2418</v>
      </c>
      <c r="G184" s="37">
        <v>754</v>
      </c>
      <c r="H184" s="37">
        <v>54</v>
      </c>
      <c r="I184" s="37">
        <v>43524</v>
      </c>
      <c r="J184" s="37">
        <v>42743</v>
      </c>
      <c r="K184" s="37">
        <v>182</v>
      </c>
      <c r="L184" t="s">
        <v>37</v>
      </c>
      <c r="M184" t="s">
        <v>19</v>
      </c>
      <c r="N184" s="37">
        <v>3226</v>
      </c>
      <c r="O184" s="36">
        <v>7.412002573292896E-2</v>
      </c>
      <c r="P184" t="s">
        <v>620</v>
      </c>
    </row>
    <row r="185" spans="1:19" x14ac:dyDescent="0.3">
      <c r="A185" t="s">
        <v>361</v>
      </c>
      <c r="B185" t="s">
        <v>27</v>
      </c>
      <c r="C185" s="34">
        <v>45629</v>
      </c>
      <c r="D185" t="s">
        <v>74</v>
      </c>
      <c r="E185" t="s">
        <v>219</v>
      </c>
      <c r="F185" s="37">
        <v>3809</v>
      </c>
      <c r="G185" s="37">
        <v>273</v>
      </c>
      <c r="H185" s="37">
        <v>200</v>
      </c>
      <c r="I185" s="37">
        <v>34281</v>
      </c>
      <c r="J185" s="37">
        <v>33534</v>
      </c>
      <c r="K185" s="37">
        <v>83</v>
      </c>
      <c r="L185" t="s">
        <v>37</v>
      </c>
      <c r="M185" t="s">
        <v>19</v>
      </c>
      <c r="N185" s="37">
        <v>4282</v>
      </c>
      <c r="O185" s="36">
        <v>0.12490884163239112</v>
      </c>
      <c r="P185" t="s">
        <v>620</v>
      </c>
    </row>
    <row r="186" spans="1:19" x14ac:dyDescent="0.3">
      <c r="A186" t="s">
        <v>363</v>
      </c>
      <c r="B186" t="s">
        <v>14</v>
      </c>
      <c r="C186" s="34">
        <v>45775</v>
      </c>
      <c r="D186" t="s">
        <v>22</v>
      </c>
      <c r="E186" t="s">
        <v>23</v>
      </c>
      <c r="F186" s="37">
        <v>3577</v>
      </c>
      <c r="G186" s="37">
        <v>596</v>
      </c>
      <c r="H186" s="37">
        <v>493</v>
      </c>
      <c r="I186" s="37">
        <v>67963</v>
      </c>
      <c r="J186" s="37">
        <v>67839</v>
      </c>
      <c r="K186" s="37">
        <v>53</v>
      </c>
      <c r="L186" t="s">
        <v>30</v>
      </c>
      <c r="M186" t="s">
        <v>31</v>
      </c>
      <c r="N186" s="37">
        <v>4666</v>
      </c>
      <c r="O186" s="36">
        <v>6.8655003457763777E-2</v>
      </c>
      <c r="P186" t="s">
        <v>620</v>
      </c>
    </row>
    <row r="187" spans="1:19" x14ac:dyDescent="0.3">
      <c r="A187" t="s">
        <v>365</v>
      </c>
      <c r="B187" t="s">
        <v>27</v>
      </c>
      <c r="C187" s="34">
        <v>45657</v>
      </c>
      <c r="D187" t="s">
        <v>74</v>
      </c>
      <c r="E187" t="s">
        <v>219</v>
      </c>
      <c r="F187" s="37">
        <v>1018</v>
      </c>
      <c r="G187" s="37">
        <v>447</v>
      </c>
      <c r="H187" s="37">
        <v>332</v>
      </c>
      <c r="I187" s="37">
        <v>18324</v>
      </c>
      <c r="J187" s="37">
        <v>18164</v>
      </c>
      <c r="K187" s="37">
        <v>38</v>
      </c>
      <c r="L187" t="s">
        <v>62</v>
      </c>
      <c r="M187" t="s">
        <v>25</v>
      </c>
      <c r="N187" s="37">
        <v>1797</v>
      </c>
      <c r="O187" s="36">
        <v>9.8068107400130972E-2</v>
      </c>
      <c r="P187" t="s">
        <v>31</v>
      </c>
      <c r="Q187" s="34">
        <v>45651</v>
      </c>
      <c r="R187" s="34">
        <v>45667</v>
      </c>
      <c r="S187" s="35">
        <v>250000</v>
      </c>
    </row>
    <row r="188" spans="1:19" x14ac:dyDescent="0.3">
      <c r="A188" t="s">
        <v>367</v>
      </c>
      <c r="B188" t="s">
        <v>43</v>
      </c>
      <c r="C188" s="34">
        <v>45518</v>
      </c>
      <c r="D188" t="s">
        <v>45</v>
      </c>
      <c r="E188" t="s">
        <v>46</v>
      </c>
      <c r="F188" s="37">
        <v>3073</v>
      </c>
      <c r="G188" s="37">
        <v>553</v>
      </c>
      <c r="H188" s="37">
        <v>174</v>
      </c>
      <c r="I188" s="37">
        <v>52241</v>
      </c>
      <c r="J188" s="37">
        <v>51605</v>
      </c>
      <c r="K188" s="37">
        <v>246</v>
      </c>
      <c r="L188" t="s">
        <v>37</v>
      </c>
      <c r="M188" t="s">
        <v>31</v>
      </c>
      <c r="N188" s="37">
        <v>3800</v>
      </c>
      <c r="O188" s="36">
        <v>7.2739802071170159E-2</v>
      </c>
      <c r="P188" t="s">
        <v>620</v>
      </c>
    </row>
    <row r="189" spans="1:19" x14ac:dyDescent="0.3">
      <c r="A189" t="s">
        <v>369</v>
      </c>
      <c r="B189" t="s">
        <v>14</v>
      </c>
      <c r="C189" s="34">
        <v>45631</v>
      </c>
      <c r="D189" t="s">
        <v>74</v>
      </c>
      <c r="E189" t="s">
        <v>145</v>
      </c>
      <c r="F189" s="37">
        <v>1330</v>
      </c>
      <c r="G189" s="37">
        <v>925</v>
      </c>
      <c r="H189" s="37">
        <v>35</v>
      </c>
      <c r="I189" s="37">
        <v>15960</v>
      </c>
      <c r="J189" s="37">
        <v>15379</v>
      </c>
      <c r="K189" s="37">
        <v>229</v>
      </c>
      <c r="L189" t="s">
        <v>62</v>
      </c>
      <c r="M189" t="s">
        <v>31</v>
      </c>
      <c r="N189" s="37">
        <v>2290</v>
      </c>
      <c r="O189" s="36">
        <v>0.14348370927318296</v>
      </c>
      <c r="P189" t="s">
        <v>620</v>
      </c>
    </row>
    <row r="190" spans="1:19" x14ac:dyDescent="0.3">
      <c r="A190" t="s">
        <v>371</v>
      </c>
      <c r="B190" t="s">
        <v>43</v>
      </c>
      <c r="C190" s="34">
        <v>45465</v>
      </c>
      <c r="D190" t="s">
        <v>22</v>
      </c>
      <c r="E190" t="s">
        <v>56</v>
      </c>
      <c r="F190" s="37">
        <v>3828</v>
      </c>
      <c r="G190" s="37">
        <v>148</v>
      </c>
      <c r="H190" s="37">
        <v>253</v>
      </c>
      <c r="I190" s="37">
        <v>30624</v>
      </c>
      <c r="J190" s="37">
        <v>30229</v>
      </c>
      <c r="K190" s="37">
        <v>235</v>
      </c>
      <c r="L190" t="s">
        <v>37</v>
      </c>
      <c r="N190" s="37">
        <v>4229</v>
      </c>
      <c r="O190" s="36">
        <v>0.13809430512016718</v>
      </c>
      <c r="P190" t="s">
        <v>19</v>
      </c>
      <c r="Q190" s="34">
        <v>45458</v>
      </c>
      <c r="R190" s="34">
        <v>45488</v>
      </c>
      <c r="S190" s="35">
        <v>150000</v>
      </c>
    </row>
    <row r="191" spans="1:19" x14ac:dyDescent="0.3">
      <c r="A191" t="s">
        <v>372</v>
      </c>
      <c r="B191" t="s">
        <v>33</v>
      </c>
      <c r="C191" s="34">
        <v>45674</v>
      </c>
      <c r="D191" t="s">
        <v>16</v>
      </c>
      <c r="E191" t="s">
        <v>82</v>
      </c>
      <c r="F191" s="37">
        <v>142</v>
      </c>
      <c r="G191" s="37">
        <v>784</v>
      </c>
      <c r="H191" s="37">
        <v>183</v>
      </c>
      <c r="I191" s="37">
        <v>1704</v>
      </c>
      <c r="J191" s="37">
        <v>995</v>
      </c>
      <c r="K191" s="37">
        <v>154</v>
      </c>
      <c r="L191" t="s">
        <v>62</v>
      </c>
      <c r="M191" t="s">
        <v>38</v>
      </c>
      <c r="N191" s="37">
        <v>1109</v>
      </c>
      <c r="O191" s="36">
        <v>0.6508215962441315</v>
      </c>
      <c r="P191" t="s">
        <v>620</v>
      </c>
    </row>
    <row r="192" spans="1:19" x14ac:dyDescent="0.3">
      <c r="A192" t="s">
        <v>374</v>
      </c>
      <c r="B192" t="s">
        <v>43</v>
      </c>
      <c r="C192" s="34">
        <v>45463</v>
      </c>
      <c r="D192" t="s">
        <v>74</v>
      </c>
      <c r="E192" t="s">
        <v>75</v>
      </c>
      <c r="F192" s="37">
        <v>3798</v>
      </c>
      <c r="G192" s="37">
        <v>31</v>
      </c>
      <c r="H192" s="37">
        <v>279</v>
      </c>
      <c r="I192" s="37">
        <v>75960</v>
      </c>
      <c r="J192" s="37">
        <v>75813</v>
      </c>
      <c r="K192" s="37">
        <v>266</v>
      </c>
      <c r="L192" t="s">
        <v>30</v>
      </c>
      <c r="M192" t="s">
        <v>19</v>
      </c>
      <c r="N192" s="37">
        <v>4108</v>
      </c>
      <c r="O192" s="36">
        <v>5.4081095313322801E-2</v>
      </c>
      <c r="P192" t="s">
        <v>19</v>
      </c>
      <c r="Q192" s="34">
        <v>45458</v>
      </c>
      <c r="R192" s="34">
        <v>45488</v>
      </c>
      <c r="S192" s="35">
        <v>150000</v>
      </c>
    </row>
    <row r="193" spans="1:19" x14ac:dyDescent="0.3">
      <c r="A193" t="s">
        <v>376</v>
      </c>
      <c r="B193" t="s">
        <v>33</v>
      </c>
      <c r="C193" s="34">
        <v>45483</v>
      </c>
      <c r="D193" t="s">
        <v>45</v>
      </c>
      <c r="E193" t="s">
        <v>88</v>
      </c>
      <c r="F193" s="37">
        <v>3099</v>
      </c>
      <c r="G193" s="37">
        <v>694</v>
      </c>
      <c r="H193" s="37">
        <v>171</v>
      </c>
      <c r="I193" s="37">
        <v>43386</v>
      </c>
      <c r="J193" s="37">
        <v>42921</v>
      </c>
      <c r="K193" s="37">
        <v>52</v>
      </c>
      <c r="L193" t="s">
        <v>30</v>
      </c>
      <c r="M193" t="s">
        <v>31</v>
      </c>
      <c r="N193" s="37">
        <v>3964</v>
      </c>
      <c r="O193" s="36">
        <v>9.1365878393951966E-2</v>
      </c>
      <c r="P193" t="s">
        <v>19</v>
      </c>
      <c r="Q193" s="34">
        <v>45458</v>
      </c>
      <c r="R193" s="34">
        <v>45488</v>
      </c>
      <c r="S193" s="35">
        <v>150000</v>
      </c>
    </row>
    <row r="194" spans="1:19" x14ac:dyDescent="0.3">
      <c r="A194" t="s">
        <v>378</v>
      </c>
      <c r="B194" t="s">
        <v>33</v>
      </c>
      <c r="C194" s="34">
        <v>45603</v>
      </c>
      <c r="D194" t="s">
        <v>74</v>
      </c>
      <c r="E194" t="s">
        <v>85</v>
      </c>
      <c r="F194" s="37">
        <v>129</v>
      </c>
      <c r="G194" s="37">
        <v>643</v>
      </c>
      <c r="H194" s="37">
        <v>136</v>
      </c>
      <c r="I194" s="37">
        <v>1290</v>
      </c>
      <c r="J194" s="37">
        <v>839</v>
      </c>
      <c r="K194" s="37">
        <v>238</v>
      </c>
      <c r="L194" t="s">
        <v>30</v>
      </c>
      <c r="M194" t="s">
        <v>38</v>
      </c>
      <c r="N194" s="37">
        <v>908</v>
      </c>
      <c r="O194" s="36">
        <v>0.70387596899224802</v>
      </c>
      <c r="P194" t="s">
        <v>620</v>
      </c>
    </row>
    <row r="195" spans="1:19" x14ac:dyDescent="0.3">
      <c r="A195" t="s">
        <v>379</v>
      </c>
      <c r="B195" t="s">
        <v>43</v>
      </c>
      <c r="C195" s="34">
        <v>45488</v>
      </c>
      <c r="D195" t="s">
        <v>45</v>
      </c>
      <c r="E195" t="s">
        <v>46</v>
      </c>
      <c r="F195" s="37">
        <v>3796</v>
      </c>
      <c r="G195" s="37">
        <v>667</v>
      </c>
      <c r="H195" s="37">
        <v>395</v>
      </c>
      <c r="I195" s="37">
        <v>64532</v>
      </c>
      <c r="J195" s="37">
        <v>63550</v>
      </c>
      <c r="K195" s="37">
        <v>292</v>
      </c>
      <c r="L195" t="s">
        <v>30</v>
      </c>
      <c r="N195" s="37">
        <v>4858</v>
      </c>
      <c r="O195" s="36">
        <v>7.5280481001673588E-2</v>
      </c>
      <c r="P195" t="s">
        <v>19</v>
      </c>
      <c r="Q195" s="34">
        <v>45458</v>
      </c>
      <c r="R195" s="34">
        <v>45488</v>
      </c>
      <c r="S195" s="35">
        <v>150000</v>
      </c>
    </row>
    <row r="196" spans="1:19" x14ac:dyDescent="0.3">
      <c r="A196" t="s">
        <v>380</v>
      </c>
      <c r="B196" t="s">
        <v>27</v>
      </c>
      <c r="C196" s="34">
        <v>45629</v>
      </c>
      <c r="D196" t="s">
        <v>22</v>
      </c>
      <c r="E196" t="s">
        <v>104</v>
      </c>
      <c r="F196" s="37">
        <v>3711</v>
      </c>
      <c r="G196" s="37">
        <v>352</v>
      </c>
      <c r="H196" s="37">
        <v>290</v>
      </c>
      <c r="I196" s="37">
        <v>48243</v>
      </c>
      <c r="J196" s="37">
        <v>47579</v>
      </c>
      <c r="K196" s="37">
        <v>11</v>
      </c>
      <c r="L196" t="s">
        <v>30</v>
      </c>
      <c r="M196" t="s">
        <v>19</v>
      </c>
      <c r="N196" s="37">
        <v>4353</v>
      </c>
      <c r="O196" s="36">
        <v>9.023070704558174E-2</v>
      </c>
      <c r="P196" t="s">
        <v>620</v>
      </c>
    </row>
    <row r="197" spans="1:19" x14ac:dyDescent="0.3">
      <c r="A197" t="s">
        <v>381</v>
      </c>
      <c r="B197" t="s">
        <v>27</v>
      </c>
      <c r="C197" s="34">
        <v>45737</v>
      </c>
      <c r="D197" t="s">
        <v>52</v>
      </c>
      <c r="E197" t="s">
        <v>53</v>
      </c>
      <c r="F197" s="37">
        <v>606</v>
      </c>
      <c r="G197" s="37">
        <v>789</v>
      </c>
      <c r="H197" s="37">
        <v>470</v>
      </c>
      <c r="I197" s="37">
        <v>7878</v>
      </c>
      <c r="J197" s="37">
        <v>7389</v>
      </c>
      <c r="K197" s="37">
        <v>239</v>
      </c>
      <c r="L197" t="s">
        <v>37</v>
      </c>
      <c r="M197" t="s">
        <v>31</v>
      </c>
      <c r="N197" s="37">
        <v>1865</v>
      </c>
      <c r="O197" s="36">
        <v>0.23673521198273673</v>
      </c>
      <c r="P197" t="s">
        <v>38</v>
      </c>
      <c r="Q197" s="34">
        <v>45717</v>
      </c>
      <c r="R197" s="34">
        <v>45747</v>
      </c>
      <c r="S197" s="35">
        <v>180000</v>
      </c>
    </row>
    <row r="198" spans="1:19" x14ac:dyDescent="0.3">
      <c r="A198" t="s">
        <v>383</v>
      </c>
      <c r="B198" t="s">
        <v>43</v>
      </c>
      <c r="C198" s="34">
        <v>45504</v>
      </c>
      <c r="D198" t="s">
        <v>52</v>
      </c>
      <c r="E198" t="s">
        <v>59</v>
      </c>
      <c r="F198" s="37">
        <v>4689</v>
      </c>
      <c r="G198" s="37">
        <v>134</v>
      </c>
      <c r="H198" s="37">
        <v>403</v>
      </c>
      <c r="I198" s="37">
        <v>51579</v>
      </c>
      <c r="J198" s="37">
        <v>50924</v>
      </c>
      <c r="K198" s="37">
        <v>173</v>
      </c>
      <c r="L198" t="s">
        <v>30</v>
      </c>
      <c r="M198" t="s">
        <v>38</v>
      </c>
      <c r="N198" s="37">
        <v>5226</v>
      </c>
      <c r="O198" s="36">
        <v>0.10132030477519921</v>
      </c>
      <c r="P198" t="s">
        <v>620</v>
      </c>
    </row>
    <row r="199" spans="1:19" x14ac:dyDescent="0.3">
      <c r="A199" t="s">
        <v>384</v>
      </c>
      <c r="B199" t="s">
        <v>33</v>
      </c>
      <c r="C199" s="34">
        <v>45643</v>
      </c>
      <c r="D199" t="s">
        <v>35</v>
      </c>
      <c r="E199" t="s">
        <v>36</v>
      </c>
      <c r="F199" s="37">
        <v>360</v>
      </c>
      <c r="G199" s="37">
        <v>590</v>
      </c>
      <c r="H199" s="37">
        <v>393</v>
      </c>
      <c r="I199" s="37">
        <v>4680</v>
      </c>
      <c r="J199" s="37">
        <v>4322</v>
      </c>
      <c r="K199" s="37">
        <v>208</v>
      </c>
      <c r="L199" t="s">
        <v>62</v>
      </c>
      <c r="M199" t="s">
        <v>25</v>
      </c>
      <c r="N199" s="37">
        <v>1343</v>
      </c>
      <c r="O199" s="36">
        <v>0.28696581196581195</v>
      </c>
      <c r="P199" t="s">
        <v>620</v>
      </c>
    </row>
    <row r="200" spans="1:19" x14ac:dyDescent="0.3">
      <c r="A200" t="s">
        <v>386</v>
      </c>
      <c r="B200" t="s">
        <v>14</v>
      </c>
      <c r="C200" s="34">
        <v>45501</v>
      </c>
      <c r="D200" t="s">
        <v>52</v>
      </c>
      <c r="E200" t="s">
        <v>132</v>
      </c>
      <c r="F200" s="37">
        <v>3215</v>
      </c>
      <c r="G200" s="37">
        <v>960</v>
      </c>
      <c r="H200" s="37">
        <v>202</v>
      </c>
      <c r="I200" s="37">
        <v>32150</v>
      </c>
      <c r="J200" s="37">
        <v>31404</v>
      </c>
      <c r="K200" s="37">
        <v>251</v>
      </c>
      <c r="L200" t="s">
        <v>37</v>
      </c>
      <c r="M200" t="s">
        <v>19</v>
      </c>
      <c r="N200" s="37">
        <v>4377</v>
      </c>
      <c r="O200" s="36">
        <v>0.13614307931570763</v>
      </c>
      <c r="P200" t="s">
        <v>620</v>
      </c>
    </row>
    <row r="201" spans="1:19" x14ac:dyDescent="0.3">
      <c r="A201" t="s">
        <v>388</v>
      </c>
      <c r="B201" t="s">
        <v>33</v>
      </c>
      <c r="C201" s="34">
        <v>45668</v>
      </c>
      <c r="D201" t="s">
        <v>45</v>
      </c>
      <c r="E201" t="s">
        <v>88</v>
      </c>
      <c r="F201" s="37">
        <v>4523</v>
      </c>
      <c r="G201" s="37">
        <v>61</v>
      </c>
      <c r="H201" s="37">
        <v>157</v>
      </c>
      <c r="I201" s="37">
        <v>49753</v>
      </c>
      <c r="J201" s="37">
        <v>49329</v>
      </c>
      <c r="K201" s="37">
        <v>71</v>
      </c>
      <c r="L201" t="s">
        <v>37</v>
      </c>
      <c r="N201" s="37">
        <v>4741</v>
      </c>
      <c r="O201" s="36">
        <v>9.5290736237010829E-2</v>
      </c>
      <c r="P201" t="s">
        <v>620</v>
      </c>
    </row>
    <row r="202" spans="1:19" x14ac:dyDescent="0.3">
      <c r="A202" t="s">
        <v>390</v>
      </c>
      <c r="B202" t="s">
        <v>43</v>
      </c>
      <c r="C202" s="34">
        <v>45528</v>
      </c>
      <c r="D202" t="s">
        <v>45</v>
      </c>
      <c r="E202" t="s">
        <v>46</v>
      </c>
      <c r="F202" s="37">
        <v>4292</v>
      </c>
      <c r="G202" s="37">
        <v>51</v>
      </c>
      <c r="H202" s="37">
        <v>392</v>
      </c>
      <c r="I202" s="37">
        <v>55796</v>
      </c>
      <c r="J202" s="37">
        <v>54826</v>
      </c>
      <c r="K202" s="37">
        <v>264</v>
      </c>
      <c r="L202" t="s">
        <v>37</v>
      </c>
      <c r="M202" t="s">
        <v>31</v>
      </c>
      <c r="N202" s="37">
        <v>4735</v>
      </c>
      <c r="O202" s="36">
        <v>8.4862714173059003E-2</v>
      </c>
      <c r="P202" t="s">
        <v>620</v>
      </c>
    </row>
    <row r="203" spans="1:19" x14ac:dyDescent="0.3">
      <c r="A203" t="s">
        <v>391</v>
      </c>
      <c r="B203" t="s">
        <v>14</v>
      </c>
      <c r="C203" s="34">
        <v>45648</v>
      </c>
      <c r="D203" t="s">
        <v>16</v>
      </c>
      <c r="E203" t="s">
        <v>17</v>
      </c>
      <c r="F203" s="37">
        <v>1644</v>
      </c>
      <c r="G203" s="37">
        <v>546</v>
      </c>
      <c r="H203" s="37">
        <v>150</v>
      </c>
      <c r="I203" s="37">
        <v>27948</v>
      </c>
      <c r="J203" s="37">
        <v>27184</v>
      </c>
      <c r="K203" s="37">
        <v>300</v>
      </c>
      <c r="L203" t="s">
        <v>37</v>
      </c>
      <c r="M203" t="s">
        <v>31</v>
      </c>
      <c r="N203" s="37">
        <v>2340</v>
      </c>
      <c r="O203" s="36">
        <v>8.3726921425504502E-2</v>
      </c>
      <c r="P203" t="s">
        <v>620</v>
      </c>
    </row>
    <row r="204" spans="1:19" x14ac:dyDescent="0.3">
      <c r="A204" t="s">
        <v>393</v>
      </c>
      <c r="B204" t="s">
        <v>27</v>
      </c>
      <c r="C204" s="34">
        <v>45449</v>
      </c>
      <c r="D204" t="s">
        <v>16</v>
      </c>
      <c r="E204" t="s">
        <v>29</v>
      </c>
      <c r="F204" s="37">
        <v>2728</v>
      </c>
      <c r="G204" s="37">
        <v>533</v>
      </c>
      <c r="H204" s="37">
        <v>215</v>
      </c>
      <c r="I204" s="37">
        <v>40920</v>
      </c>
      <c r="J204" s="37">
        <v>40816</v>
      </c>
      <c r="K204" s="37">
        <v>137</v>
      </c>
      <c r="L204" t="s">
        <v>62</v>
      </c>
      <c r="M204" t="s">
        <v>25</v>
      </c>
      <c r="N204" s="37">
        <v>3476</v>
      </c>
      <c r="O204" s="36">
        <v>8.4946236559139784E-2</v>
      </c>
      <c r="P204" t="s">
        <v>620</v>
      </c>
    </row>
    <row r="205" spans="1:19" x14ac:dyDescent="0.3">
      <c r="A205" t="s">
        <v>394</v>
      </c>
      <c r="B205" t="s">
        <v>43</v>
      </c>
      <c r="C205" s="34">
        <v>45740</v>
      </c>
      <c r="D205" t="s">
        <v>16</v>
      </c>
      <c r="E205" t="s">
        <v>65</v>
      </c>
      <c r="F205" s="37">
        <v>3360</v>
      </c>
      <c r="G205" s="37">
        <v>525</v>
      </c>
      <c r="H205" s="37">
        <v>500</v>
      </c>
      <c r="I205" s="37">
        <v>60480</v>
      </c>
      <c r="J205" s="37">
        <v>59610</v>
      </c>
      <c r="K205" s="37">
        <v>192</v>
      </c>
      <c r="L205" t="s">
        <v>30</v>
      </c>
      <c r="M205" t="s">
        <v>19</v>
      </c>
      <c r="N205" s="37">
        <v>4385</v>
      </c>
      <c r="O205" s="36">
        <v>7.2503306878306875E-2</v>
      </c>
      <c r="P205" t="s">
        <v>38</v>
      </c>
      <c r="Q205" s="34">
        <v>45717</v>
      </c>
      <c r="R205" s="34">
        <v>45747</v>
      </c>
      <c r="S205" s="35">
        <v>180000</v>
      </c>
    </row>
    <row r="206" spans="1:19" x14ac:dyDescent="0.3">
      <c r="A206" t="s">
        <v>395</v>
      </c>
      <c r="B206" t="s">
        <v>27</v>
      </c>
      <c r="C206" s="34">
        <v>45569</v>
      </c>
      <c r="D206" t="s">
        <v>22</v>
      </c>
      <c r="E206" t="s">
        <v>104</v>
      </c>
      <c r="F206" s="37">
        <v>1963</v>
      </c>
      <c r="G206" s="37">
        <v>213</v>
      </c>
      <c r="H206" s="37">
        <v>19</v>
      </c>
      <c r="I206" s="37">
        <v>39260</v>
      </c>
      <c r="J206" s="37">
        <v>38771</v>
      </c>
      <c r="K206" s="37">
        <v>145</v>
      </c>
      <c r="L206" t="s">
        <v>62</v>
      </c>
      <c r="N206" s="37">
        <v>2195</v>
      </c>
      <c r="O206" s="36">
        <v>5.5909322465613857E-2</v>
      </c>
      <c r="P206" t="s">
        <v>25</v>
      </c>
      <c r="Q206" s="34">
        <v>45566</v>
      </c>
      <c r="R206" s="34">
        <v>45596</v>
      </c>
      <c r="S206" s="35">
        <v>200000</v>
      </c>
    </row>
    <row r="207" spans="1:19" x14ac:dyDescent="0.3">
      <c r="A207" t="s">
        <v>397</v>
      </c>
      <c r="B207" t="s">
        <v>27</v>
      </c>
      <c r="C207" s="34">
        <v>45629</v>
      </c>
      <c r="D207" t="s">
        <v>35</v>
      </c>
      <c r="E207" t="s">
        <v>154</v>
      </c>
      <c r="F207" s="37">
        <v>4285</v>
      </c>
      <c r="G207" s="37">
        <v>886</v>
      </c>
      <c r="H207" s="37">
        <v>376</v>
      </c>
      <c r="I207" s="37">
        <v>55705</v>
      </c>
      <c r="J207" s="37">
        <v>55556</v>
      </c>
      <c r="K207" s="37">
        <v>51</v>
      </c>
      <c r="L207" t="s">
        <v>62</v>
      </c>
      <c r="M207" t="s">
        <v>31</v>
      </c>
      <c r="N207" s="37">
        <v>5547</v>
      </c>
      <c r="O207" s="36">
        <v>9.9578134817341346E-2</v>
      </c>
      <c r="P207" t="s">
        <v>620</v>
      </c>
    </row>
    <row r="208" spans="1:19" x14ac:dyDescent="0.3">
      <c r="A208" t="s">
        <v>398</v>
      </c>
      <c r="B208" t="s">
        <v>33</v>
      </c>
      <c r="C208" s="34">
        <v>45625</v>
      </c>
      <c r="D208" t="s">
        <v>74</v>
      </c>
      <c r="E208" t="s">
        <v>85</v>
      </c>
      <c r="F208" s="37">
        <v>1176</v>
      </c>
      <c r="G208" s="37">
        <v>464</v>
      </c>
      <c r="H208" s="37">
        <v>394</v>
      </c>
      <c r="I208" s="37">
        <v>14112</v>
      </c>
      <c r="J208" s="37">
        <v>13588</v>
      </c>
      <c r="K208" s="37">
        <v>272</v>
      </c>
      <c r="L208" t="s">
        <v>37</v>
      </c>
      <c r="N208" s="37">
        <v>2034</v>
      </c>
      <c r="O208" s="36">
        <v>0.1441326530612245</v>
      </c>
      <c r="P208" t="s">
        <v>620</v>
      </c>
    </row>
    <row r="209" spans="1:19" x14ac:dyDescent="0.3">
      <c r="A209" t="s">
        <v>400</v>
      </c>
      <c r="B209" t="s">
        <v>14</v>
      </c>
      <c r="C209" s="34">
        <v>45546</v>
      </c>
      <c r="D209" t="s">
        <v>52</v>
      </c>
      <c r="E209" t="s">
        <v>132</v>
      </c>
      <c r="F209" s="37">
        <v>4858</v>
      </c>
      <c r="G209" s="37">
        <v>317</v>
      </c>
      <c r="H209" s="37">
        <v>129</v>
      </c>
      <c r="I209" s="37">
        <v>53438</v>
      </c>
      <c r="J209" s="37">
        <v>52687</v>
      </c>
      <c r="K209" s="37">
        <v>223</v>
      </c>
      <c r="L209" t="s">
        <v>37</v>
      </c>
      <c r="M209" t="s">
        <v>31</v>
      </c>
      <c r="N209" s="37">
        <v>5304</v>
      </c>
      <c r="O209" s="36">
        <v>9.9255211647142488E-2</v>
      </c>
      <c r="P209" t="s">
        <v>620</v>
      </c>
    </row>
    <row r="210" spans="1:19" x14ac:dyDescent="0.3">
      <c r="A210" t="s">
        <v>402</v>
      </c>
      <c r="B210" t="s">
        <v>27</v>
      </c>
      <c r="C210" s="34">
        <v>45567</v>
      </c>
      <c r="D210" t="s">
        <v>35</v>
      </c>
      <c r="E210" t="s">
        <v>154</v>
      </c>
      <c r="F210" s="37">
        <v>4350</v>
      </c>
      <c r="G210" s="37">
        <v>771</v>
      </c>
      <c r="H210" s="37">
        <v>7</v>
      </c>
      <c r="I210" s="37">
        <v>60900</v>
      </c>
      <c r="J210" s="37">
        <v>60592</v>
      </c>
      <c r="K210" s="37">
        <v>195</v>
      </c>
      <c r="L210" t="s">
        <v>37</v>
      </c>
      <c r="M210" t="s">
        <v>19</v>
      </c>
      <c r="N210" s="37">
        <v>5128</v>
      </c>
      <c r="O210" s="36">
        <v>8.4203612479474554E-2</v>
      </c>
      <c r="P210" t="s">
        <v>25</v>
      </c>
      <c r="Q210" s="34">
        <v>45566</v>
      </c>
      <c r="R210" s="34">
        <v>45596</v>
      </c>
      <c r="S210" s="35">
        <v>200000</v>
      </c>
    </row>
    <row r="211" spans="1:19" x14ac:dyDescent="0.3">
      <c r="A211" t="s">
        <v>403</v>
      </c>
      <c r="B211" t="s">
        <v>33</v>
      </c>
      <c r="C211" s="34">
        <v>45519</v>
      </c>
      <c r="D211" t="s">
        <v>45</v>
      </c>
      <c r="E211" t="s">
        <v>88</v>
      </c>
      <c r="F211" s="37">
        <v>914</v>
      </c>
      <c r="G211" s="37">
        <v>464</v>
      </c>
      <c r="H211" s="37">
        <v>246</v>
      </c>
      <c r="I211" s="37">
        <v>11882</v>
      </c>
      <c r="J211" s="37">
        <v>11500</v>
      </c>
      <c r="K211" s="37">
        <v>282</v>
      </c>
      <c r="L211" t="s">
        <v>62</v>
      </c>
      <c r="M211" t="s">
        <v>38</v>
      </c>
      <c r="N211" s="37">
        <v>1624</v>
      </c>
      <c r="O211" s="36">
        <v>0.13667732704931829</v>
      </c>
      <c r="P211" t="s">
        <v>620</v>
      </c>
    </row>
    <row r="212" spans="1:19" x14ac:dyDescent="0.3">
      <c r="A212" t="s">
        <v>403</v>
      </c>
      <c r="B212" t="s">
        <v>33</v>
      </c>
      <c r="C212" s="34">
        <v>45519</v>
      </c>
      <c r="D212" t="s">
        <v>45</v>
      </c>
      <c r="E212" t="s">
        <v>88</v>
      </c>
      <c r="F212" s="37">
        <v>914</v>
      </c>
      <c r="G212" s="37">
        <v>464</v>
      </c>
      <c r="H212" s="37">
        <v>246</v>
      </c>
      <c r="I212" s="37">
        <v>11882</v>
      </c>
      <c r="J212" s="37">
        <v>11500</v>
      </c>
      <c r="K212" s="37">
        <v>282</v>
      </c>
      <c r="L212" t="s">
        <v>30</v>
      </c>
      <c r="M212" t="s">
        <v>38</v>
      </c>
      <c r="N212" s="37">
        <v>1624</v>
      </c>
      <c r="O212" s="36">
        <v>0.13667732704931829</v>
      </c>
      <c r="P212" t="s">
        <v>620</v>
      </c>
    </row>
    <row r="213" spans="1:19" x14ac:dyDescent="0.3">
      <c r="A213" t="s">
        <v>403</v>
      </c>
      <c r="B213" t="s">
        <v>33</v>
      </c>
      <c r="C213" s="34">
        <v>45519</v>
      </c>
      <c r="D213" t="s">
        <v>45</v>
      </c>
      <c r="E213" t="s">
        <v>88</v>
      </c>
      <c r="F213" s="37">
        <v>914</v>
      </c>
      <c r="G213" s="37">
        <v>464</v>
      </c>
      <c r="H213" s="37">
        <v>246</v>
      </c>
      <c r="I213" s="37">
        <v>11882</v>
      </c>
      <c r="J213" s="37">
        <v>11500</v>
      </c>
      <c r="K213" s="37">
        <v>282</v>
      </c>
      <c r="L213" t="s">
        <v>618</v>
      </c>
      <c r="M213" t="s">
        <v>38</v>
      </c>
      <c r="N213" s="37">
        <v>1624</v>
      </c>
      <c r="O213" s="36">
        <v>0.13667732704931829</v>
      </c>
      <c r="P213" t="s">
        <v>620</v>
      </c>
    </row>
    <row r="214" spans="1:19" x14ac:dyDescent="0.3">
      <c r="A214" t="s">
        <v>405</v>
      </c>
      <c r="B214" t="s">
        <v>33</v>
      </c>
      <c r="C214" s="34">
        <v>45645</v>
      </c>
      <c r="D214" t="s">
        <v>22</v>
      </c>
      <c r="E214" t="s">
        <v>113</v>
      </c>
      <c r="F214" s="37">
        <v>1813</v>
      </c>
      <c r="G214" s="37">
        <v>623</v>
      </c>
      <c r="H214" s="37">
        <v>72</v>
      </c>
      <c r="I214" s="37">
        <v>19943</v>
      </c>
      <c r="J214" s="37">
        <v>18959</v>
      </c>
      <c r="K214" s="37">
        <v>85</v>
      </c>
      <c r="L214" t="s">
        <v>37</v>
      </c>
      <c r="M214" t="s">
        <v>31</v>
      </c>
      <c r="N214" s="37">
        <v>2508</v>
      </c>
      <c r="O214" s="36">
        <v>0.12575841147269717</v>
      </c>
      <c r="P214" t="s">
        <v>620</v>
      </c>
    </row>
    <row r="215" spans="1:19" x14ac:dyDescent="0.3">
      <c r="A215" t="s">
        <v>407</v>
      </c>
      <c r="B215" t="s">
        <v>14</v>
      </c>
      <c r="C215" s="34">
        <v>45587</v>
      </c>
      <c r="D215" t="s">
        <v>16</v>
      </c>
      <c r="E215" t="s">
        <v>17</v>
      </c>
      <c r="F215" s="37">
        <v>4782</v>
      </c>
      <c r="G215" s="37">
        <v>721</v>
      </c>
      <c r="H215" s="37">
        <v>82</v>
      </c>
      <c r="I215" s="37">
        <v>86076</v>
      </c>
      <c r="J215" s="37">
        <v>85339</v>
      </c>
      <c r="K215" s="37">
        <v>19</v>
      </c>
      <c r="L215" t="s">
        <v>37</v>
      </c>
      <c r="M215" t="s">
        <v>19</v>
      </c>
      <c r="N215" s="37">
        <v>5585</v>
      </c>
      <c r="O215" s="36">
        <v>6.4884520656164318E-2</v>
      </c>
      <c r="P215" t="s">
        <v>25</v>
      </c>
      <c r="Q215" s="34">
        <v>45566</v>
      </c>
      <c r="R215" s="34">
        <v>45596</v>
      </c>
      <c r="S215" s="35">
        <v>200000</v>
      </c>
    </row>
    <row r="216" spans="1:19" x14ac:dyDescent="0.3">
      <c r="A216" t="s">
        <v>408</v>
      </c>
      <c r="B216" t="s">
        <v>14</v>
      </c>
      <c r="C216" s="34">
        <v>45549</v>
      </c>
      <c r="D216" t="s">
        <v>52</v>
      </c>
      <c r="E216" t="s">
        <v>132</v>
      </c>
      <c r="F216" s="37">
        <v>1048</v>
      </c>
      <c r="G216" s="37">
        <v>374</v>
      </c>
      <c r="H216" s="37">
        <v>450</v>
      </c>
      <c r="I216" s="37">
        <v>9432</v>
      </c>
      <c r="J216" s="37">
        <v>8882</v>
      </c>
      <c r="K216" s="37">
        <v>158</v>
      </c>
      <c r="L216" t="s">
        <v>30</v>
      </c>
      <c r="M216" t="s">
        <v>31</v>
      </c>
      <c r="N216" s="37">
        <v>1872</v>
      </c>
      <c r="O216" s="36">
        <v>0.19847328244274809</v>
      </c>
      <c r="P216" t="s">
        <v>620</v>
      </c>
    </row>
    <row r="217" spans="1:19" x14ac:dyDescent="0.3">
      <c r="A217" t="s">
        <v>410</v>
      </c>
      <c r="B217" t="s">
        <v>27</v>
      </c>
      <c r="C217" s="34">
        <v>45626</v>
      </c>
      <c r="D217" t="s">
        <v>45</v>
      </c>
      <c r="E217" t="s">
        <v>68</v>
      </c>
      <c r="F217" s="37">
        <v>2509</v>
      </c>
      <c r="G217" s="37">
        <v>324</v>
      </c>
      <c r="H217" s="37">
        <v>171</v>
      </c>
      <c r="I217" s="37">
        <v>35126</v>
      </c>
      <c r="J217" s="37">
        <v>34685</v>
      </c>
      <c r="K217" s="37">
        <v>277</v>
      </c>
      <c r="L217" t="s">
        <v>30</v>
      </c>
      <c r="M217" t="s">
        <v>25</v>
      </c>
      <c r="N217" s="37">
        <v>3004</v>
      </c>
      <c r="O217" s="36">
        <v>8.5520696919660646E-2</v>
      </c>
      <c r="P217" t="s">
        <v>620</v>
      </c>
    </row>
    <row r="218" spans="1:19" x14ac:dyDescent="0.3">
      <c r="A218" t="s">
        <v>411</v>
      </c>
      <c r="B218" t="s">
        <v>43</v>
      </c>
      <c r="C218" s="34">
        <v>45754</v>
      </c>
      <c r="D218" t="s">
        <v>16</v>
      </c>
      <c r="E218" t="s">
        <v>65</v>
      </c>
      <c r="F218" s="37">
        <v>3718</v>
      </c>
      <c r="G218" s="37">
        <v>385</v>
      </c>
      <c r="H218" s="37">
        <v>310</v>
      </c>
      <c r="I218" s="37">
        <v>70642</v>
      </c>
      <c r="J218" s="37">
        <v>69749</v>
      </c>
      <c r="K218" s="37">
        <v>233</v>
      </c>
      <c r="L218" t="s">
        <v>30</v>
      </c>
      <c r="M218" t="s">
        <v>25</v>
      </c>
      <c r="N218" s="37">
        <v>4413</v>
      </c>
      <c r="O218" s="36">
        <v>6.246991874522239E-2</v>
      </c>
      <c r="P218" t="s">
        <v>620</v>
      </c>
    </row>
    <row r="219" spans="1:19" x14ac:dyDescent="0.3">
      <c r="A219" t="s">
        <v>413</v>
      </c>
      <c r="B219" t="s">
        <v>14</v>
      </c>
      <c r="C219" s="34">
        <v>45672</v>
      </c>
      <c r="D219" t="s">
        <v>16</v>
      </c>
      <c r="E219" t="s">
        <v>17</v>
      </c>
      <c r="F219" s="37">
        <v>802</v>
      </c>
      <c r="G219" s="37">
        <v>262</v>
      </c>
      <c r="H219" s="37">
        <v>244</v>
      </c>
      <c r="I219" s="37">
        <v>14436</v>
      </c>
      <c r="J219" s="37">
        <v>14280</v>
      </c>
      <c r="K219" s="37">
        <v>49</v>
      </c>
      <c r="L219" t="s">
        <v>37</v>
      </c>
      <c r="M219" t="s">
        <v>19</v>
      </c>
      <c r="N219" s="37">
        <v>1308</v>
      </c>
      <c r="O219" s="36">
        <v>9.0606816292601824E-2</v>
      </c>
      <c r="P219" t="s">
        <v>620</v>
      </c>
    </row>
    <row r="220" spans="1:19" x14ac:dyDescent="0.3">
      <c r="A220" t="s">
        <v>415</v>
      </c>
      <c r="B220" t="s">
        <v>43</v>
      </c>
      <c r="C220" s="34">
        <v>45445</v>
      </c>
      <c r="D220" t="s">
        <v>52</v>
      </c>
      <c r="E220" t="s">
        <v>59</v>
      </c>
      <c r="F220" s="37">
        <v>1871</v>
      </c>
      <c r="G220" s="37">
        <v>252</v>
      </c>
      <c r="H220" s="37">
        <v>335</v>
      </c>
      <c r="I220" s="37">
        <v>29936</v>
      </c>
      <c r="J220" s="37">
        <v>29576</v>
      </c>
      <c r="K220" s="37">
        <v>288</v>
      </c>
      <c r="L220" t="s">
        <v>37</v>
      </c>
      <c r="M220" t="s">
        <v>31</v>
      </c>
      <c r="N220" s="37">
        <v>2458</v>
      </c>
      <c r="O220" s="36">
        <v>8.2108498129342594E-2</v>
      </c>
      <c r="P220" t="s">
        <v>620</v>
      </c>
    </row>
    <row r="221" spans="1:19" x14ac:dyDescent="0.3">
      <c r="A221" t="s">
        <v>417</v>
      </c>
      <c r="B221" t="s">
        <v>33</v>
      </c>
      <c r="C221" s="34">
        <v>45617</v>
      </c>
      <c r="D221" t="s">
        <v>45</v>
      </c>
      <c r="E221" t="s">
        <v>88</v>
      </c>
      <c r="F221" s="37">
        <v>3773</v>
      </c>
      <c r="G221" s="37">
        <v>299</v>
      </c>
      <c r="H221" s="37">
        <v>38</v>
      </c>
      <c r="I221" s="37">
        <v>71687</v>
      </c>
      <c r="J221" s="37">
        <v>71447</v>
      </c>
      <c r="K221" s="37">
        <v>286</v>
      </c>
      <c r="L221" t="s">
        <v>62</v>
      </c>
      <c r="M221" t="s">
        <v>19</v>
      </c>
      <c r="N221" s="37">
        <v>4110</v>
      </c>
      <c r="O221" s="36">
        <v>5.7332570758993957E-2</v>
      </c>
      <c r="P221" t="s">
        <v>620</v>
      </c>
    </row>
    <row r="222" spans="1:19" x14ac:dyDescent="0.3">
      <c r="A222" t="s">
        <v>419</v>
      </c>
      <c r="B222" t="s">
        <v>33</v>
      </c>
      <c r="C222" s="34">
        <v>45658</v>
      </c>
      <c r="D222" t="s">
        <v>45</v>
      </c>
      <c r="E222" t="s">
        <v>88</v>
      </c>
      <c r="F222" s="37">
        <v>2234</v>
      </c>
      <c r="G222" s="37">
        <v>653</v>
      </c>
      <c r="H222" s="37">
        <v>432</v>
      </c>
      <c r="I222" s="37">
        <v>11170</v>
      </c>
      <c r="J222" s="37">
        <v>10569</v>
      </c>
      <c r="K222" s="37">
        <v>198</v>
      </c>
      <c r="L222" t="s">
        <v>62</v>
      </c>
      <c r="M222" t="s">
        <v>31</v>
      </c>
      <c r="N222" s="37">
        <v>3319</v>
      </c>
      <c r="O222" s="36">
        <v>0.29713518352730528</v>
      </c>
      <c r="P222" t="s">
        <v>31</v>
      </c>
      <c r="Q222" s="34">
        <v>45651</v>
      </c>
      <c r="R222" s="34">
        <v>45667</v>
      </c>
      <c r="S222" s="35">
        <v>250000</v>
      </c>
    </row>
    <row r="223" spans="1:19" x14ac:dyDescent="0.3">
      <c r="A223" t="s">
        <v>420</v>
      </c>
      <c r="B223" t="s">
        <v>14</v>
      </c>
      <c r="C223" s="34">
        <v>45771</v>
      </c>
      <c r="D223" t="s">
        <v>74</v>
      </c>
      <c r="E223" t="s">
        <v>145</v>
      </c>
      <c r="F223" s="37">
        <v>3820</v>
      </c>
      <c r="G223" s="37">
        <v>697</v>
      </c>
      <c r="H223" s="37">
        <v>268</v>
      </c>
      <c r="I223" s="37">
        <v>45840</v>
      </c>
      <c r="J223" s="37">
        <v>45631</v>
      </c>
      <c r="K223" s="37">
        <v>171</v>
      </c>
      <c r="L223" t="s">
        <v>30</v>
      </c>
      <c r="M223" t="s">
        <v>38</v>
      </c>
      <c r="N223" s="37">
        <v>4785</v>
      </c>
      <c r="O223" s="36">
        <v>0.1043848167539267</v>
      </c>
      <c r="P223" t="s">
        <v>620</v>
      </c>
    </row>
    <row r="224" spans="1:19" x14ac:dyDescent="0.3">
      <c r="A224" t="s">
        <v>420</v>
      </c>
      <c r="B224" t="s">
        <v>14</v>
      </c>
      <c r="C224" s="34">
        <v>45771</v>
      </c>
      <c r="D224" t="s">
        <v>74</v>
      </c>
      <c r="E224" t="s">
        <v>145</v>
      </c>
      <c r="F224" s="37">
        <v>3820</v>
      </c>
      <c r="G224" s="37">
        <v>697</v>
      </c>
      <c r="H224" s="37">
        <v>268</v>
      </c>
      <c r="I224" s="37">
        <v>45840</v>
      </c>
      <c r="J224" s="37">
        <v>45631</v>
      </c>
      <c r="K224" s="37">
        <v>171</v>
      </c>
      <c r="L224" t="s">
        <v>607</v>
      </c>
      <c r="M224" t="s">
        <v>38</v>
      </c>
      <c r="N224" s="37">
        <v>4785</v>
      </c>
      <c r="O224" s="36">
        <v>0.1043848167539267</v>
      </c>
      <c r="P224" t="s">
        <v>620</v>
      </c>
    </row>
    <row r="225" spans="1:19" x14ac:dyDescent="0.3">
      <c r="A225" t="s">
        <v>422</v>
      </c>
      <c r="B225" t="s">
        <v>14</v>
      </c>
      <c r="C225" s="34">
        <v>45467</v>
      </c>
      <c r="D225" t="s">
        <v>22</v>
      </c>
      <c r="E225" t="s">
        <v>23</v>
      </c>
      <c r="F225" s="37">
        <v>941</v>
      </c>
      <c r="G225" s="37">
        <v>121</v>
      </c>
      <c r="H225" s="37">
        <v>458</v>
      </c>
      <c r="I225" s="37">
        <v>14115</v>
      </c>
      <c r="J225" s="37">
        <v>13838</v>
      </c>
      <c r="K225" s="37">
        <v>87</v>
      </c>
      <c r="L225" t="s">
        <v>37</v>
      </c>
      <c r="M225" t="s">
        <v>19</v>
      </c>
      <c r="N225" s="37">
        <v>1520</v>
      </c>
      <c r="O225" s="36">
        <v>0.10768685795253277</v>
      </c>
      <c r="P225" t="s">
        <v>19</v>
      </c>
      <c r="Q225" s="34">
        <v>45458</v>
      </c>
      <c r="R225" s="34">
        <v>45488</v>
      </c>
      <c r="S225" s="35">
        <v>150000</v>
      </c>
    </row>
    <row r="226" spans="1:19" x14ac:dyDescent="0.3">
      <c r="A226" t="s">
        <v>423</v>
      </c>
      <c r="B226" t="s">
        <v>14</v>
      </c>
      <c r="C226" s="34">
        <v>45655</v>
      </c>
      <c r="D226" t="s">
        <v>45</v>
      </c>
      <c r="E226" t="s">
        <v>49</v>
      </c>
      <c r="F226" s="37">
        <v>4274</v>
      </c>
      <c r="G226" s="37">
        <v>340</v>
      </c>
      <c r="H226" s="37">
        <v>281</v>
      </c>
      <c r="I226" s="37">
        <v>34192</v>
      </c>
      <c r="J226" s="37">
        <v>33446</v>
      </c>
      <c r="K226" s="37">
        <v>129</v>
      </c>
      <c r="L226" t="s">
        <v>30</v>
      </c>
      <c r="M226" t="s">
        <v>31</v>
      </c>
      <c r="N226" s="37">
        <v>4895</v>
      </c>
      <c r="O226" s="36">
        <v>0.14316214319138981</v>
      </c>
      <c r="P226" t="s">
        <v>31</v>
      </c>
      <c r="Q226" s="34">
        <v>45651</v>
      </c>
      <c r="R226" s="34">
        <v>45667</v>
      </c>
      <c r="S226" s="35">
        <v>250000</v>
      </c>
    </row>
    <row r="227" spans="1:19" x14ac:dyDescent="0.3">
      <c r="A227" t="s">
        <v>423</v>
      </c>
      <c r="B227" t="s">
        <v>14</v>
      </c>
      <c r="C227" s="34">
        <v>45655</v>
      </c>
      <c r="D227" t="s">
        <v>45</v>
      </c>
      <c r="E227" t="s">
        <v>49</v>
      </c>
      <c r="F227" s="37">
        <v>4274</v>
      </c>
      <c r="G227" s="37">
        <v>340</v>
      </c>
      <c r="H227" s="37">
        <v>281</v>
      </c>
      <c r="I227" s="37">
        <v>34192</v>
      </c>
      <c r="J227" s="37">
        <v>33446</v>
      </c>
      <c r="K227" s="37">
        <v>129</v>
      </c>
      <c r="L227" t="s">
        <v>607</v>
      </c>
      <c r="M227" t="s">
        <v>31</v>
      </c>
      <c r="N227" s="37">
        <v>4895</v>
      </c>
      <c r="O227" s="36">
        <v>0.14316214319138981</v>
      </c>
      <c r="P227" t="s">
        <v>31</v>
      </c>
      <c r="Q227" s="34">
        <v>45651</v>
      </c>
      <c r="R227" s="34">
        <v>45667</v>
      </c>
      <c r="S227" s="35">
        <v>250000</v>
      </c>
    </row>
    <row r="228" spans="1:19" x14ac:dyDescent="0.3">
      <c r="A228" t="s">
        <v>425</v>
      </c>
      <c r="B228" t="s">
        <v>27</v>
      </c>
      <c r="C228" s="34">
        <v>45467</v>
      </c>
      <c r="D228" t="s">
        <v>74</v>
      </c>
      <c r="E228" t="s">
        <v>219</v>
      </c>
      <c r="F228" s="37">
        <v>2949</v>
      </c>
      <c r="G228" s="37">
        <v>476</v>
      </c>
      <c r="H228" s="37">
        <v>403</v>
      </c>
      <c r="I228" s="37">
        <v>44235</v>
      </c>
      <c r="J228" s="37">
        <v>43705</v>
      </c>
      <c r="K228" s="37">
        <v>135</v>
      </c>
      <c r="L228" t="s">
        <v>30</v>
      </c>
      <c r="M228" t="s">
        <v>25</v>
      </c>
      <c r="N228" s="37">
        <v>3828</v>
      </c>
      <c r="O228" s="36">
        <v>8.6537809426924378E-2</v>
      </c>
      <c r="P228" t="s">
        <v>19</v>
      </c>
      <c r="Q228" s="34">
        <v>45458</v>
      </c>
      <c r="R228" s="34">
        <v>45488</v>
      </c>
      <c r="S228" s="35">
        <v>150000</v>
      </c>
    </row>
    <row r="229" spans="1:19" x14ac:dyDescent="0.3">
      <c r="A229" t="s">
        <v>426</v>
      </c>
      <c r="B229" t="s">
        <v>14</v>
      </c>
      <c r="C229" s="34">
        <v>45735</v>
      </c>
      <c r="D229" t="s">
        <v>74</v>
      </c>
      <c r="E229" t="s">
        <v>145</v>
      </c>
      <c r="F229" s="37">
        <v>3160</v>
      </c>
      <c r="G229" s="37">
        <v>204</v>
      </c>
      <c r="H229" s="37">
        <v>297</v>
      </c>
      <c r="I229" s="37">
        <v>44240</v>
      </c>
      <c r="J229" s="37">
        <v>43666</v>
      </c>
      <c r="K229" s="37">
        <v>49</v>
      </c>
      <c r="L229" t="s">
        <v>62</v>
      </c>
      <c r="M229" t="s">
        <v>38</v>
      </c>
      <c r="N229" s="37">
        <v>3661</v>
      </c>
      <c r="O229" s="36">
        <v>8.2753164556962022E-2</v>
      </c>
      <c r="P229" t="s">
        <v>38</v>
      </c>
      <c r="Q229" s="34">
        <v>45717</v>
      </c>
      <c r="R229" s="34">
        <v>45747</v>
      </c>
      <c r="S229" s="35">
        <v>180000</v>
      </c>
    </row>
    <row r="230" spans="1:19" x14ac:dyDescent="0.3">
      <c r="A230" t="s">
        <v>426</v>
      </c>
      <c r="B230" t="s">
        <v>14</v>
      </c>
      <c r="C230" s="34">
        <v>45735</v>
      </c>
      <c r="D230" t="s">
        <v>74</v>
      </c>
      <c r="E230" t="s">
        <v>145</v>
      </c>
      <c r="F230" s="37">
        <v>3160</v>
      </c>
      <c r="G230" s="37">
        <v>204</v>
      </c>
      <c r="H230" s="37">
        <v>297</v>
      </c>
      <c r="I230" s="37">
        <v>44240</v>
      </c>
      <c r="J230" s="37">
        <v>43666</v>
      </c>
      <c r="K230" s="37">
        <v>49</v>
      </c>
      <c r="L230" t="s">
        <v>618</v>
      </c>
      <c r="M230" t="s">
        <v>38</v>
      </c>
      <c r="N230" s="37">
        <v>3661</v>
      </c>
      <c r="O230" s="36">
        <v>8.2753164556962022E-2</v>
      </c>
      <c r="P230" t="s">
        <v>38</v>
      </c>
      <c r="Q230" s="34">
        <v>45717</v>
      </c>
      <c r="R230" s="34">
        <v>45747</v>
      </c>
      <c r="S230" s="35">
        <v>180000</v>
      </c>
    </row>
    <row r="231" spans="1:19" x14ac:dyDescent="0.3">
      <c r="A231" t="s">
        <v>428</v>
      </c>
      <c r="B231" t="s">
        <v>27</v>
      </c>
      <c r="C231" s="34">
        <v>45707</v>
      </c>
      <c r="D231" t="s">
        <v>52</v>
      </c>
      <c r="E231" t="s">
        <v>53</v>
      </c>
      <c r="F231" s="37">
        <v>257</v>
      </c>
      <c r="G231" s="37">
        <v>966</v>
      </c>
      <c r="H231" s="37">
        <v>398</v>
      </c>
      <c r="I231" s="37">
        <v>3341</v>
      </c>
      <c r="J231" s="37">
        <v>2753</v>
      </c>
      <c r="K231" s="37">
        <v>287</v>
      </c>
      <c r="L231" t="s">
        <v>62</v>
      </c>
      <c r="M231" t="s">
        <v>19</v>
      </c>
      <c r="N231" s="37">
        <v>1621</v>
      </c>
      <c r="O231" s="36">
        <v>0.48518407662376534</v>
      </c>
      <c r="P231" t="s">
        <v>620</v>
      </c>
    </row>
    <row r="232" spans="1:19" x14ac:dyDescent="0.3">
      <c r="A232" t="s">
        <v>429</v>
      </c>
      <c r="B232" t="s">
        <v>14</v>
      </c>
      <c r="C232" s="34">
        <v>45491</v>
      </c>
      <c r="D232" t="s">
        <v>45</v>
      </c>
      <c r="E232" t="s">
        <v>49</v>
      </c>
      <c r="F232" s="37">
        <v>2120</v>
      </c>
      <c r="G232" s="37">
        <v>38</v>
      </c>
      <c r="H232" s="37">
        <v>212</v>
      </c>
      <c r="I232" s="37">
        <v>12720</v>
      </c>
      <c r="J232" s="37">
        <v>12564</v>
      </c>
      <c r="K232" s="37">
        <v>21</v>
      </c>
      <c r="L232" t="s">
        <v>62</v>
      </c>
      <c r="M232" t="s">
        <v>38</v>
      </c>
      <c r="N232" s="37">
        <v>2370</v>
      </c>
      <c r="O232" s="36">
        <v>0.18632075471698112</v>
      </c>
      <c r="P232" t="s">
        <v>620</v>
      </c>
    </row>
    <row r="233" spans="1:19" x14ac:dyDescent="0.3">
      <c r="A233" t="s">
        <v>431</v>
      </c>
      <c r="B233" t="s">
        <v>27</v>
      </c>
      <c r="C233" s="34">
        <v>45719</v>
      </c>
      <c r="D233" t="s">
        <v>74</v>
      </c>
      <c r="E233" t="s">
        <v>219</v>
      </c>
      <c r="F233" s="37">
        <v>3874</v>
      </c>
      <c r="G233" s="37">
        <v>884</v>
      </c>
      <c r="H233" s="37">
        <v>19</v>
      </c>
      <c r="I233" s="37">
        <v>38740</v>
      </c>
      <c r="J233" s="37">
        <v>38552</v>
      </c>
      <c r="K233" s="37">
        <v>219</v>
      </c>
      <c r="L233" t="s">
        <v>30</v>
      </c>
      <c r="M233" t="s">
        <v>25</v>
      </c>
      <c r="N233" s="37">
        <v>4777</v>
      </c>
      <c r="O233" s="36">
        <v>0.123309241094476</v>
      </c>
      <c r="P233" t="s">
        <v>38</v>
      </c>
      <c r="Q233" s="34">
        <v>45717</v>
      </c>
      <c r="R233" s="34">
        <v>45747</v>
      </c>
      <c r="S233" s="35">
        <v>180000</v>
      </c>
    </row>
    <row r="234" spans="1:19" x14ac:dyDescent="0.3">
      <c r="A234" t="s">
        <v>432</v>
      </c>
      <c r="B234" t="s">
        <v>43</v>
      </c>
      <c r="C234" s="34">
        <v>45778</v>
      </c>
      <c r="D234" t="s">
        <v>45</v>
      </c>
      <c r="E234" t="s">
        <v>46</v>
      </c>
      <c r="F234" s="37">
        <v>2696</v>
      </c>
      <c r="G234" s="37">
        <v>628</v>
      </c>
      <c r="H234" s="37">
        <v>443</v>
      </c>
      <c r="I234" s="37">
        <v>45832</v>
      </c>
      <c r="J234" s="37">
        <v>45632</v>
      </c>
      <c r="K234" s="37">
        <v>248</v>
      </c>
      <c r="L234" t="s">
        <v>37</v>
      </c>
      <c r="M234" t="s">
        <v>38</v>
      </c>
      <c r="N234" s="37">
        <v>3767</v>
      </c>
      <c r="O234" s="36">
        <v>8.21914819340199E-2</v>
      </c>
      <c r="P234" t="s">
        <v>620</v>
      </c>
    </row>
    <row r="235" spans="1:19" x14ac:dyDescent="0.3">
      <c r="A235" t="s">
        <v>434</v>
      </c>
      <c r="B235" t="s">
        <v>33</v>
      </c>
      <c r="C235" s="34">
        <v>45649</v>
      </c>
      <c r="D235" t="s">
        <v>52</v>
      </c>
      <c r="E235" t="s">
        <v>215</v>
      </c>
      <c r="F235" s="37">
        <v>521</v>
      </c>
      <c r="G235" s="37">
        <v>746</v>
      </c>
      <c r="H235" s="37">
        <v>315</v>
      </c>
      <c r="I235" s="37">
        <v>4168</v>
      </c>
      <c r="J235" s="37">
        <v>3399</v>
      </c>
      <c r="K235" s="37">
        <v>282</v>
      </c>
      <c r="L235" t="s">
        <v>62</v>
      </c>
      <c r="M235" t="s">
        <v>25</v>
      </c>
      <c r="N235" s="37">
        <v>1582</v>
      </c>
      <c r="O235" s="36">
        <v>0.37955854126679461</v>
      </c>
      <c r="P235" t="s">
        <v>620</v>
      </c>
    </row>
    <row r="236" spans="1:19" x14ac:dyDescent="0.3">
      <c r="A236" t="s">
        <v>435</v>
      </c>
      <c r="B236" t="s">
        <v>43</v>
      </c>
      <c r="C236" s="34">
        <v>45783</v>
      </c>
      <c r="D236" t="s">
        <v>52</v>
      </c>
      <c r="E236" t="s">
        <v>59</v>
      </c>
      <c r="F236" s="37">
        <v>4872</v>
      </c>
      <c r="G236" s="37">
        <v>925</v>
      </c>
      <c r="H236" s="37">
        <v>176</v>
      </c>
      <c r="I236" s="37">
        <v>82824</v>
      </c>
      <c r="J236" s="37">
        <v>82543</v>
      </c>
      <c r="K236" s="37">
        <v>89</v>
      </c>
      <c r="L236" t="s">
        <v>37</v>
      </c>
      <c r="M236" t="s">
        <v>25</v>
      </c>
      <c r="N236" s="37">
        <v>5973</v>
      </c>
      <c r="O236" s="36">
        <v>7.2116777745580993E-2</v>
      </c>
      <c r="P236" t="s">
        <v>620</v>
      </c>
    </row>
    <row r="237" spans="1:19" x14ac:dyDescent="0.3">
      <c r="A237" t="s">
        <v>437</v>
      </c>
      <c r="B237" t="s">
        <v>27</v>
      </c>
      <c r="C237" s="34">
        <v>45502</v>
      </c>
      <c r="D237" t="s">
        <v>35</v>
      </c>
      <c r="E237" t="s">
        <v>154</v>
      </c>
      <c r="F237" s="37">
        <v>1509</v>
      </c>
      <c r="G237" s="37">
        <v>88</v>
      </c>
      <c r="H237" s="37">
        <v>163</v>
      </c>
      <c r="I237" s="37">
        <v>30180</v>
      </c>
      <c r="J237" s="37">
        <v>29689</v>
      </c>
      <c r="K237" s="37">
        <v>119</v>
      </c>
      <c r="L237" t="s">
        <v>37</v>
      </c>
      <c r="M237" t="s">
        <v>25</v>
      </c>
      <c r="N237" s="37">
        <v>1760</v>
      </c>
      <c r="O237" s="36">
        <v>5.8316766070245198E-2</v>
      </c>
      <c r="P237" t="s">
        <v>620</v>
      </c>
    </row>
    <row r="238" spans="1:19" x14ac:dyDescent="0.3">
      <c r="A238" t="s">
        <v>438</v>
      </c>
      <c r="B238" t="s">
        <v>43</v>
      </c>
      <c r="C238" s="34">
        <v>45629</v>
      </c>
      <c r="D238" t="s">
        <v>52</v>
      </c>
      <c r="E238" t="s">
        <v>59</v>
      </c>
      <c r="F238" s="37">
        <v>4606</v>
      </c>
      <c r="G238" s="37">
        <v>931</v>
      </c>
      <c r="H238" s="37">
        <v>230</v>
      </c>
      <c r="I238" s="37">
        <v>92120</v>
      </c>
      <c r="J238" s="37">
        <v>91440</v>
      </c>
      <c r="K238" s="37">
        <v>56</v>
      </c>
      <c r="L238" t="s">
        <v>30</v>
      </c>
      <c r="N238" s="37">
        <v>5767</v>
      </c>
      <c r="O238" s="36">
        <v>6.2603126356925748E-2</v>
      </c>
      <c r="P238" t="s">
        <v>620</v>
      </c>
    </row>
    <row r="239" spans="1:19" x14ac:dyDescent="0.3">
      <c r="A239" t="s">
        <v>439</v>
      </c>
      <c r="B239" t="s">
        <v>43</v>
      </c>
      <c r="C239" s="34">
        <v>45454</v>
      </c>
      <c r="D239" t="s">
        <v>45</v>
      </c>
      <c r="E239" t="s">
        <v>46</v>
      </c>
      <c r="F239" s="37">
        <v>1869</v>
      </c>
      <c r="G239" s="37">
        <v>453</v>
      </c>
      <c r="H239" s="37">
        <v>490</v>
      </c>
      <c r="I239" s="37">
        <v>14952</v>
      </c>
      <c r="J239" s="37">
        <v>14309</v>
      </c>
      <c r="K239" s="37">
        <v>275</v>
      </c>
      <c r="L239" t="s">
        <v>30</v>
      </c>
      <c r="M239" t="s">
        <v>38</v>
      </c>
      <c r="N239" s="37">
        <v>2812</v>
      </c>
      <c r="O239" s="36">
        <v>0.18806848582129482</v>
      </c>
      <c r="P239" t="s">
        <v>620</v>
      </c>
    </row>
    <row r="240" spans="1:19" x14ac:dyDescent="0.3">
      <c r="A240" t="s">
        <v>440</v>
      </c>
      <c r="B240" t="s">
        <v>14</v>
      </c>
      <c r="C240" s="34">
        <v>45685</v>
      </c>
      <c r="D240" t="s">
        <v>16</v>
      </c>
      <c r="E240" t="s">
        <v>17</v>
      </c>
      <c r="F240" s="37">
        <v>1188</v>
      </c>
      <c r="G240" s="37">
        <v>470</v>
      </c>
      <c r="H240" s="37">
        <v>174</v>
      </c>
      <c r="I240" s="37">
        <v>7128</v>
      </c>
      <c r="J240" s="37">
        <v>6145</v>
      </c>
      <c r="K240" s="37">
        <v>270</v>
      </c>
      <c r="L240" t="s">
        <v>30</v>
      </c>
      <c r="M240" t="s">
        <v>38</v>
      </c>
      <c r="N240" s="37">
        <v>1832</v>
      </c>
      <c r="O240" s="36">
        <v>0.25701459034792368</v>
      </c>
      <c r="P240" t="s">
        <v>620</v>
      </c>
    </row>
    <row r="241" spans="1:19" x14ac:dyDescent="0.3">
      <c r="A241" t="s">
        <v>441</v>
      </c>
      <c r="B241" t="s">
        <v>33</v>
      </c>
      <c r="C241" s="34">
        <v>45445</v>
      </c>
      <c r="D241" t="s">
        <v>35</v>
      </c>
      <c r="E241" t="s">
        <v>36</v>
      </c>
      <c r="F241" s="37">
        <v>84</v>
      </c>
      <c r="G241" s="37">
        <v>897</v>
      </c>
      <c r="H241" s="37">
        <v>85</v>
      </c>
      <c r="I241" s="37">
        <v>588</v>
      </c>
      <c r="J241" s="37">
        <v>8</v>
      </c>
      <c r="K241" s="37">
        <v>12</v>
      </c>
      <c r="L241" t="s">
        <v>37</v>
      </c>
      <c r="N241" s="37">
        <v>1066</v>
      </c>
      <c r="O241" s="36">
        <v>1.8129251700680271</v>
      </c>
      <c r="P241" t="s">
        <v>620</v>
      </c>
    </row>
    <row r="242" spans="1:19" x14ac:dyDescent="0.3">
      <c r="A242" t="s">
        <v>442</v>
      </c>
      <c r="B242" t="s">
        <v>43</v>
      </c>
      <c r="C242" s="34">
        <v>45739</v>
      </c>
      <c r="D242" t="s">
        <v>74</v>
      </c>
      <c r="E242" t="s">
        <v>75</v>
      </c>
      <c r="F242" s="37">
        <v>4453</v>
      </c>
      <c r="G242" s="37">
        <v>111</v>
      </c>
      <c r="H242" s="37">
        <v>420</v>
      </c>
      <c r="I242" s="37">
        <v>31171</v>
      </c>
      <c r="J242" s="37">
        <v>30565</v>
      </c>
      <c r="K242" s="37">
        <v>23</v>
      </c>
      <c r="L242" t="s">
        <v>30</v>
      </c>
      <c r="N242" s="37">
        <v>4984</v>
      </c>
      <c r="O242" s="36">
        <v>0.15989220750056141</v>
      </c>
      <c r="P242" t="s">
        <v>38</v>
      </c>
      <c r="Q242" s="34">
        <v>45717</v>
      </c>
      <c r="R242" s="34">
        <v>45747</v>
      </c>
      <c r="S242" s="35">
        <v>180000</v>
      </c>
    </row>
    <row r="243" spans="1:19" x14ac:dyDescent="0.3">
      <c r="A243" t="s">
        <v>443</v>
      </c>
      <c r="B243" t="s">
        <v>43</v>
      </c>
      <c r="C243" s="34">
        <v>45573</v>
      </c>
      <c r="D243" t="s">
        <v>16</v>
      </c>
      <c r="E243" t="s">
        <v>65</v>
      </c>
      <c r="F243" s="37">
        <v>1814</v>
      </c>
      <c r="G243" s="37">
        <v>653</v>
      </c>
      <c r="H243" s="37">
        <v>363</v>
      </c>
      <c r="I243" s="37">
        <v>25396</v>
      </c>
      <c r="J243" s="37">
        <v>25286</v>
      </c>
      <c r="K243" s="37">
        <v>39</v>
      </c>
      <c r="L243" t="s">
        <v>62</v>
      </c>
      <c r="M243" t="s">
        <v>19</v>
      </c>
      <c r="N243" s="37">
        <v>2830</v>
      </c>
      <c r="O243" s="36">
        <v>0.11143487163332809</v>
      </c>
      <c r="P243" t="s">
        <v>25</v>
      </c>
      <c r="Q243" s="34">
        <v>45566</v>
      </c>
      <c r="R243" s="34">
        <v>45596</v>
      </c>
      <c r="S243" s="35">
        <v>200000</v>
      </c>
    </row>
    <row r="244" spans="1:19" x14ac:dyDescent="0.3">
      <c r="A244" t="s">
        <v>443</v>
      </c>
      <c r="B244" t="s">
        <v>43</v>
      </c>
      <c r="C244" s="34">
        <v>45573</v>
      </c>
      <c r="D244" t="s">
        <v>16</v>
      </c>
      <c r="E244" t="s">
        <v>65</v>
      </c>
      <c r="F244" s="37">
        <v>1814</v>
      </c>
      <c r="G244" s="37">
        <v>653</v>
      </c>
      <c r="H244" s="37">
        <v>363</v>
      </c>
      <c r="I244" s="37">
        <v>25396</v>
      </c>
      <c r="J244" s="37">
        <v>25286</v>
      </c>
      <c r="K244" s="37">
        <v>39</v>
      </c>
      <c r="L244" t="s">
        <v>607</v>
      </c>
      <c r="M244" t="s">
        <v>19</v>
      </c>
      <c r="N244" s="37">
        <v>2830</v>
      </c>
      <c r="O244" s="36">
        <v>0.11143487163332809</v>
      </c>
      <c r="P244" t="s">
        <v>25</v>
      </c>
      <c r="Q244" s="34">
        <v>45566</v>
      </c>
      <c r="R244" s="34">
        <v>45596</v>
      </c>
      <c r="S244" s="35">
        <v>200000</v>
      </c>
    </row>
    <row r="245" spans="1:19" x14ac:dyDescent="0.3">
      <c r="A245" t="s">
        <v>446</v>
      </c>
      <c r="B245" t="s">
        <v>14</v>
      </c>
      <c r="C245" s="34">
        <v>45608</v>
      </c>
      <c r="D245" t="s">
        <v>52</v>
      </c>
      <c r="E245" t="s">
        <v>132</v>
      </c>
      <c r="F245" s="37">
        <v>3338</v>
      </c>
      <c r="G245" s="37">
        <v>277</v>
      </c>
      <c r="H245" s="37">
        <v>118</v>
      </c>
      <c r="I245" s="37">
        <v>60084</v>
      </c>
      <c r="J245" s="37">
        <v>59842</v>
      </c>
      <c r="K245" s="37">
        <v>252</v>
      </c>
      <c r="L245" t="s">
        <v>30</v>
      </c>
      <c r="N245" s="37">
        <v>3733</v>
      </c>
      <c r="O245" s="36">
        <v>6.2129685107516146E-2</v>
      </c>
      <c r="P245" t="s">
        <v>620</v>
      </c>
    </row>
    <row r="246" spans="1:19" x14ac:dyDescent="0.3">
      <c r="A246" t="s">
        <v>447</v>
      </c>
      <c r="B246" t="s">
        <v>43</v>
      </c>
      <c r="C246" s="34">
        <v>45790</v>
      </c>
      <c r="D246" t="s">
        <v>52</v>
      </c>
      <c r="E246" t="s">
        <v>59</v>
      </c>
      <c r="F246" s="37">
        <v>602</v>
      </c>
      <c r="G246" s="37">
        <v>594</v>
      </c>
      <c r="H246" s="37">
        <v>156</v>
      </c>
      <c r="I246" s="37">
        <v>4214</v>
      </c>
      <c r="J246" s="37">
        <v>3363</v>
      </c>
      <c r="K246" s="37">
        <v>164</v>
      </c>
      <c r="L246" t="s">
        <v>30</v>
      </c>
      <c r="M246" t="s">
        <v>31</v>
      </c>
      <c r="N246" s="37">
        <v>1352</v>
      </c>
      <c r="O246" s="36">
        <v>0.32083531086853345</v>
      </c>
      <c r="P246" t="s">
        <v>620</v>
      </c>
    </row>
    <row r="247" spans="1:19" x14ac:dyDescent="0.3">
      <c r="A247" t="s">
        <v>449</v>
      </c>
      <c r="B247" t="s">
        <v>14</v>
      </c>
      <c r="C247" s="34">
        <v>45463</v>
      </c>
      <c r="D247" t="s">
        <v>45</v>
      </c>
      <c r="E247" t="s">
        <v>49</v>
      </c>
      <c r="F247" s="37">
        <v>4672</v>
      </c>
      <c r="G247" s="37">
        <v>325</v>
      </c>
      <c r="H247" s="37">
        <v>32</v>
      </c>
      <c r="I247" s="37">
        <v>88768</v>
      </c>
      <c r="J247" s="37">
        <v>87833</v>
      </c>
      <c r="K247" s="37">
        <v>118</v>
      </c>
      <c r="L247" t="s">
        <v>37</v>
      </c>
      <c r="N247" s="37">
        <v>5029</v>
      </c>
      <c r="O247" s="36">
        <v>5.6653298485940883E-2</v>
      </c>
      <c r="P247" t="s">
        <v>19</v>
      </c>
      <c r="Q247" s="34">
        <v>45458</v>
      </c>
      <c r="R247" s="34">
        <v>45488</v>
      </c>
      <c r="S247" s="35">
        <v>150000</v>
      </c>
    </row>
    <row r="248" spans="1:19" x14ac:dyDescent="0.3">
      <c r="A248" t="s">
        <v>450</v>
      </c>
      <c r="B248" t="s">
        <v>33</v>
      </c>
      <c r="C248" s="34">
        <v>45511</v>
      </c>
      <c r="D248" t="s">
        <v>45</v>
      </c>
      <c r="E248" t="s">
        <v>88</v>
      </c>
      <c r="F248" s="37">
        <v>1741</v>
      </c>
      <c r="G248" s="37">
        <v>164</v>
      </c>
      <c r="H248" s="37">
        <v>318</v>
      </c>
      <c r="I248" s="37">
        <v>8705</v>
      </c>
      <c r="J248" s="37">
        <v>8272</v>
      </c>
      <c r="K248" s="37">
        <v>121</v>
      </c>
      <c r="L248" t="s">
        <v>30</v>
      </c>
      <c r="N248" s="37">
        <v>2223</v>
      </c>
      <c r="O248" s="36">
        <v>0.25537047673750718</v>
      </c>
      <c r="P248" t="s">
        <v>620</v>
      </c>
    </row>
    <row r="249" spans="1:19" x14ac:dyDescent="0.3">
      <c r="A249" t="s">
        <v>452</v>
      </c>
      <c r="B249" t="s">
        <v>33</v>
      </c>
      <c r="C249" s="34">
        <v>45455</v>
      </c>
      <c r="D249" t="s">
        <v>22</v>
      </c>
      <c r="E249" t="s">
        <v>113</v>
      </c>
      <c r="F249" s="37">
        <v>246</v>
      </c>
      <c r="G249" s="37">
        <v>149</v>
      </c>
      <c r="H249" s="37">
        <v>130</v>
      </c>
      <c r="I249" s="37">
        <v>4674</v>
      </c>
      <c r="J249" s="37">
        <v>4390</v>
      </c>
      <c r="K249" s="37">
        <v>217</v>
      </c>
      <c r="L249" t="s">
        <v>62</v>
      </c>
      <c r="M249" t="s">
        <v>31</v>
      </c>
      <c r="N249" s="37">
        <v>525</v>
      </c>
      <c r="O249" s="36">
        <v>0.11232349165596919</v>
      </c>
      <c r="P249" t="s">
        <v>620</v>
      </c>
    </row>
    <row r="250" spans="1:19" x14ac:dyDescent="0.3">
      <c r="A250" t="s">
        <v>454</v>
      </c>
      <c r="B250" t="s">
        <v>33</v>
      </c>
      <c r="C250" s="34">
        <v>45474</v>
      </c>
      <c r="D250" t="s">
        <v>35</v>
      </c>
      <c r="E250" t="s">
        <v>36</v>
      </c>
      <c r="F250" s="37">
        <v>4808</v>
      </c>
      <c r="G250" s="37">
        <v>772</v>
      </c>
      <c r="H250" s="37">
        <v>320</v>
      </c>
      <c r="I250" s="37">
        <v>72120</v>
      </c>
      <c r="J250" s="37">
        <v>71696</v>
      </c>
      <c r="K250" s="37">
        <v>195</v>
      </c>
      <c r="L250" t="s">
        <v>37</v>
      </c>
      <c r="M250" t="s">
        <v>19</v>
      </c>
      <c r="N250" s="37">
        <v>5900</v>
      </c>
      <c r="O250" s="36">
        <v>8.1808097615085965E-2</v>
      </c>
      <c r="P250" t="s">
        <v>19</v>
      </c>
      <c r="Q250" s="34">
        <v>45458</v>
      </c>
      <c r="R250" s="34">
        <v>45488</v>
      </c>
      <c r="S250" s="35">
        <v>150000</v>
      </c>
    </row>
    <row r="251" spans="1:19" x14ac:dyDescent="0.3">
      <c r="A251" t="s">
        <v>456</v>
      </c>
      <c r="B251" t="s">
        <v>33</v>
      </c>
      <c r="C251" s="34">
        <v>45476</v>
      </c>
      <c r="D251" t="s">
        <v>45</v>
      </c>
      <c r="E251" t="s">
        <v>88</v>
      </c>
      <c r="F251" s="37">
        <v>4799</v>
      </c>
      <c r="G251" s="37">
        <v>694</v>
      </c>
      <c r="H251" s="37">
        <v>289</v>
      </c>
      <c r="I251" s="37">
        <v>43191</v>
      </c>
      <c r="J251" s="37">
        <v>42228</v>
      </c>
      <c r="K251" s="37">
        <v>118</v>
      </c>
      <c r="L251" t="s">
        <v>30</v>
      </c>
      <c r="N251" s="37">
        <v>5782</v>
      </c>
      <c r="O251" s="36">
        <v>0.13387048227640017</v>
      </c>
      <c r="P251" t="s">
        <v>19</v>
      </c>
      <c r="Q251" s="34">
        <v>45458</v>
      </c>
      <c r="R251" s="34">
        <v>45488</v>
      </c>
      <c r="S251" s="35">
        <v>150000</v>
      </c>
    </row>
    <row r="252" spans="1:19" x14ac:dyDescent="0.3">
      <c r="A252" t="s">
        <v>457</v>
      </c>
      <c r="B252" t="s">
        <v>43</v>
      </c>
      <c r="C252" s="34">
        <v>45488</v>
      </c>
      <c r="D252" t="s">
        <v>16</v>
      </c>
      <c r="E252" t="s">
        <v>65</v>
      </c>
      <c r="F252" s="37">
        <v>3663</v>
      </c>
      <c r="G252" s="37">
        <v>17</v>
      </c>
      <c r="H252" s="37">
        <v>295</v>
      </c>
      <c r="I252" s="37">
        <v>51282</v>
      </c>
      <c r="J252" s="37">
        <v>50567</v>
      </c>
      <c r="K252" s="37">
        <v>84</v>
      </c>
      <c r="L252" t="s">
        <v>37</v>
      </c>
      <c r="M252" t="s">
        <v>31</v>
      </c>
      <c r="N252" s="37">
        <v>3975</v>
      </c>
      <c r="O252" s="36">
        <v>7.7512577512577507E-2</v>
      </c>
      <c r="P252" t="s">
        <v>19</v>
      </c>
      <c r="Q252" s="34">
        <v>45458</v>
      </c>
      <c r="R252" s="34">
        <v>45488</v>
      </c>
      <c r="S252" s="35">
        <v>150000</v>
      </c>
    </row>
    <row r="253" spans="1:19" x14ac:dyDescent="0.3">
      <c r="A253" t="s">
        <v>458</v>
      </c>
      <c r="B253" t="s">
        <v>33</v>
      </c>
      <c r="C253" s="34">
        <v>45778</v>
      </c>
      <c r="D253" t="s">
        <v>22</v>
      </c>
      <c r="E253" t="s">
        <v>113</v>
      </c>
      <c r="F253" s="37">
        <v>1430</v>
      </c>
      <c r="G253" s="37">
        <v>376</v>
      </c>
      <c r="H253" s="37">
        <v>33</v>
      </c>
      <c r="I253" s="37">
        <v>21450</v>
      </c>
      <c r="J253" s="37">
        <v>20509</v>
      </c>
      <c r="K253" s="37">
        <v>251</v>
      </c>
      <c r="L253" t="s">
        <v>62</v>
      </c>
      <c r="M253" t="s">
        <v>19</v>
      </c>
      <c r="N253" s="37">
        <v>1839</v>
      </c>
      <c r="O253" s="36">
        <v>8.5734265734265735E-2</v>
      </c>
      <c r="P253" t="s">
        <v>620</v>
      </c>
    </row>
    <row r="254" spans="1:19" x14ac:dyDescent="0.3">
      <c r="A254" t="s">
        <v>459</v>
      </c>
      <c r="B254" t="s">
        <v>14</v>
      </c>
      <c r="C254" s="34">
        <v>45776</v>
      </c>
      <c r="D254" t="s">
        <v>35</v>
      </c>
      <c r="E254" t="s">
        <v>149</v>
      </c>
      <c r="F254" s="37">
        <v>249</v>
      </c>
      <c r="G254" s="37">
        <v>592</v>
      </c>
      <c r="H254" s="37">
        <v>230</v>
      </c>
      <c r="I254" s="37">
        <v>1494</v>
      </c>
      <c r="J254" s="37">
        <v>1044</v>
      </c>
      <c r="K254" s="37">
        <v>201</v>
      </c>
      <c r="L254" t="s">
        <v>37</v>
      </c>
      <c r="M254" t="s">
        <v>38</v>
      </c>
      <c r="N254" s="37">
        <v>1071</v>
      </c>
      <c r="O254" s="36">
        <v>0.7168674698795181</v>
      </c>
      <c r="P254" t="s">
        <v>620</v>
      </c>
    </row>
    <row r="255" spans="1:19" x14ac:dyDescent="0.3">
      <c r="A255" t="s">
        <v>461</v>
      </c>
      <c r="B255" t="s">
        <v>43</v>
      </c>
      <c r="C255" s="34">
        <v>45724</v>
      </c>
      <c r="D255" t="s">
        <v>52</v>
      </c>
      <c r="E255" t="s">
        <v>59</v>
      </c>
      <c r="F255" s="37">
        <v>2382</v>
      </c>
      <c r="G255" s="37">
        <v>265</v>
      </c>
      <c r="H255" s="37">
        <v>134</v>
      </c>
      <c r="I255" s="37">
        <v>38112</v>
      </c>
      <c r="J255" s="37">
        <v>37437</v>
      </c>
      <c r="K255" s="37">
        <v>249</v>
      </c>
      <c r="L255" t="s">
        <v>62</v>
      </c>
      <c r="M255" t="s">
        <v>38</v>
      </c>
      <c r="N255" s="37">
        <v>2781</v>
      </c>
      <c r="O255" s="36">
        <v>7.2969143576826198E-2</v>
      </c>
      <c r="P255" t="s">
        <v>38</v>
      </c>
      <c r="Q255" s="34">
        <v>45717</v>
      </c>
      <c r="R255" s="34">
        <v>45747</v>
      </c>
      <c r="S255" s="35">
        <v>180000</v>
      </c>
    </row>
    <row r="256" spans="1:19" x14ac:dyDescent="0.3">
      <c r="A256" t="s">
        <v>462</v>
      </c>
      <c r="B256" t="s">
        <v>43</v>
      </c>
      <c r="C256" s="34">
        <v>45444</v>
      </c>
      <c r="D256" t="s">
        <v>22</v>
      </c>
      <c r="E256" t="s">
        <v>56</v>
      </c>
      <c r="F256" s="37">
        <v>1272</v>
      </c>
      <c r="G256" s="37">
        <v>465</v>
      </c>
      <c r="H256" s="37">
        <v>99</v>
      </c>
      <c r="I256" s="37">
        <v>24168</v>
      </c>
      <c r="J256" s="37">
        <v>23719</v>
      </c>
      <c r="K256" s="37">
        <v>42</v>
      </c>
      <c r="L256" t="s">
        <v>30</v>
      </c>
      <c r="N256" s="37">
        <v>1836</v>
      </c>
      <c r="O256" s="36">
        <v>7.5968222442899705E-2</v>
      </c>
      <c r="P256" t="s">
        <v>620</v>
      </c>
    </row>
    <row r="257" spans="1:19" x14ac:dyDescent="0.3">
      <c r="A257" t="s">
        <v>464</v>
      </c>
      <c r="B257" t="s">
        <v>43</v>
      </c>
      <c r="C257" s="34">
        <v>45648</v>
      </c>
      <c r="D257" t="s">
        <v>52</v>
      </c>
      <c r="E257" t="s">
        <v>59</v>
      </c>
      <c r="F257" s="37">
        <v>3196</v>
      </c>
      <c r="G257" s="37">
        <v>941</v>
      </c>
      <c r="H257" s="37">
        <v>376</v>
      </c>
      <c r="I257" s="37">
        <v>35156</v>
      </c>
      <c r="J257" s="37">
        <v>34444</v>
      </c>
      <c r="K257" s="37">
        <v>241</v>
      </c>
      <c r="L257" t="s">
        <v>30</v>
      </c>
      <c r="M257" t="s">
        <v>31</v>
      </c>
      <c r="N257" s="37">
        <v>4513</v>
      </c>
      <c r="O257" s="36">
        <v>0.1283706906360223</v>
      </c>
      <c r="P257" t="s">
        <v>620</v>
      </c>
    </row>
    <row r="258" spans="1:19" x14ac:dyDescent="0.3">
      <c r="A258" t="s">
        <v>465</v>
      </c>
      <c r="B258" t="s">
        <v>43</v>
      </c>
      <c r="C258" s="34">
        <v>45523</v>
      </c>
      <c r="D258" t="s">
        <v>22</v>
      </c>
      <c r="E258" t="s">
        <v>56</v>
      </c>
      <c r="F258" s="37">
        <v>1257</v>
      </c>
      <c r="G258" s="37">
        <v>19</v>
      </c>
      <c r="H258" s="37">
        <v>351</v>
      </c>
      <c r="I258" s="37">
        <v>12570</v>
      </c>
      <c r="J258" s="37">
        <v>11660</v>
      </c>
      <c r="K258" s="37">
        <v>194</v>
      </c>
      <c r="L258" t="s">
        <v>62</v>
      </c>
      <c r="M258" t="s">
        <v>25</v>
      </c>
      <c r="N258" s="37">
        <v>1627</v>
      </c>
      <c r="O258" s="36">
        <v>0.12943516308671441</v>
      </c>
      <c r="P258" t="s">
        <v>620</v>
      </c>
    </row>
    <row r="259" spans="1:19" x14ac:dyDescent="0.3">
      <c r="A259" t="s">
        <v>465</v>
      </c>
      <c r="B259" t="s">
        <v>43</v>
      </c>
      <c r="C259" s="34">
        <v>45523</v>
      </c>
      <c r="D259" t="s">
        <v>22</v>
      </c>
      <c r="E259" t="s">
        <v>56</v>
      </c>
      <c r="F259" s="37">
        <v>1257</v>
      </c>
      <c r="G259" s="37">
        <v>19</v>
      </c>
      <c r="H259" s="37">
        <v>351</v>
      </c>
      <c r="I259" s="37">
        <v>12570</v>
      </c>
      <c r="J259" s="37">
        <v>11660</v>
      </c>
      <c r="K259" s="37">
        <v>194</v>
      </c>
      <c r="L259" t="s">
        <v>618</v>
      </c>
      <c r="M259" t="s">
        <v>25</v>
      </c>
      <c r="N259" s="37">
        <v>1627</v>
      </c>
      <c r="O259" s="36">
        <v>0.12943516308671441</v>
      </c>
      <c r="P259" t="s">
        <v>620</v>
      </c>
    </row>
    <row r="260" spans="1:19" x14ac:dyDescent="0.3">
      <c r="A260" t="s">
        <v>465</v>
      </c>
      <c r="B260" t="s">
        <v>43</v>
      </c>
      <c r="C260" s="34">
        <v>45523</v>
      </c>
      <c r="D260" t="s">
        <v>22</v>
      </c>
      <c r="E260" t="s">
        <v>56</v>
      </c>
      <c r="F260" s="37">
        <v>1257</v>
      </c>
      <c r="G260" s="37">
        <v>19</v>
      </c>
      <c r="H260" s="37">
        <v>351</v>
      </c>
      <c r="I260" s="37">
        <v>12570</v>
      </c>
      <c r="J260" s="37">
        <v>11660</v>
      </c>
      <c r="K260" s="37">
        <v>194</v>
      </c>
      <c r="L260" t="s">
        <v>37</v>
      </c>
      <c r="M260" t="s">
        <v>25</v>
      </c>
      <c r="N260" s="37">
        <v>1627</v>
      </c>
      <c r="O260" s="36">
        <v>0.12943516308671441</v>
      </c>
      <c r="P260" t="s">
        <v>620</v>
      </c>
    </row>
    <row r="261" spans="1:19" x14ac:dyDescent="0.3">
      <c r="A261" t="s">
        <v>467</v>
      </c>
      <c r="B261" t="s">
        <v>33</v>
      </c>
      <c r="C261" s="34">
        <v>45587</v>
      </c>
      <c r="D261" t="s">
        <v>35</v>
      </c>
      <c r="E261" t="s">
        <v>36</v>
      </c>
      <c r="F261" s="37">
        <v>3770</v>
      </c>
      <c r="G261" s="37">
        <v>917</v>
      </c>
      <c r="H261" s="37">
        <v>129</v>
      </c>
      <c r="I261" s="37">
        <v>71630</v>
      </c>
      <c r="J261" s="37">
        <v>71322</v>
      </c>
      <c r="K261" s="37">
        <v>76</v>
      </c>
      <c r="L261" t="s">
        <v>62</v>
      </c>
      <c r="M261" t="s">
        <v>19</v>
      </c>
      <c r="N261" s="37">
        <v>4816</v>
      </c>
      <c r="O261" s="36">
        <v>6.7234398994834563E-2</v>
      </c>
      <c r="P261" t="s">
        <v>25</v>
      </c>
      <c r="Q261" s="34">
        <v>45566</v>
      </c>
      <c r="R261" s="34">
        <v>45596</v>
      </c>
      <c r="S261" s="35">
        <v>200000</v>
      </c>
    </row>
    <row r="262" spans="1:19" x14ac:dyDescent="0.3">
      <c r="A262" t="s">
        <v>468</v>
      </c>
      <c r="B262" t="s">
        <v>14</v>
      </c>
      <c r="C262" s="34">
        <v>45489</v>
      </c>
      <c r="D262" t="s">
        <v>22</v>
      </c>
      <c r="E262" t="s">
        <v>23</v>
      </c>
      <c r="F262" s="37">
        <v>4725</v>
      </c>
      <c r="G262" s="37">
        <v>400</v>
      </c>
      <c r="H262" s="37">
        <v>362</v>
      </c>
      <c r="I262" s="37">
        <v>75600</v>
      </c>
      <c r="J262" s="37">
        <v>74927</v>
      </c>
      <c r="K262" s="37">
        <v>43</v>
      </c>
      <c r="L262" t="s">
        <v>62</v>
      </c>
      <c r="M262" t="s">
        <v>38</v>
      </c>
      <c r="N262" s="37">
        <v>5487</v>
      </c>
      <c r="O262" s="36">
        <v>7.2579365079365077E-2</v>
      </c>
      <c r="P262" t="s">
        <v>620</v>
      </c>
    </row>
    <row r="263" spans="1:19" x14ac:dyDescent="0.3">
      <c r="A263" t="s">
        <v>470</v>
      </c>
      <c r="B263" t="s">
        <v>27</v>
      </c>
      <c r="C263" s="34">
        <v>45712</v>
      </c>
      <c r="D263" t="s">
        <v>22</v>
      </c>
      <c r="E263" t="s">
        <v>104</v>
      </c>
      <c r="F263" s="37">
        <v>4188</v>
      </c>
      <c r="G263" s="37">
        <v>942</v>
      </c>
      <c r="H263" s="37">
        <v>118</v>
      </c>
      <c r="I263" s="37">
        <v>20940</v>
      </c>
      <c r="J263" s="37">
        <v>20471</v>
      </c>
      <c r="K263" s="37">
        <v>102</v>
      </c>
      <c r="L263" t="s">
        <v>62</v>
      </c>
      <c r="N263" s="37">
        <v>5248</v>
      </c>
      <c r="O263" s="36">
        <v>0.25062082139446035</v>
      </c>
      <c r="P263" t="s">
        <v>620</v>
      </c>
    </row>
    <row r="264" spans="1:19" x14ac:dyDescent="0.3">
      <c r="A264" t="s">
        <v>471</v>
      </c>
      <c r="B264" t="s">
        <v>14</v>
      </c>
      <c r="C264" s="34">
        <v>45530</v>
      </c>
      <c r="D264" t="s">
        <v>45</v>
      </c>
      <c r="E264" t="s">
        <v>49</v>
      </c>
      <c r="F264" s="37">
        <v>929</v>
      </c>
      <c r="G264" s="37">
        <v>192</v>
      </c>
      <c r="H264" s="37">
        <v>322</v>
      </c>
      <c r="I264" s="37">
        <v>16722</v>
      </c>
      <c r="J264" s="37">
        <v>15996</v>
      </c>
      <c r="K264" s="37">
        <v>145</v>
      </c>
      <c r="L264" t="s">
        <v>37</v>
      </c>
      <c r="M264" t="s">
        <v>31</v>
      </c>
      <c r="N264" s="37">
        <v>1443</v>
      </c>
      <c r="O264" s="36">
        <v>8.6293505561535699E-2</v>
      </c>
      <c r="P264" t="s">
        <v>620</v>
      </c>
    </row>
    <row r="265" spans="1:19" x14ac:dyDescent="0.3">
      <c r="A265" t="s">
        <v>471</v>
      </c>
      <c r="B265" t="s">
        <v>14</v>
      </c>
      <c r="C265" s="34">
        <v>45530</v>
      </c>
      <c r="D265" t="s">
        <v>45</v>
      </c>
      <c r="E265" t="s">
        <v>49</v>
      </c>
      <c r="F265" s="37">
        <v>929</v>
      </c>
      <c r="G265" s="37">
        <v>192</v>
      </c>
      <c r="H265" s="37">
        <v>322</v>
      </c>
      <c r="I265" s="37">
        <v>16722</v>
      </c>
      <c r="J265" s="37">
        <v>15996</v>
      </c>
      <c r="K265" s="37">
        <v>145</v>
      </c>
      <c r="L265" t="s">
        <v>30</v>
      </c>
      <c r="M265" t="s">
        <v>31</v>
      </c>
      <c r="N265" s="37">
        <v>1443</v>
      </c>
      <c r="O265" s="36">
        <v>8.6293505561535699E-2</v>
      </c>
      <c r="P265" t="s">
        <v>620</v>
      </c>
    </row>
    <row r="266" spans="1:19" x14ac:dyDescent="0.3">
      <c r="A266" t="s">
        <v>471</v>
      </c>
      <c r="B266" t="s">
        <v>14</v>
      </c>
      <c r="C266" s="34">
        <v>45530</v>
      </c>
      <c r="D266" t="s">
        <v>45</v>
      </c>
      <c r="E266" t="s">
        <v>49</v>
      </c>
      <c r="F266" s="37">
        <v>929</v>
      </c>
      <c r="G266" s="37">
        <v>192</v>
      </c>
      <c r="H266" s="37">
        <v>322</v>
      </c>
      <c r="I266" s="37">
        <v>16722</v>
      </c>
      <c r="J266" s="37">
        <v>15996</v>
      </c>
      <c r="K266" s="37">
        <v>145</v>
      </c>
      <c r="L266" t="s">
        <v>618</v>
      </c>
      <c r="M266" t="s">
        <v>31</v>
      </c>
      <c r="N266" s="37">
        <v>1443</v>
      </c>
      <c r="O266" s="36">
        <v>8.6293505561535699E-2</v>
      </c>
      <c r="P266" t="s">
        <v>620</v>
      </c>
    </row>
    <row r="267" spans="1:19" x14ac:dyDescent="0.3">
      <c r="A267" t="s">
        <v>472</v>
      </c>
      <c r="B267" t="s">
        <v>43</v>
      </c>
      <c r="C267" s="34">
        <v>45675</v>
      </c>
      <c r="D267" t="s">
        <v>35</v>
      </c>
      <c r="E267" t="s">
        <v>71</v>
      </c>
      <c r="F267" s="37">
        <v>4321</v>
      </c>
      <c r="G267" s="37">
        <v>874</v>
      </c>
      <c r="H267" s="37">
        <v>172</v>
      </c>
      <c r="I267" s="37">
        <v>30247</v>
      </c>
      <c r="J267" s="37">
        <v>29254</v>
      </c>
      <c r="K267" s="37">
        <v>122</v>
      </c>
      <c r="L267" t="s">
        <v>30</v>
      </c>
      <c r="M267" t="s">
        <v>38</v>
      </c>
      <c r="N267" s="37">
        <v>5367</v>
      </c>
      <c r="O267" s="36">
        <v>0.17743908486792079</v>
      </c>
      <c r="P267" t="s">
        <v>620</v>
      </c>
    </row>
    <row r="268" spans="1:19" x14ac:dyDescent="0.3">
      <c r="A268" t="s">
        <v>474</v>
      </c>
      <c r="B268" t="s">
        <v>43</v>
      </c>
      <c r="C268" s="34">
        <v>45480</v>
      </c>
      <c r="D268" t="s">
        <v>16</v>
      </c>
      <c r="E268" t="s">
        <v>65</v>
      </c>
      <c r="F268" s="37">
        <v>4767</v>
      </c>
      <c r="G268" s="37">
        <v>190</v>
      </c>
      <c r="H268" s="37">
        <v>340</v>
      </c>
      <c r="I268" s="37">
        <v>28602</v>
      </c>
      <c r="J268" s="37">
        <v>28044</v>
      </c>
      <c r="K268" s="37">
        <v>210</v>
      </c>
      <c r="L268" t="s">
        <v>37</v>
      </c>
      <c r="M268" t="s">
        <v>31</v>
      </c>
      <c r="N268" s="37">
        <v>5297</v>
      </c>
      <c r="O268" s="36">
        <v>0.18519683938186141</v>
      </c>
      <c r="P268" t="s">
        <v>19</v>
      </c>
      <c r="Q268" s="34">
        <v>45458</v>
      </c>
      <c r="R268" s="34">
        <v>45488</v>
      </c>
      <c r="S268" s="35">
        <v>150000</v>
      </c>
    </row>
    <row r="269" spans="1:19" x14ac:dyDescent="0.3">
      <c r="A269" t="s">
        <v>475</v>
      </c>
      <c r="B269" t="s">
        <v>14</v>
      </c>
      <c r="C269" s="34">
        <v>45722</v>
      </c>
      <c r="D269" t="s">
        <v>52</v>
      </c>
      <c r="E269" t="s">
        <v>132</v>
      </c>
      <c r="F269" s="37">
        <v>3592</v>
      </c>
      <c r="G269" s="37">
        <v>911</v>
      </c>
      <c r="H269" s="37">
        <v>375</v>
      </c>
      <c r="I269" s="37">
        <v>50288</v>
      </c>
      <c r="J269" s="37">
        <v>49490</v>
      </c>
      <c r="K269" s="37">
        <v>32</v>
      </c>
      <c r="L269" t="s">
        <v>62</v>
      </c>
      <c r="M269" t="s">
        <v>38</v>
      </c>
      <c r="N269" s="37">
        <v>4878</v>
      </c>
      <c r="O269" s="36">
        <v>9.7001272669424113E-2</v>
      </c>
      <c r="P269" t="s">
        <v>38</v>
      </c>
      <c r="Q269" s="34">
        <v>45717</v>
      </c>
      <c r="R269" s="34">
        <v>45747</v>
      </c>
      <c r="S269" s="35">
        <v>180000</v>
      </c>
    </row>
    <row r="270" spans="1:19" x14ac:dyDescent="0.3">
      <c r="A270" t="s">
        <v>477</v>
      </c>
      <c r="B270" t="s">
        <v>27</v>
      </c>
      <c r="C270" s="34">
        <v>45590</v>
      </c>
      <c r="D270" t="s">
        <v>74</v>
      </c>
      <c r="E270" t="s">
        <v>219</v>
      </c>
      <c r="F270" s="37">
        <v>4661</v>
      </c>
      <c r="G270" s="37">
        <v>935</v>
      </c>
      <c r="H270" s="37">
        <v>433</v>
      </c>
      <c r="I270" s="37">
        <v>23305</v>
      </c>
      <c r="J270" s="37">
        <v>22583</v>
      </c>
      <c r="K270" s="37">
        <v>63</v>
      </c>
      <c r="L270" t="s">
        <v>62</v>
      </c>
      <c r="M270" t="s">
        <v>31</v>
      </c>
      <c r="N270" s="37">
        <v>6029</v>
      </c>
      <c r="O270" s="36">
        <v>0.25869984981763572</v>
      </c>
      <c r="P270" t="s">
        <v>25</v>
      </c>
      <c r="Q270" s="34">
        <v>45566</v>
      </c>
      <c r="R270" s="34">
        <v>45596</v>
      </c>
      <c r="S270" s="35">
        <v>200000</v>
      </c>
    </row>
    <row r="271" spans="1:19" x14ac:dyDescent="0.3">
      <c r="A271" t="s">
        <v>479</v>
      </c>
      <c r="B271" t="s">
        <v>43</v>
      </c>
      <c r="C271" s="34">
        <v>45669</v>
      </c>
      <c r="D271" t="s">
        <v>16</v>
      </c>
      <c r="E271" t="s">
        <v>65</v>
      </c>
      <c r="F271" s="37">
        <v>4134</v>
      </c>
      <c r="G271" s="37">
        <v>824</v>
      </c>
      <c r="H271" s="37">
        <v>99</v>
      </c>
      <c r="I271" s="37">
        <v>41340</v>
      </c>
      <c r="J271" s="37">
        <v>41050</v>
      </c>
      <c r="K271" s="37">
        <v>177</v>
      </c>
      <c r="L271" t="s">
        <v>37</v>
      </c>
      <c r="M271" t="s">
        <v>19</v>
      </c>
      <c r="N271" s="37">
        <v>5057</v>
      </c>
      <c r="O271" s="36">
        <v>0.12232704402515723</v>
      </c>
      <c r="P271" t="s">
        <v>620</v>
      </c>
    </row>
    <row r="272" spans="1:19" x14ac:dyDescent="0.3">
      <c r="A272" t="s">
        <v>481</v>
      </c>
      <c r="B272" t="s">
        <v>43</v>
      </c>
      <c r="C272" s="34">
        <v>45576</v>
      </c>
      <c r="D272" t="s">
        <v>52</v>
      </c>
      <c r="E272" t="s">
        <v>59</v>
      </c>
      <c r="F272" s="37">
        <v>400</v>
      </c>
      <c r="G272" s="37">
        <v>680</v>
      </c>
      <c r="H272" s="37">
        <v>434</v>
      </c>
      <c r="I272" s="37">
        <v>6400</v>
      </c>
      <c r="J272" s="37">
        <v>5472</v>
      </c>
      <c r="K272" s="37">
        <v>160</v>
      </c>
      <c r="L272" t="s">
        <v>62</v>
      </c>
      <c r="M272" t="s">
        <v>25</v>
      </c>
      <c r="N272" s="37">
        <v>1514</v>
      </c>
      <c r="O272" s="36">
        <v>0.23656250000000001</v>
      </c>
      <c r="P272" t="s">
        <v>25</v>
      </c>
      <c r="Q272" s="34">
        <v>45566</v>
      </c>
      <c r="R272" s="34">
        <v>45596</v>
      </c>
      <c r="S272" s="35">
        <v>200000</v>
      </c>
    </row>
    <row r="273" spans="1:19" x14ac:dyDescent="0.3">
      <c r="A273" t="s">
        <v>483</v>
      </c>
      <c r="B273" t="s">
        <v>43</v>
      </c>
      <c r="C273" s="34">
        <v>45531</v>
      </c>
      <c r="D273" t="s">
        <v>16</v>
      </c>
      <c r="E273" t="s">
        <v>65</v>
      </c>
      <c r="F273" s="37">
        <v>3960</v>
      </c>
      <c r="G273" s="37">
        <v>266</v>
      </c>
      <c r="H273" s="37">
        <v>8</v>
      </c>
      <c r="I273" s="37">
        <v>35640</v>
      </c>
      <c r="J273" s="37">
        <v>34850</v>
      </c>
      <c r="K273" s="37">
        <v>208</v>
      </c>
      <c r="L273" t="s">
        <v>62</v>
      </c>
      <c r="N273" s="37">
        <v>4234</v>
      </c>
      <c r="O273" s="36">
        <v>0.11879910213243547</v>
      </c>
      <c r="P273" t="s">
        <v>620</v>
      </c>
    </row>
    <row r="274" spans="1:19" x14ac:dyDescent="0.3">
      <c r="A274" t="s">
        <v>483</v>
      </c>
      <c r="B274" t="s">
        <v>43</v>
      </c>
      <c r="C274" s="34">
        <v>45531</v>
      </c>
      <c r="D274" t="s">
        <v>16</v>
      </c>
      <c r="E274" t="s">
        <v>65</v>
      </c>
      <c r="F274" s="37">
        <v>3960</v>
      </c>
      <c r="G274" s="37">
        <v>266</v>
      </c>
      <c r="H274" s="37">
        <v>8</v>
      </c>
      <c r="I274" s="37">
        <v>35640</v>
      </c>
      <c r="J274" s="37">
        <v>34850</v>
      </c>
      <c r="K274" s="37">
        <v>208</v>
      </c>
      <c r="L274" t="s">
        <v>37</v>
      </c>
      <c r="N274" s="37">
        <v>4234</v>
      </c>
      <c r="O274" s="36">
        <v>0.11879910213243547</v>
      </c>
      <c r="P274" t="s">
        <v>620</v>
      </c>
    </row>
    <row r="275" spans="1:19" x14ac:dyDescent="0.3">
      <c r="A275" t="s">
        <v>483</v>
      </c>
      <c r="B275" t="s">
        <v>43</v>
      </c>
      <c r="C275" s="34">
        <v>45531</v>
      </c>
      <c r="D275" t="s">
        <v>16</v>
      </c>
      <c r="E275" t="s">
        <v>65</v>
      </c>
      <c r="F275" s="37">
        <v>3960</v>
      </c>
      <c r="G275" s="37">
        <v>266</v>
      </c>
      <c r="H275" s="37">
        <v>8</v>
      </c>
      <c r="I275" s="37">
        <v>35640</v>
      </c>
      <c r="J275" s="37">
        <v>34850</v>
      </c>
      <c r="K275" s="37">
        <v>208</v>
      </c>
      <c r="L275" t="s">
        <v>619</v>
      </c>
      <c r="N275" s="37">
        <v>4234</v>
      </c>
      <c r="O275" s="36">
        <v>0.11879910213243547</v>
      </c>
      <c r="P275" t="s">
        <v>620</v>
      </c>
    </row>
    <row r="276" spans="1:19" x14ac:dyDescent="0.3">
      <c r="A276" t="s">
        <v>486</v>
      </c>
      <c r="B276" t="s">
        <v>43</v>
      </c>
      <c r="C276" s="34">
        <v>45690</v>
      </c>
      <c r="D276" t="s">
        <v>35</v>
      </c>
      <c r="E276" t="s">
        <v>71</v>
      </c>
      <c r="F276" s="37">
        <v>886</v>
      </c>
      <c r="G276" s="37">
        <v>126</v>
      </c>
      <c r="H276" s="37">
        <v>153</v>
      </c>
      <c r="I276" s="37">
        <v>4430</v>
      </c>
      <c r="J276" s="37">
        <v>4037</v>
      </c>
      <c r="K276" s="37">
        <v>212</v>
      </c>
      <c r="L276" t="s">
        <v>37</v>
      </c>
      <c r="N276" s="37">
        <v>1165</v>
      </c>
      <c r="O276" s="36">
        <v>0.26297968397291194</v>
      </c>
      <c r="P276" t="s">
        <v>620</v>
      </c>
    </row>
    <row r="277" spans="1:19" x14ac:dyDescent="0.3">
      <c r="A277" t="s">
        <v>487</v>
      </c>
      <c r="B277" t="s">
        <v>14</v>
      </c>
      <c r="C277" s="34">
        <v>45491</v>
      </c>
      <c r="D277" t="s">
        <v>52</v>
      </c>
      <c r="E277" t="s">
        <v>132</v>
      </c>
      <c r="F277" s="37">
        <v>827</v>
      </c>
      <c r="G277" s="37">
        <v>77</v>
      </c>
      <c r="H277" s="37">
        <v>402</v>
      </c>
      <c r="I277" s="37">
        <v>14886</v>
      </c>
      <c r="J277" s="37">
        <v>14129</v>
      </c>
      <c r="K277" s="37">
        <v>254</v>
      </c>
      <c r="L277" t="s">
        <v>37</v>
      </c>
      <c r="M277" t="s">
        <v>25</v>
      </c>
      <c r="N277" s="37">
        <v>1306</v>
      </c>
      <c r="O277" s="36">
        <v>8.7733440816874911E-2</v>
      </c>
      <c r="P277" t="s">
        <v>620</v>
      </c>
    </row>
    <row r="278" spans="1:19" x14ac:dyDescent="0.3">
      <c r="A278" t="s">
        <v>488</v>
      </c>
      <c r="B278" t="s">
        <v>43</v>
      </c>
      <c r="C278" s="34">
        <v>45465</v>
      </c>
      <c r="D278" t="s">
        <v>16</v>
      </c>
      <c r="E278" t="s">
        <v>65</v>
      </c>
      <c r="F278" s="37">
        <v>3813</v>
      </c>
      <c r="G278" s="37">
        <v>935</v>
      </c>
      <c r="H278" s="37">
        <v>274</v>
      </c>
      <c r="I278" s="37">
        <v>68634</v>
      </c>
      <c r="J278" s="37">
        <v>68488</v>
      </c>
      <c r="K278" s="37">
        <v>251</v>
      </c>
      <c r="L278" t="s">
        <v>62</v>
      </c>
      <c r="N278" s="37">
        <v>5022</v>
      </c>
      <c r="O278" s="36">
        <v>7.3170731707317069E-2</v>
      </c>
      <c r="P278" t="s">
        <v>19</v>
      </c>
      <c r="Q278" s="34">
        <v>45458</v>
      </c>
      <c r="R278" s="34">
        <v>45488</v>
      </c>
      <c r="S278" s="35">
        <v>150000</v>
      </c>
    </row>
    <row r="279" spans="1:19" x14ac:dyDescent="0.3">
      <c r="A279" t="s">
        <v>489</v>
      </c>
      <c r="B279" t="s">
        <v>33</v>
      </c>
      <c r="C279" s="34">
        <v>45743</v>
      </c>
      <c r="D279" t="s">
        <v>45</v>
      </c>
      <c r="E279" t="s">
        <v>88</v>
      </c>
      <c r="F279" s="37">
        <v>1377</v>
      </c>
      <c r="G279" s="37">
        <v>796</v>
      </c>
      <c r="H279" s="37">
        <v>387</v>
      </c>
      <c r="I279" s="37">
        <v>22032</v>
      </c>
      <c r="J279" s="37">
        <v>21869</v>
      </c>
      <c r="K279" s="37">
        <v>189</v>
      </c>
      <c r="L279" t="s">
        <v>62</v>
      </c>
      <c r="N279" s="37">
        <v>2560</v>
      </c>
      <c r="O279" s="36">
        <v>0.11619462599854757</v>
      </c>
      <c r="P279" t="s">
        <v>38</v>
      </c>
      <c r="Q279" s="34">
        <v>45717</v>
      </c>
      <c r="R279" s="34">
        <v>45747</v>
      </c>
      <c r="S279" s="35">
        <v>180000</v>
      </c>
    </row>
    <row r="280" spans="1:19" x14ac:dyDescent="0.3">
      <c r="A280" t="s">
        <v>491</v>
      </c>
      <c r="B280" t="s">
        <v>43</v>
      </c>
      <c r="C280" s="34">
        <v>45775</v>
      </c>
      <c r="D280" t="s">
        <v>45</v>
      </c>
      <c r="E280" t="s">
        <v>46</v>
      </c>
      <c r="F280" s="37">
        <v>2089</v>
      </c>
      <c r="G280" s="37">
        <v>476</v>
      </c>
      <c r="H280" s="37">
        <v>69</v>
      </c>
      <c r="I280" s="37">
        <v>16712</v>
      </c>
      <c r="J280" s="37">
        <v>16309</v>
      </c>
      <c r="K280" s="37">
        <v>64</v>
      </c>
      <c r="L280" t="s">
        <v>62</v>
      </c>
      <c r="M280" t="s">
        <v>31</v>
      </c>
      <c r="N280" s="37">
        <v>2634</v>
      </c>
      <c r="O280" s="36">
        <v>0.15761129727142173</v>
      </c>
      <c r="P280" t="s">
        <v>620</v>
      </c>
    </row>
    <row r="281" spans="1:19" x14ac:dyDescent="0.3">
      <c r="A281" t="s">
        <v>492</v>
      </c>
      <c r="B281" t="s">
        <v>14</v>
      </c>
      <c r="C281" s="34">
        <v>45507</v>
      </c>
      <c r="D281" t="s">
        <v>16</v>
      </c>
      <c r="E281" t="s">
        <v>17</v>
      </c>
      <c r="F281" s="37">
        <v>3791</v>
      </c>
      <c r="G281" s="37">
        <v>593</v>
      </c>
      <c r="H281" s="37">
        <v>228</v>
      </c>
      <c r="I281" s="37">
        <v>53074</v>
      </c>
      <c r="J281" s="37">
        <v>52613</v>
      </c>
      <c r="K281" s="37">
        <v>205</v>
      </c>
      <c r="L281" t="s">
        <v>37</v>
      </c>
      <c r="N281" s="37">
        <v>4612</v>
      </c>
      <c r="O281" s="36">
        <v>8.6897539284772202E-2</v>
      </c>
      <c r="P281" t="s">
        <v>620</v>
      </c>
    </row>
    <row r="282" spans="1:19" x14ac:dyDescent="0.3">
      <c r="A282" t="s">
        <v>494</v>
      </c>
      <c r="B282" t="s">
        <v>14</v>
      </c>
      <c r="C282" s="34">
        <v>45671</v>
      </c>
      <c r="D282" t="s">
        <v>52</v>
      </c>
      <c r="E282" t="s">
        <v>132</v>
      </c>
      <c r="F282" s="37">
        <v>2692</v>
      </c>
      <c r="G282" s="37">
        <v>115</v>
      </c>
      <c r="H282" s="37">
        <v>64</v>
      </c>
      <c r="I282" s="37">
        <v>21536</v>
      </c>
      <c r="J282" s="37">
        <v>21120</v>
      </c>
      <c r="K282" s="37">
        <v>224</v>
      </c>
      <c r="L282" t="s">
        <v>62</v>
      </c>
      <c r="M282" t="s">
        <v>25</v>
      </c>
      <c r="N282" s="37">
        <v>2871</v>
      </c>
      <c r="O282" s="36">
        <v>0.13331166419019316</v>
      </c>
      <c r="P282" t="s">
        <v>620</v>
      </c>
    </row>
    <row r="283" spans="1:19" x14ac:dyDescent="0.3">
      <c r="A283" t="s">
        <v>496</v>
      </c>
      <c r="B283" t="s">
        <v>43</v>
      </c>
      <c r="C283" s="34">
        <v>45750</v>
      </c>
      <c r="D283" t="s">
        <v>35</v>
      </c>
      <c r="E283" t="s">
        <v>71</v>
      </c>
      <c r="F283" s="37">
        <v>3767</v>
      </c>
      <c r="G283" s="37">
        <v>514</v>
      </c>
      <c r="H283" s="37">
        <v>238</v>
      </c>
      <c r="I283" s="37">
        <v>37670</v>
      </c>
      <c r="J283" s="37">
        <v>36807</v>
      </c>
      <c r="K283" s="37">
        <v>226</v>
      </c>
      <c r="L283" t="s">
        <v>62</v>
      </c>
      <c r="M283" t="s">
        <v>38</v>
      </c>
      <c r="N283" s="37">
        <v>4519</v>
      </c>
      <c r="O283" s="36">
        <v>0.11996283514733209</v>
      </c>
      <c r="P283" t="s">
        <v>620</v>
      </c>
    </row>
    <row r="284" spans="1:19" x14ac:dyDescent="0.3">
      <c r="A284" t="s">
        <v>497</v>
      </c>
      <c r="B284" t="s">
        <v>27</v>
      </c>
      <c r="C284" s="34">
        <v>45553</v>
      </c>
      <c r="D284" t="s">
        <v>45</v>
      </c>
      <c r="E284" t="s">
        <v>68</v>
      </c>
      <c r="F284" s="37">
        <v>2143</v>
      </c>
      <c r="G284" s="37">
        <v>12</v>
      </c>
      <c r="H284" s="37">
        <v>204</v>
      </c>
      <c r="I284" s="37">
        <v>40717</v>
      </c>
      <c r="J284" s="37">
        <v>40125</v>
      </c>
      <c r="K284" s="37">
        <v>248</v>
      </c>
      <c r="L284" t="s">
        <v>37</v>
      </c>
      <c r="M284" t="s">
        <v>25</v>
      </c>
      <c r="N284" s="37">
        <v>2359</v>
      </c>
      <c r="O284" s="36">
        <v>5.7936488444630008E-2</v>
      </c>
      <c r="P284" t="s">
        <v>620</v>
      </c>
    </row>
    <row r="285" spans="1:19" x14ac:dyDescent="0.3">
      <c r="A285" t="s">
        <v>498</v>
      </c>
      <c r="B285" t="s">
        <v>43</v>
      </c>
      <c r="C285" s="34">
        <v>45753</v>
      </c>
      <c r="D285" t="s">
        <v>52</v>
      </c>
      <c r="E285" t="s">
        <v>59</v>
      </c>
      <c r="F285" s="37">
        <v>3090</v>
      </c>
      <c r="G285" s="37">
        <v>697</v>
      </c>
      <c r="H285" s="37">
        <v>164</v>
      </c>
      <c r="I285" s="37">
        <v>49440</v>
      </c>
      <c r="J285" s="37">
        <v>48524</v>
      </c>
      <c r="K285" s="37">
        <v>25</v>
      </c>
      <c r="L285" t="s">
        <v>37</v>
      </c>
      <c r="M285" t="s">
        <v>25</v>
      </c>
      <c r="N285" s="37">
        <v>3951</v>
      </c>
      <c r="O285" s="36">
        <v>7.9915048543689318E-2</v>
      </c>
      <c r="P285" t="s">
        <v>620</v>
      </c>
    </row>
    <row r="286" spans="1:19" x14ac:dyDescent="0.3">
      <c r="A286" t="s">
        <v>498</v>
      </c>
      <c r="B286" t="s">
        <v>43</v>
      </c>
      <c r="C286" s="34">
        <v>45753</v>
      </c>
      <c r="D286" t="s">
        <v>52</v>
      </c>
      <c r="E286" t="s">
        <v>59</v>
      </c>
      <c r="F286" s="37">
        <v>3090</v>
      </c>
      <c r="G286" s="37">
        <v>697</v>
      </c>
      <c r="H286" s="37">
        <v>164</v>
      </c>
      <c r="I286" s="37">
        <v>49440</v>
      </c>
      <c r="J286" s="37">
        <v>48524</v>
      </c>
      <c r="K286" s="37">
        <v>25</v>
      </c>
      <c r="L286" t="s">
        <v>37</v>
      </c>
      <c r="M286" t="s">
        <v>25</v>
      </c>
      <c r="N286" s="37">
        <v>3951</v>
      </c>
      <c r="O286" s="36">
        <v>7.9915048543689318E-2</v>
      </c>
      <c r="P286" t="s">
        <v>620</v>
      </c>
    </row>
    <row r="287" spans="1:19" x14ac:dyDescent="0.3">
      <c r="A287" t="s">
        <v>498</v>
      </c>
      <c r="B287" t="s">
        <v>43</v>
      </c>
      <c r="C287" s="34">
        <v>45753</v>
      </c>
      <c r="D287" t="s">
        <v>52</v>
      </c>
      <c r="E287" t="s">
        <v>59</v>
      </c>
      <c r="F287" s="37">
        <v>3090</v>
      </c>
      <c r="G287" s="37">
        <v>697</v>
      </c>
      <c r="H287" s="37">
        <v>164</v>
      </c>
      <c r="I287" s="37">
        <v>49440</v>
      </c>
      <c r="J287" s="37">
        <v>48524</v>
      </c>
      <c r="K287" s="37">
        <v>25</v>
      </c>
      <c r="L287" t="s">
        <v>619</v>
      </c>
      <c r="M287" t="s">
        <v>25</v>
      </c>
      <c r="N287" s="37">
        <v>3951</v>
      </c>
      <c r="O287" s="36">
        <v>7.9915048543689318E-2</v>
      </c>
      <c r="P287" t="s">
        <v>620</v>
      </c>
    </row>
    <row r="288" spans="1:19" x14ac:dyDescent="0.3">
      <c r="A288" t="s">
        <v>500</v>
      </c>
      <c r="B288" t="s">
        <v>33</v>
      </c>
      <c r="C288" s="34">
        <v>45509</v>
      </c>
      <c r="D288" t="s">
        <v>35</v>
      </c>
      <c r="E288" t="s">
        <v>36</v>
      </c>
      <c r="F288" s="37">
        <v>3601</v>
      </c>
      <c r="G288" s="37">
        <v>695</v>
      </c>
      <c r="H288" s="37">
        <v>75</v>
      </c>
      <c r="I288" s="37">
        <v>21606</v>
      </c>
      <c r="J288" s="37">
        <v>21454</v>
      </c>
      <c r="K288" s="37">
        <v>172</v>
      </c>
      <c r="L288" t="s">
        <v>37</v>
      </c>
      <c r="M288" t="s">
        <v>25</v>
      </c>
      <c r="N288" s="37">
        <v>4371</v>
      </c>
      <c r="O288" s="36">
        <v>0.2023049153013052</v>
      </c>
      <c r="P288" t="s">
        <v>620</v>
      </c>
    </row>
    <row r="289" spans="1:19" x14ac:dyDescent="0.3">
      <c r="A289" t="s">
        <v>502</v>
      </c>
      <c r="B289" t="s">
        <v>43</v>
      </c>
      <c r="C289" s="34">
        <v>45698</v>
      </c>
      <c r="D289" t="s">
        <v>22</v>
      </c>
      <c r="E289" t="s">
        <v>56</v>
      </c>
      <c r="F289" s="37">
        <v>562</v>
      </c>
      <c r="G289" s="37">
        <v>158</v>
      </c>
      <c r="H289" s="37">
        <v>149</v>
      </c>
      <c r="I289" s="37">
        <v>3372</v>
      </c>
      <c r="J289" s="37">
        <v>2940</v>
      </c>
      <c r="K289" s="37">
        <v>93</v>
      </c>
      <c r="L289" t="s">
        <v>30</v>
      </c>
      <c r="M289" t="s">
        <v>19</v>
      </c>
      <c r="N289" s="37">
        <v>869</v>
      </c>
      <c r="O289" s="36">
        <v>0.25771055753262156</v>
      </c>
      <c r="P289" t="s">
        <v>620</v>
      </c>
    </row>
    <row r="290" spans="1:19" x14ac:dyDescent="0.3">
      <c r="A290" t="s">
        <v>503</v>
      </c>
      <c r="B290" t="s">
        <v>33</v>
      </c>
      <c r="C290" s="34">
        <v>45700</v>
      </c>
      <c r="D290" t="s">
        <v>35</v>
      </c>
      <c r="E290" t="s">
        <v>36</v>
      </c>
      <c r="F290" s="37">
        <v>4332</v>
      </c>
      <c r="G290" s="37">
        <v>771</v>
      </c>
      <c r="H290" s="37">
        <v>219</v>
      </c>
      <c r="I290" s="37">
        <v>60648</v>
      </c>
      <c r="J290" s="37">
        <v>60397</v>
      </c>
      <c r="K290" s="37">
        <v>10</v>
      </c>
      <c r="L290" t="s">
        <v>30</v>
      </c>
      <c r="M290" t="s">
        <v>31</v>
      </c>
      <c r="N290" s="37">
        <v>5322</v>
      </c>
      <c r="O290" s="36">
        <v>8.7752275425405618E-2</v>
      </c>
      <c r="P290" t="s">
        <v>620</v>
      </c>
    </row>
    <row r="291" spans="1:19" x14ac:dyDescent="0.3">
      <c r="A291" t="s">
        <v>503</v>
      </c>
      <c r="B291" t="s">
        <v>33</v>
      </c>
      <c r="C291" s="34">
        <v>45700</v>
      </c>
      <c r="D291" t="s">
        <v>35</v>
      </c>
      <c r="E291" t="s">
        <v>36</v>
      </c>
      <c r="F291" s="37">
        <v>4332</v>
      </c>
      <c r="G291" s="37">
        <v>771</v>
      </c>
      <c r="H291" s="37">
        <v>219</v>
      </c>
      <c r="I291" s="37">
        <v>60648</v>
      </c>
      <c r="J291" s="37">
        <v>60397</v>
      </c>
      <c r="K291" s="37">
        <v>10</v>
      </c>
      <c r="L291" t="s">
        <v>37</v>
      </c>
      <c r="M291" t="s">
        <v>31</v>
      </c>
      <c r="N291" s="37">
        <v>5322</v>
      </c>
      <c r="O291" s="36">
        <v>8.7752275425405618E-2</v>
      </c>
      <c r="P291" t="s">
        <v>620</v>
      </c>
    </row>
    <row r="292" spans="1:19" x14ac:dyDescent="0.3">
      <c r="A292" t="s">
        <v>503</v>
      </c>
      <c r="B292" t="s">
        <v>33</v>
      </c>
      <c r="C292" s="34">
        <v>45700</v>
      </c>
      <c r="D292" t="s">
        <v>35</v>
      </c>
      <c r="E292" t="s">
        <v>36</v>
      </c>
      <c r="F292" s="37">
        <v>4332</v>
      </c>
      <c r="G292" s="37">
        <v>771</v>
      </c>
      <c r="H292" s="37">
        <v>219</v>
      </c>
      <c r="I292" s="37">
        <v>60648</v>
      </c>
      <c r="J292" s="37">
        <v>60397</v>
      </c>
      <c r="K292" s="37">
        <v>10</v>
      </c>
      <c r="L292" t="s">
        <v>619</v>
      </c>
      <c r="M292" t="s">
        <v>31</v>
      </c>
      <c r="N292" s="37">
        <v>5322</v>
      </c>
      <c r="O292" s="36">
        <v>8.7752275425405618E-2</v>
      </c>
      <c r="P292" t="s">
        <v>620</v>
      </c>
    </row>
    <row r="293" spans="1:19" x14ac:dyDescent="0.3">
      <c r="A293" t="s">
        <v>506</v>
      </c>
      <c r="B293" t="s">
        <v>33</v>
      </c>
      <c r="C293" s="34">
        <v>45592</v>
      </c>
      <c r="D293" t="s">
        <v>52</v>
      </c>
      <c r="E293" t="s">
        <v>215</v>
      </c>
      <c r="F293" s="37">
        <v>4853</v>
      </c>
      <c r="G293" s="37">
        <v>837</v>
      </c>
      <c r="H293" s="37">
        <v>340</v>
      </c>
      <c r="I293" s="37">
        <v>72795</v>
      </c>
      <c r="J293" s="37">
        <v>72237</v>
      </c>
      <c r="K293" s="37">
        <v>170</v>
      </c>
      <c r="L293" t="s">
        <v>37</v>
      </c>
      <c r="M293" t="s">
        <v>19</v>
      </c>
      <c r="N293" s="37">
        <v>6030</v>
      </c>
      <c r="O293" s="36">
        <v>8.2835359571399134E-2</v>
      </c>
      <c r="P293" t="s">
        <v>25</v>
      </c>
      <c r="Q293" s="34">
        <v>45566</v>
      </c>
      <c r="R293" s="34">
        <v>45596</v>
      </c>
      <c r="S293" s="35">
        <v>200000</v>
      </c>
    </row>
    <row r="294" spans="1:19" x14ac:dyDescent="0.3">
      <c r="A294" t="s">
        <v>508</v>
      </c>
      <c r="B294" t="s">
        <v>27</v>
      </c>
      <c r="C294" s="34">
        <v>45675</v>
      </c>
      <c r="D294" t="s">
        <v>52</v>
      </c>
      <c r="E294" t="s">
        <v>53</v>
      </c>
      <c r="F294" s="37">
        <v>1206</v>
      </c>
      <c r="G294" s="37">
        <v>238</v>
      </c>
      <c r="H294" s="37">
        <v>36</v>
      </c>
      <c r="I294" s="37">
        <v>9648</v>
      </c>
      <c r="J294" s="37">
        <v>9417</v>
      </c>
      <c r="K294" s="37">
        <v>237</v>
      </c>
      <c r="L294" t="s">
        <v>30</v>
      </c>
      <c r="N294" s="37">
        <v>1480</v>
      </c>
      <c r="O294" s="36">
        <v>0.15339966832504145</v>
      </c>
      <c r="P294" t="s">
        <v>620</v>
      </c>
    </row>
    <row r="295" spans="1:19" x14ac:dyDescent="0.3">
      <c r="A295" t="s">
        <v>509</v>
      </c>
      <c r="B295" t="s">
        <v>33</v>
      </c>
      <c r="C295" s="34">
        <v>45524</v>
      </c>
      <c r="D295" t="s">
        <v>16</v>
      </c>
      <c r="E295" t="s">
        <v>82</v>
      </c>
      <c r="F295" s="37">
        <v>2603</v>
      </c>
      <c r="G295" s="37">
        <v>690</v>
      </c>
      <c r="H295" s="37">
        <v>205</v>
      </c>
      <c r="I295" s="37">
        <v>13015</v>
      </c>
      <c r="J295" s="37">
        <v>12130</v>
      </c>
      <c r="K295" s="37">
        <v>20</v>
      </c>
      <c r="L295" t="s">
        <v>62</v>
      </c>
      <c r="M295" t="s">
        <v>25</v>
      </c>
      <c r="N295" s="37">
        <v>3498</v>
      </c>
      <c r="O295" s="36">
        <v>0.26876680752977333</v>
      </c>
      <c r="P295" t="s">
        <v>620</v>
      </c>
    </row>
    <row r="296" spans="1:19" x14ac:dyDescent="0.3">
      <c r="A296" t="s">
        <v>511</v>
      </c>
      <c r="B296" t="s">
        <v>14</v>
      </c>
      <c r="C296" s="34">
        <v>45687</v>
      </c>
      <c r="D296" t="s">
        <v>52</v>
      </c>
      <c r="E296" t="s">
        <v>132</v>
      </c>
      <c r="F296" s="37">
        <v>59</v>
      </c>
      <c r="G296" s="37">
        <v>163</v>
      </c>
      <c r="H296" s="37">
        <v>93</v>
      </c>
      <c r="I296" s="37">
        <v>590</v>
      </c>
      <c r="J296" s="37">
        <v>475</v>
      </c>
      <c r="K296" s="37">
        <v>293</v>
      </c>
      <c r="L296" t="s">
        <v>30</v>
      </c>
      <c r="M296" t="s">
        <v>25</v>
      </c>
      <c r="N296" s="37">
        <v>315</v>
      </c>
      <c r="O296" s="36">
        <v>0.53389830508474578</v>
      </c>
      <c r="P296" t="s">
        <v>620</v>
      </c>
    </row>
    <row r="297" spans="1:19" x14ac:dyDescent="0.3">
      <c r="A297" t="s">
        <v>513</v>
      </c>
      <c r="B297" t="s">
        <v>14</v>
      </c>
      <c r="C297" s="34">
        <v>45708</v>
      </c>
      <c r="D297" t="s">
        <v>45</v>
      </c>
      <c r="E297" t="s">
        <v>49</v>
      </c>
      <c r="F297" s="37">
        <v>1877</v>
      </c>
      <c r="G297" s="37">
        <v>745</v>
      </c>
      <c r="H297" s="37">
        <v>225</v>
      </c>
      <c r="I297" s="37">
        <v>11262</v>
      </c>
      <c r="J297" s="37">
        <v>10967</v>
      </c>
      <c r="K297" s="37">
        <v>41</v>
      </c>
      <c r="L297" t="s">
        <v>37</v>
      </c>
      <c r="M297" t="s">
        <v>38</v>
      </c>
      <c r="N297" s="37">
        <v>2847</v>
      </c>
      <c r="O297" s="36">
        <v>0.25279701651571657</v>
      </c>
      <c r="P297" t="s">
        <v>620</v>
      </c>
    </row>
    <row r="298" spans="1:19" x14ac:dyDescent="0.3">
      <c r="A298" t="s">
        <v>515</v>
      </c>
      <c r="B298" t="s">
        <v>43</v>
      </c>
      <c r="C298" s="34">
        <v>45621</v>
      </c>
      <c r="D298" t="s">
        <v>35</v>
      </c>
      <c r="E298" t="s">
        <v>71</v>
      </c>
      <c r="F298" s="37">
        <v>4182</v>
      </c>
      <c r="G298" s="37">
        <v>640</v>
      </c>
      <c r="H298" s="37">
        <v>240</v>
      </c>
      <c r="I298" s="37">
        <v>50184</v>
      </c>
      <c r="J298" s="37">
        <v>49351</v>
      </c>
      <c r="K298" s="37">
        <v>10</v>
      </c>
      <c r="L298" t="s">
        <v>30</v>
      </c>
      <c r="M298" t="s">
        <v>31</v>
      </c>
      <c r="N298" s="37">
        <v>5062</v>
      </c>
      <c r="O298" s="36">
        <v>0.10086880280567512</v>
      </c>
      <c r="P298" t="s">
        <v>620</v>
      </c>
    </row>
    <row r="299" spans="1:19" x14ac:dyDescent="0.3">
      <c r="A299" t="s">
        <v>516</v>
      </c>
      <c r="B299" t="s">
        <v>14</v>
      </c>
      <c r="C299" s="34">
        <v>45569</v>
      </c>
      <c r="D299" t="s">
        <v>16</v>
      </c>
      <c r="E299" t="s">
        <v>17</v>
      </c>
      <c r="F299" s="37">
        <v>4187</v>
      </c>
      <c r="G299" s="37">
        <v>66</v>
      </c>
      <c r="H299" s="37">
        <v>31</v>
      </c>
      <c r="I299" s="37">
        <v>66992</v>
      </c>
      <c r="J299" s="37">
        <v>66614</v>
      </c>
      <c r="K299" s="37">
        <v>62</v>
      </c>
      <c r="L299" t="s">
        <v>62</v>
      </c>
      <c r="N299" s="37">
        <v>4284</v>
      </c>
      <c r="O299" s="36">
        <v>6.3947934081681396E-2</v>
      </c>
      <c r="P299" t="s">
        <v>25</v>
      </c>
      <c r="Q299" s="34">
        <v>45566</v>
      </c>
      <c r="R299" s="34">
        <v>45596</v>
      </c>
      <c r="S299" s="35">
        <v>200000</v>
      </c>
    </row>
    <row r="300" spans="1:19" x14ac:dyDescent="0.3">
      <c r="A300" t="s">
        <v>517</v>
      </c>
      <c r="B300" t="s">
        <v>33</v>
      </c>
      <c r="C300" s="34">
        <v>45760</v>
      </c>
      <c r="D300" t="s">
        <v>16</v>
      </c>
      <c r="E300" t="s">
        <v>82</v>
      </c>
      <c r="F300" s="37">
        <v>4579</v>
      </c>
      <c r="G300" s="37">
        <v>125</v>
      </c>
      <c r="H300" s="37">
        <v>300</v>
      </c>
      <c r="I300" s="37">
        <v>59527</v>
      </c>
      <c r="J300" s="37">
        <v>59400</v>
      </c>
      <c r="K300" s="37">
        <v>269</v>
      </c>
      <c r="L300" t="s">
        <v>37</v>
      </c>
      <c r="M300" t="s">
        <v>19</v>
      </c>
      <c r="N300" s="37">
        <v>5004</v>
      </c>
      <c r="O300" s="36">
        <v>8.4062694239588759E-2</v>
      </c>
      <c r="P300" t="s">
        <v>620</v>
      </c>
    </row>
    <row r="301" spans="1:19" x14ac:dyDescent="0.3">
      <c r="A301" t="s">
        <v>519</v>
      </c>
      <c r="B301" t="s">
        <v>33</v>
      </c>
      <c r="C301" s="34">
        <v>45601</v>
      </c>
      <c r="D301" t="s">
        <v>74</v>
      </c>
      <c r="E301" t="s">
        <v>85</v>
      </c>
      <c r="F301" s="37">
        <v>4561</v>
      </c>
      <c r="G301" s="37">
        <v>51</v>
      </c>
      <c r="H301" s="37">
        <v>441</v>
      </c>
      <c r="I301" s="37">
        <v>22805</v>
      </c>
      <c r="J301" s="37">
        <v>21890</v>
      </c>
      <c r="K301" s="37">
        <v>45</v>
      </c>
      <c r="L301" t="s">
        <v>30</v>
      </c>
      <c r="M301" t="s">
        <v>25</v>
      </c>
      <c r="N301" s="37">
        <v>5053</v>
      </c>
      <c r="O301" s="36">
        <v>0.22157421618066214</v>
      </c>
      <c r="P301" t="s">
        <v>620</v>
      </c>
    </row>
    <row r="302" spans="1:19" x14ac:dyDescent="0.3">
      <c r="A302" t="s">
        <v>521</v>
      </c>
      <c r="B302" t="s">
        <v>27</v>
      </c>
      <c r="C302" s="34">
        <v>45672</v>
      </c>
      <c r="D302" t="s">
        <v>16</v>
      </c>
      <c r="E302" t="s">
        <v>29</v>
      </c>
      <c r="F302" s="37">
        <v>3774</v>
      </c>
      <c r="G302" s="37">
        <v>239</v>
      </c>
      <c r="H302" s="37">
        <v>39</v>
      </c>
      <c r="I302" s="37">
        <v>60384</v>
      </c>
      <c r="J302" s="37">
        <v>59490</v>
      </c>
      <c r="K302" s="37">
        <v>241</v>
      </c>
      <c r="L302" t="s">
        <v>30</v>
      </c>
      <c r="M302" t="s">
        <v>31</v>
      </c>
      <c r="N302" s="37">
        <v>4052</v>
      </c>
      <c r="O302" s="36">
        <v>6.7103868574456813E-2</v>
      </c>
      <c r="P302" t="s">
        <v>620</v>
      </c>
    </row>
    <row r="303" spans="1:19" x14ac:dyDescent="0.3">
      <c r="A303" t="s">
        <v>522</v>
      </c>
      <c r="B303" t="s">
        <v>33</v>
      </c>
      <c r="C303" s="34">
        <v>45582</v>
      </c>
      <c r="D303" t="s">
        <v>74</v>
      </c>
      <c r="E303" t="s">
        <v>85</v>
      </c>
      <c r="F303" s="37">
        <v>3575</v>
      </c>
      <c r="G303" s="37">
        <v>749</v>
      </c>
      <c r="H303" s="37">
        <v>111</v>
      </c>
      <c r="I303" s="37">
        <v>21450</v>
      </c>
      <c r="J303" s="37">
        <v>20785</v>
      </c>
      <c r="K303" s="37">
        <v>195</v>
      </c>
      <c r="L303" t="s">
        <v>37</v>
      </c>
      <c r="M303" t="s">
        <v>25</v>
      </c>
      <c r="N303" s="37">
        <v>4435</v>
      </c>
      <c r="O303" s="36">
        <v>0.20675990675990677</v>
      </c>
      <c r="P303" t="s">
        <v>25</v>
      </c>
      <c r="Q303" s="34">
        <v>45566</v>
      </c>
      <c r="R303" s="34">
        <v>45596</v>
      </c>
      <c r="S303" s="35">
        <v>200000</v>
      </c>
    </row>
    <row r="304" spans="1:19" x14ac:dyDescent="0.3">
      <c r="A304" t="s">
        <v>524</v>
      </c>
      <c r="B304" t="s">
        <v>33</v>
      </c>
      <c r="C304" s="34">
        <v>45743</v>
      </c>
      <c r="D304" t="s">
        <v>22</v>
      </c>
      <c r="E304" t="s">
        <v>113</v>
      </c>
      <c r="F304" s="37">
        <v>4941</v>
      </c>
      <c r="G304" s="37">
        <v>414</v>
      </c>
      <c r="H304" s="37">
        <v>266</v>
      </c>
      <c r="I304" s="37">
        <v>39528</v>
      </c>
      <c r="J304" s="37">
        <v>39154</v>
      </c>
      <c r="K304" s="37">
        <v>217</v>
      </c>
      <c r="L304" t="s">
        <v>30</v>
      </c>
      <c r="M304" t="s">
        <v>31</v>
      </c>
      <c r="N304" s="37">
        <v>5621</v>
      </c>
      <c r="O304" s="36">
        <v>0.14220299534507186</v>
      </c>
      <c r="P304" t="s">
        <v>38</v>
      </c>
      <c r="Q304" s="34">
        <v>45717</v>
      </c>
      <c r="R304" s="34">
        <v>45747</v>
      </c>
      <c r="S304" s="35">
        <v>180000</v>
      </c>
    </row>
    <row r="305" spans="1:19" x14ac:dyDescent="0.3">
      <c r="A305" t="s">
        <v>525</v>
      </c>
      <c r="B305" t="s">
        <v>27</v>
      </c>
      <c r="C305" s="34">
        <v>45577</v>
      </c>
      <c r="D305" t="s">
        <v>35</v>
      </c>
      <c r="E305" t="s">
        <v>154</v>
      </c>
      <c r="F305" s="37">
        <v>3641</v>
      </c>
      <c r="G305" s="37">
        <v>226</v>
      </c>
      <c r="H305" s="37">
        <v>46</v>
      </c>
      <c r="I305" s="37">
        <v>40051</v>
      </c>
      <c r="J305" s="37">
        <v>39319</v>
      </c>
      <c r="K305" s="37">
        <v>296</v>
      </c>
      <c r="L305" t="s">
        <v>37</v>
      </c>
      <c r="M305" t="s">
        <v>38</v>
      </c>
      <c r="N305" s="37">
        <v>3913</v>
      </c>
      <c r="O305" s="36">
        <v>9.7700431949264685E-2</v>
      </c>
      <c r="P305" t="s">
        <v>25</v>
      </c>
      <c r="Q305" s="34">
        <v>45566</v>
      </c>
      <c r="R305" s="34">
        <v>45596</v>
      </c>
      <c r="S305" s="35">
        <v>200000</v>
      </c>
    </row>
    <row r="306" spans="1:19" x14ac:dyDescent="0.3">
      <c r="A306" t="s">
        <v>527</v>
      </c>
      <c r="B306" t="s">
        <v>14</v>
      </c>
      <c r="C306" s="34">
        <v>45658</v>
      </c>
      <c r="D306" t="s">
        <v>45</v>
      </c>
      <c r="E306" t="s">
        <v>49</v>
      </c>
      <c r="F306" s="37">
        <v>3535</v>
      </c>
      <c r="G306" s="37">
        <v>494</v>
      </c>
      <c r="H306" s="37">
        <v>152</v>
      </c>
      <c r="I306" s="37">
        <v>53025</v>
      </c>
      <c r="J306" s="37">
        <v>52791</v>
      </c>
      <c r="K306" s="37">
        <v>44</v>
      </c>
      <c r="L306" t="s">
        <v>30</v>
      </c>
      <c r="M306" t="s">
        <v>38</v>
      </c>
      <c r="N306" s="37">
        <v>4181</v>
      </c>
      <c r="O306" s="36">
        <v>7.8849599245638849E-2</v>
      </c>
      <c r="P306" t="s">
        <v>31</v>
      </c>
      <c r="Q306" s="34">
        <v>45651</v>
      </c>
      <c r="R306" s="34">
        <v>45667</v>
      </c>
      <c r="S306" s="35">
        <v>250000</v>
      </c>
    </row>
    <row r="307" spans="1:19" x14ac:dyDescent="0.3">
      <c r="A307" t="s">
        <v>528</v>
      </c>
      <c r="B307" t="s">
        <v>43</v>
      </c>
      <c r="C307" s="34">
        <v>45509</v>
      </c>
      <c r="D307" t="s">
        <v>16</v>
      </c>
      <c r="E307" t="s">
        <v>65</v>
      </c>
      <c r="F307" s="37">
        <v>1741</v>
      </c>
      <c r="G307" s="37">
        <v>831</v>
      </c>
      <c r="H307" s="37">
        <v>345</v>
      </c>
      <c r="I307" s="37">
        <v>17410</v>
      </c>
      <c r="J307" s="37">
        <v>16844</v>
      </c>
      <c r="K307" s="37">
        <v>58</v>
      </c>
      <c r="L307" t="s">
        <v>37</v>
      </c>
      <c r="M307" t="s">
        <v>31</v>
      </c>
      <c r="N307" s="37">
        <v>2917</v>
      </c>
      <c r="O307" s="36">
        <v>0.16754738655944859</v>
      </c>
      <c r="P307" t="s">
        <v>620</v>
      </c>
    </row>
    <row r="308" spans="1:19" x14ac:dyDescent="0.3">
      <c r="A308" t="s">
        <v>529</v>
      </c>
      <c r="B308" t="s">
        <v>14</v>
      </c>
      <c r="C308" s="34">
        <v>45450</v>
      </c>
      <c r="D308" t="s">
        <v>45</v>
      </c>
      <c r="E308" t="s">
        <v>49</v>
      </c>
      <c r="F308" s="37">
        <v>1556</v>
      </c>
      <c r="G308" s="37">
        <v>195</v>
      </c>
      <c r="H308" s="37">
        <v>131</v>
      </c>
      <c r="I308" s="37">
        <v>9336</v>
      </c>
      <c r="J308" s="37">
        <v>8875</v>
      </c>
      <c r="K308" s="37">
        <v>137</v>
      </c>
      <c r="L308" t="s">
        <v>30</v>
      </c>
      <c r="M308" t="s">
        <v>25</v>
      </c>
      <c r="N308" s="37">
        <v>1882</v>
      </c>
      <c r="O308" s="36">
        <v>0.2015852613538989</v>
      </c>
      <c r="P308" t="s">
        <v>620</v>
      </c>
    </row>
    <row r="309" spans="1:19" x14ac:dyDescent="0.3">
      <c r="A309" t="s">
        <v>531</v>
      </c>
      <c r="B309" t="s">
        <v>43</v>
      </c>
      <c r="C309" s="34">
        <v>45753</v>
      </c>
      <c r="D309" t="s">
        <v>52</v>
      </c>
      <c r="E309" t="s">
        <v>59</v>
      </c>
      <c r="F309" s="37">
        <v>4236</v>
      </c>
      <c r="G309" s="37">
        <v>711</v>
      </c>
      <c r="H309" s="37">
        <v>298</v>
      </c>
      <c r="I309" s="37">
        <v>21180</v>
      </c>
      <c r="J309" s="37">
        <v>20516</v>
      </c>
      <c r="K309" s="37">
        <v>238</v>
      </c>
      <c r="L309" t="s">
        <v>62</v>
      </c>
      <c r="M309" t="s">
        <v>19</v>
      </c>
      <c r="N309" s="37">
        <v>5245</v>
      </c>
      <c r="O309" s="36">
        <v>0.24763928234183191</v>
      </c>
      <c r="P309" t="s">
        <v>620</v>
      </c>
    </row>
    <row r="310" spans="1:19" x14ac:dyDescent="0.3">
      <c r="A310" t="s">
        <v>532</v>
      </c>
      <c r="B310" t="s">
        <v>14</v>
      </c>
      <c r="C310" s="34">
        <v>45622</v>
      </c>
      <c r="D310" t="s">
        <v>22</v>
      </c>
      <c r="E310" t="s">
        <v>23</v>
      </c>
      <c r="F310" s="37">
        <v>4516</v>
      </c>
      <c r="G310" s="37">
        <v>836</v>
      </c>
      <c r="H310" s="37">
        <v>169</v>
      </c>
      <c r="I310" s="37">
        <v>49676</v>
      </c>
      <c r="J310" s="37">
        <v>49257</v>
      </c>
      <c r="K310" s="37">
        <v>282</v>
      </c>
      <c r="L310" t="s">
        <v>37</v>
      </c>
      <c r="M310" t="s">
        <v>38</v>
      </c>
      <c r="N310" s="37">
        <v>5521</v>
      </c>
      <c r="O310" s="36">
        <v>0.11114018842096787</v>
      </c>
      <c r="P310" t="s">
        <v>620</v>
      </c>
    </row>
    <row r="311" spans="1:19" x14ac:dyDescent="0.3">
      <c r="A311" t="s">
        <v>534</v>
      </c>
      <c r="B311" t="s">
        <v>27</v>
      </c>
      <c r="C311" s="34">
        <v>45537</v>
      </c>
      <c r="D311" t="s">
        <v>52</v>
      </c>
      <c r="E311" t="s">
        <v>53</v>
      </c>
      <c r="F311" s="37">
        <v>4905</v>
      </c>
      <c r="G311" s="37">
        <v>845</v>
      </c>
      <c r="H311" s="37">
        <v>129</v>
      </c>
      <c r="I311" s="37">
        <v>98100</v>
      </c>
      <c r="J311" s="37">
        <v>97772</v>
      </c>
      <c r="K311" s="37">
        <v>279</v>
      </c>
      <c r="L311" t="s">
        <v>30</v>
      </c>
      <c r="M311" t="s">
        <v>25</v>
      </c>
      <c r="N311" s="37">
        <v>5879</v>
      </c>
      <c r="O311" s="36">
        <v>5.9928644240570844E-2</v>
      </c>
      <c r="P311" t="s">
        <v>620</v>
      </c>
    </row>
    <row r="312" spans="1:19" x14ac:dyDescent="0.3">
      <c r="A312" t="s">
        <v>535</v>
      </c>
      <c r="B312" t="s">
        <v>27</v>
      </c>
      <c r="C312" s="34">
        <v>45586</v>
      </c>
      <c r="D312" t="s">
        <v>74</v>
      </c>
      <c r="E312" t="s">
        <v>219</v>
      </c>
      <c r="F312" s="37">
        <v>4275</v>
      </c>
      <c r="G312" s="37">
        <v>680</v>
      </c>
      <c r="H312" s="37">
        <v>385</v>
      </c>
      <c r="I312" s="37">
        <v>64125</v>
      </c>
      <c r="J312" s="37">
        <v>63650</v>
      </c>
      <c r="K312" s="37">
        <v>104</v>
      </c>
      <c r="L312" t="s">
        <v>37</v>
      </c>
      <c r="M312" t="s">
        <v>38</v>
      </c>
      <c r="N312" s="37">
        <v>5340</v>
      </c>
      <c r="O312" s="36">
        <v>8.3274853801169585E-2</v>
      </c>
      <c r="P312" t="s">
        <v>25</v>
      </c>
      <c r="Q312" s="34">
        <v>45566</v>
      </c>
      <c r="R312" s="34">
        <v>45596</v>
      </c>
      <c r="S312" s="35">
        <v>200000</v>
      </c>
    </row>
    <row r="313" spans="1:19" x14ac:dyDescent="0.3">
      <c r="A313" t="s">
        <v>535</v>
      </c>
      <c r="B313" t="s">
        <v>27</v>
      </c>
      <c r="C313" s="34">
        <v>45586</v>
      </c>
      <c r="D313" t="s">
        <v>74</v>
      </c>
      <c r="E313" t="s">
        <v>219</v>
      </c>
      <c r="F313" s="37">
        <v>4275</v>
      </c>
      <c r="G313" s="37">
        <v>680</v>
      </c>
      <c r="H313" s="37">
        <v>385</v>
      </c>
      <c r="I313" s="37">
        <v>64125</v>
      </c>
      <c r="J313" s="37">
        <v>63650</v>
      </c>
      <c r="K313" s="37">
        <v>104</v>
      </c>
      <c r="L313" t="s">
        <v>30</v>
      </c>
      <c r="M313" t="s">
        <v>38</v>
      </c>
      <c r="N313" s="37">
        <v>5340</v>
      </c>
      <c r="O313" s="36">
        <v>8.3274853801169585E-2</v>
      </c>
      <c r="P313" t="s">
        <v>25</v>
      </c>
      <c r="Q313" s="34">
        <v>45566</v>
      </c>
      <c r="R313" s="34">
        <v>45596</v>
      </c>
      <c r="S313" s="35">
        <v>200000</v>
      </c>
    </row>
    <row r="314" spans="1:19" x14ac:dyDescent="0.3">
      <c r="A314" t="s">
        <v>535</v>
      </c>
      <c r="B314" t="s">
        <v>27</v>
      </c>
      <c r="C314" s="34">
        <v>45586</v>
      </c>
      <c r="D314" t="s">
        <v>74</v>
      </c>
      <c r="E314" t="s">
        <v>219</v>
      </c>
      <c r="F314" s="37">
        <v>4275</v>
      </c>
      <c r="G314" s="37">
        <v>680</v>
      </c>
      <c r="H314" s="37">
        <v>385</v>
      </c>
      <c r="I314" s="37">
        <v>64125</v>
      </c>
      <c r="J314" s="37">
        <v>63650</v>
      </c>
      <c r="K314" s="37">
        <v>104</v>
      </c>
      <c r="L314" t="s">
        <v>618</v>
      </c>
      <c r="M314" t="s">
        <v>38</v>
      </c>
      <c r="N314" s="37">
        <v>5340</v>
      </c>
      <c r="O314" s="36">
        <v>8.3274853801169585E-2</v>
      </c>
      <c r="P314" t="s">
        <v>25</v>
      </c>
      <c r="Q314" s="34">
        <v>45566</v>
      </c>
      <c r="R314" s="34">
        <v>45596</v>
      </c>
      <c r="S314" s="35">
        <v>200000</v>
      </c>
    </row>
    <row r="315" spans="1:19" x14ac:dyDescent="0.3">
      <c r="A315" t="s">
        <v>536</v>
      </c>
      <c r="B315" t="s">
        <v>27</v>
      </c>
      <c r="C315" s="34">
        <v>45738</v>
      </c>
      <c r="D315" t="s">
        <v>52</v>
      </c>
      <c r="E315" t="s">
        <v>53</v>
      </c>
      <c r="F315" s="37">
        <v>3166</v>
      </c>
      <c r="G315" s="37">
        <v>90</v>
      </c>
      <c r="H315" s="37">
        <v>341</v>
      </c>
      <c r="I315" s="37">
        <v>56988</v>
      </c>
      <c r="J315" s="37">
        <v>56125</v>
      </c>
      <c r="K315" s="37">
        <v>135</v>
      </c>
      <c r="L315" t="s">
        <v>37</v>
      </c>
      <c r="M315" t="s">
        <v>25</v>
      </c>
      <c r="N315" s="37">
        <v>3597</v>
      </c>
      <c r="O315" s="36">
        <v>6.3118551273952411E-2</v>
      </c>
      <c r="P315" t="s">
        <v>38</v>
      </c>
      <c r="Q315" s="34">
        <v>45717</v>
      </c>
      <c r="R315" s="34">
        <v>45747</v>
      </c>
      <c r="S315" s="35">
        <v>180000</v>
      </c>
    </row>
    <row r="316" spans="1:19" x14ac:dyDescent="0.3">
      <c r="A316" t="s">
        <v>538</v>
      </c>
      <c r="B316" t="s">
        <v>33</v>
      </c>
      <c r="C316" s="34">
        <v>45568</v>
      </c>
      <c r="D316" t="s">
        <v>74</v>
      </c>
      <c r="E316" t="s">
        <v>85</v>
      </c>
      <c r="F316" s="37">
        <v>1488</v>
      </c>
      <c r="G316" s="37">
        <v>417</v>
      </c>
      <c r="H316" s="37">
        <v>168</v>
      </c>
      <c r="I316" s="37">
        <v>19344</v>
      </c>
      <c r="J316" s="37">
        <v>18395</v>
      </c>
      <c r="K316" s="37">
        <v>30</v>
      </c>
      <c r="L316" t="s">
        <v>62</v>
      </c>
      <c r="M316" t="s">
        <v>31</v>
      </c>
      <c r="N316" s="37">
        <v>2073</v>
      </c>
      <c r="O316" s="36">
        <v>0.1071650124069479</v>
      </c>
      <c r="P316" t="s">
        <v>25</v>
      </c>
      <c r="Q316" s="34">
        <v>45566</v>
      </c>
      <c r="R316" s="34">
        <v>45596</v>
      </c>
      <c r="S316" s="35">
        <v>200000</v>
      </c>
    </row>
    <row r="317" spans="1:19" x14ac:dyDescent="0.3">
      <c r="A317" t="s">
        <v>540</v>
      </c>
      <c r="B317" t="s">
        <v>14</v>
      </c>
      <c r="C317" s="34">
        <v>45786</v>
      </c>
      <c r="D317" t="s">
        <v>16</v>
      </c>
      <c r="E317" t="s">
        <v>17</v>
      </c>
      <c r="F317" s="37">
        <v>3367</v>
      </c>
      <c r="G317" s="37">
        <v>302</v>
      </c>
      <c r="H317" s="37">
        <v>57</v>
      </c>
      <c r="I317" s="37">
        <v>63973</v>
      </c>
      <c r="J317" s="37">
        <v>63789</v>
      </c>
      <c r="K317" s="37">
        <v>157</v>
      </c>
      <c r="L317" t="s">
        <v>62</v>
      </c>
      <c r="M317" t="s">
        <v>25</v>
      </c>
      <c r="N317" s="37">
        <v>3726</v>
      </c>
      <c r="O317" s="36">
        <v>5.8243321401216137E-2</v>
      </c>
      <c r="P317" t="s">
        <v>620</v>
      </c>
    </row>
    <row r="318" spans="1:19" x14ac:dyDescent="0.3">
      <c r="A318" t="s">
        <v>542</v>
      </c>
      <c r="B318" t="s">
        <v>14</v>
      </c>
      <c r="C318" s="34">
        <v>45552</v>
      </c>
      <c r="D318" t="s">
        <v>22</v>
      </c>
      <c r="E318" t="s">
        <v>23</v>
      </c>
      <c r="F318" s="37">
        <v>571</v>
      </c>
      <c r="G318" s="37">
        <v>190</v>
      </c>
      <c r="H318" s="37">
        <v>352</v>
      </c>
      <c r="I318" s="37">
        <v>9707</v>
      </c>
      <c r="J318" s="37">
        <v>9418</v>
      </c>
      <c r="K318" s="37">
        <v>231</v>
      </c>
      <c r="L318" t="s">
        <v>30</v>
      </c>
      <c r="M318" t="s">
        <v>38</v>
      </c>
      <c r="N318" s="37">
        <v>1113</v>
      </c>
      <c r="O318" s="36">
        <v>0.11465952405480581</v>
      </c>
      <c r="P318" t="s">
        <v>620</v>
      </c>
    </row>
    <row r="319" spans="1:19" x14ac:dyDescent="0.3">
      <c r="A319" t="s">
        <v>543</v>
      </c>
      <c r="B319" t="s">
        <v>27</v>
      </c>
      <c r="C319" s="34">
        <v>45491</v>
      </c>
      <c r="D319" t="s">
        <v>22</v>
      </c>
      <c r="E319" t="s">
        <v>104</v>
      </c>
      <c r="F319" s="37">
        <v>4021</v>
      </c>
      <c r="G319" s="37">
        <v>794</v>
      </c>
      <c r="H319" s="37">
        <v>77</v>
      </c>
      <c r="I319" s="37">
        <v>36189</v>
      </c>
      <c r="J319" s="37">
        <v>35505</v>
      </c>
      <c r="K319" s="37">
        <v>174</v>
      </c>
      <c r="L319" t="s">
        <v>37</v>
      </c>
      <c r="N319" s="37">
        <v>4892</v>
      </c>
      <c r="O319" s="36">
        <v>0.13517919809886983</v>
      </c>
      <c r="P319" t="s">
        <v>620</v>
      </c>
    </row>
    <row r="320" spans="1:19" x14ac:dyDescent="0.3">
      <c r="A320" t="s">
        <v>544</v>
      </c>
      <c r="B320" t="s">
        <v>27</v>
      </c>
      <c r="C320" s="34">
        <v>45560</v>
      </c>
      <c r="D320" t="s">
        <v>74</v>
      </c>
      <c r="E320" t="s">
        <v>219</v>
      </c>
      <c r="F320" s="37">
        <v>3389</v>
      </c>
      <c r="G320" s="37">
        <v>344</v>
      </c>
      <c r="H320" s="37">
        <v>229</v>
      </c>
      <c r="I320" s="37">
        <v>20334</v>
      </c>
      <c r="J320" s="37">
        <v>19443</v>
      </c>
      <c r="K320" s="37">
        <v>228</v>
      </c>
      <c r="L320" t="s">
        <v>62</v>
      </c>
      <c r="M320" t="s">
        <v>31</v>
      </c>
      <c r="N320" s="37">
        <v>3962</v>
      </c>
      <c r="O320" s="36">
        <v>0.19484607062063539</v>
      </c>
      <c r="P320" t="s">
        <v>620</v>
      </c>
    </row>
    <row r="321" spans="1:19" x14ac:dyDescent="0.3">
      <c r="A321" t="s">
        <v>546</v>
      </c>
      <c r="B321" t="s">
        <v>33</v>
      </c>
      <c r="C321" s="34">
        <v>45519</v>
      </c>
      <c r="D321" t="s">
        <v>16</v>
      </c>
      <c r="E321" t="s">
        <v>82</v>
      </c>
      <c r="F321" s="37">
        <v>1164</v>
      </c>
      <c r="G321" s="37">
        <v>616</v>
      </c>
      <c r="H321" s="37">
        <v>324</v>
      </c>
      <c r="I321" s="37">
        <v>6984</v>
      </c>
      <c r="J321" s="37">
        <v>6636</v>
      </c>
      <c r="K321" s="37">
        <v>82</v>
      </c>
      <c r="L321" t="s">
        <v>37</v>
      </c>
      <c r="M321" t="s">
        <v>19</v>
      </c>
      <c r="N321" s="37">
        <v>2104</v>
      </c>
      <c r="O321" s="36">
        <v>0.30126002290950743</v>
      </c>
      <c r="P321" t="s">
        <v>620</v>
      </c>
    </row>
    <row r="322" spans="1:19" x14ac:dyDescent="0.3">
      <c r="A322" t="s">
        <v>547</v>
      </c>
      <c r="B322" t="s">
        <v>27</v>
      </c>
      <c r="C322" s="34">
        <v>45764</v>
      </c>
      <c r="D322" t="s">
        <v>45</v>
      </c>
      <c r="E322" t="s">
        <v>68</v>
      </c>
      <c r="F322" s="37">
        <v>4780</v>
      </c>
      <c r="G322" s="37">
        <v>691</v>
      </c>
      <c r="H322" s="37">
        <v>380</v>
      </c>
      <c r="I322" s="37">
        <v>86040</v>
      </c>
      <c r="J322" s="37">
        <v>85743</v>
      </c>
      <c r="K322" s="37">
        <v>262</v>
      </c>
      <c r="L322" t="s">
        <v>62</v>
      </c>
      <c r="M322" t="s">
        <v>31</v>
      </c>
      <c r="N322" s="37">
        <v>5851</v>
      </c>
      <c r="O322" s="36">
        <v>6.800325430032543E-2</v>
      </c>
      <c r="P322" t="s">
        <v>620</v>
      </c>
    </row>
    <row r="323" spans="1:19" x14ac:dyDescent="0.3">
      <c r="A323" t="s">
        <v>549</v>
      </c>
      <c r="B323" t="s">
        <v>43</v>
      </c>
      <c r="C323" s="34">
        <v>45624</v>
      </c>
      <c r="D323" t="s">
        <v>45</v>
      </c>
      <c r="E323" t="s">
        <v>46</v>
      </c>
      <c r="F323" s="37">
        <v>2751</v>
      </c>
      <c r="G323" s="37">
        <v>33</v>
      </c>
      <c r="H323" s="37">
        <v>430</v>
      </c>
      <c r="I323" s="37">
        <v>44016</v>
      </c>
      <c r="J323" s="37">
        <v>43415</v>
      </c>
      <c r="K323" s="37">
        <v>129</v>
      </c>
      <c r="L323" t="s">
        <v>62</v>
      </c>
      <c r="N323" s="37">
        <v>3214</v>
      </c>
      <c r="O323" s="36">
        <v>7.3018902217375503E-2</v>
      </c>
      <c r="P323" t="s">
        <v>620</v>
      </c>
    </row>
    <row r="324" spans="1:19" x14ac:dyDescent="0.3">
      <c r="A324" t="s">
        <v>550</v>
      </c>
      <c r="B324" t="s">
        <v>33</v>
      </c>
      <c r="C324" s="34">
        <v>45646</v>
      </c>
      <c r="D324" t="s">
        <v>45</v>
      </c>
      <c r="E324" t="s">
        <v>88</v>
      </c>
      <c r="F324" s="37">
        <v>2107</v>
      </c>
      <c r="G324" s="37">
        <v>550</v>
      </c>
      <c r="H324" s="37">
        <v>349</v>
      </c>
      <c r="I324" s="37">
        <v>35819</v>
      </c>
      <c r="J324" s="37">
        <v>35340</v>
      </c>
      <c r="K324" s="37">
        <v>191</v>
      </c>
      <c r="L324" t="s">
        <v>37</v>
      </c>
      <c r="M324" t="s">
        <v>38</v>
      </c>
      <c r="N324" s="37">
        <v>3006</v>
      </c>
      <c r="O324" s="36">
        <v>8.3921940869371006E-2</v>
      </c>
      <c r="P324" t="s">
        <v>620</v>
      </c>
    </row>
    <row r="325" spans="1:19" x14ac:dyDescent="0.3">
      <c r="A325" t="s">
        <v>552</v>
      </c>
      <c r="B325" t="s">
        <v>43</v>
      </c>
      <c r="C325" s="34">
        <v>45602</v>
      </c>
      <c r="D325" t="s">
        <v>74</v>
      </c>
      <c r="E325" t="s">
        <v>75</v>
      </c>
      <c r="F325" s="37">
        <v>4663</v>
      </c>
      <c r="G325" s="37">
        <v>145</v>
      </c>
      <c r="H325" s="37">
        <v>225</v>
      </c>
      <c r="I325" s="37">
        <v>69945</v>
      </c>
      <c r="J325" s="37">
        <v>69596</v>
      </c>
      <c r="K325" s="37">
        <v>35</v>
      </c>
      <c r="L325" t="s">
        <v>37</v>
      </c>
      <c r="M325" t="s">
        <v>38</v>
      </c>
      <c r="N325" s="37">
        <v>5033</v>
      </c>
      <c r="O325" s="36">
        <v>7.1956537279290869E-2</v>
      </c>
      <c r="P325" t="s">
        <v>620</v>
      </c>
    </row>
    <row r="326" spans="1:19" x14ac:dyDescent="0.3">
      <c r="A326" t="s">
        <v>553</v>
      </c>
      <c r="B326" t="s">
        <v>43</v>
      </c>
      <c r="C326" s="34">
        <v>45613</v>
      </c>
      <c r="D326" t="s">
        <v>22</v>
      </c>
      <c r="E326" t="s">
        <v>56</v>
      </c>
      <c r="F326" s="37">
        <v>880</v>
      </c>
      <c r="G326" s="37">
        <v>297</v>
      </c>
      <c r="H326" s="37">
        <v>345</v>
      </c>
      <c r="I326" s="37">
        <v>12320</v>
      </c>
      <c r="J326" s="37">
        <v>11978</v>
      </c>
      <c r="K326" s="37">
        <v>238</v>
      </c>
      <c r="L326" t="s">
        <v>30</v>
      </c>
      <c r="N326" s="37">
        <v>1522</v>
      </c>
      <c r="O326" s="36">
        <v>0.12353896103896105</v>
      </c>
      <c r="P326" t="s">
        <v>620</v>
      </c>
    </row>
    <row r="327" spans="1:19" x14ac:dyDescent="0.3">
      <c r="A327" t="s">
        <v>553</v>
      </c>
      <c r="B327" t="s">
        <v>43</v>
      </c>
      <c r="C327" s="34">
        <v>45613</v>
      </c>
      <c r="D327" t="s">
        <v>22</v>
      </c>
      <c r="E327" t="s">
        <v>56</v>
      </c>
      <c r="F327" s="37">
        <v>880</v>
      </c>
      <c r="G327" s="37">
        <v>297</v>
      </c>
      <c r="H327" s="37">
        <v>345</v>
      </c>
      <c r="I327" s="37">
        <v>12320</v>
      </c>
      <c r="J327" s="37">
        <v>11978</v>
      </c>
      <c r="K327" s="37">
        <v>238</v>
      </c>
      <c r="L327" t="s">
        <v>618</v>
      </c>
      <c r="N327" s="37">
        <v>1522</v>
      </c>
      <c r="O327" s="36">
        <v>0.12353896103896105</v>
      </c>
      <c r="P327" t="s">
        <v>620</v>
      </c>
    </row>
    <row r="328" spans="1:19" x14ac:dyDescent="0.3">
      <c r="A328" t="s">
        <v>555</v>
      </c>
      <c r="B328" t="s">
        <v>43</v>
      </c>
      <c r="C328" s="34">
        <v>45791</v>
      </c>
      <c r="D328" t="s">
        <v>22</v>
      </c>
      <c r="E328" t="s">
        <v>56</v>
      </c>
      <c r="F328" s="37">
        <v>2634</v>
      </c>
      <c r="G328" s="37">
        <v>726</v>
      </c>
      <c r="H328" s="37">
        <v>241</v>
      </c>
      <c r="I328" s="37">
        <v>28974</v>
      </c>
      <c r="J328" s="37">
        <v>28102</v>
      </c>
      <c r="K328" s="37">
        <v>277</v>
      </c>
      <c r="L328" t="s">
        <v>37</v>
      </c>
      <c r="M328" t="s">
        <v>19</v>
      </c>
      <c r="N328" s="37">
        <v>3601</v>
      </c>
      <c r="O328" s="36">
        <v>0.12428384068475185</v>
      </c>
      <c r="P328" t="s">
        <v>620</v>
      </c>
    </row>
    <row r="329" spans="1:19" x14ac:dyDescent="0.3">
      <c r="A329" t="s">
        <v>557</v>
      </c>
      <c r="B329" t="s">
        <v>43</v>
      </c>
      <c r="C329" s="34">
        <v>45462</v>
      </c>
      <c r="D329" t="s">
        <v>45</v>
      </c>
      <c r="E329" t="s">
        <v>46</v>
      </c>
      <c r="F329" s="37">
        <v>4731</v>
      </c>
      <c r="G329" s="37">
        <v>173</v>
      </c>
      <c r="H329" s="37">
        <v>276</v>
      </c>
      <c r="I329" s="37">
        <v>28386</v>
      </c>
      <c r="J329" s="37">
        <v>28185</v>
      </c>
      <c r="K329" s="37">
        <v>89</v>
      </c>
      <c r="L329" t="s">
        <v>37</v>
      </c>
      <c r="M329" t="s">
        <v>31</v>
      </c>
      <c r="N329" s="37">
        <v>5180</v>
      </c>
      <c r="O329" s="36">
        <v>0.18248432325794406</v>
      </c>
      <c r="P329" t="s">
        <v>19</v>
      </c>
      <c r="Q329" s="34">
        <v>45458</v>
      </c>
      <c r="R329" s="34">
        <v>45488</v>
      </c>
      <c r="S329" s="35">
        <v>150000</v>
      </c>
    </row>
    <row r="330" spans="1:19" x14ac:dyDescent="0.3">
      <c r="A330" t="s">
        <v>559</v>
      </c>
      <c r="B330" t="s">
        <v>14</v>
      </c>
      <c r="C330" s="34">
        <v>45783</v>
      </c>
      <c r="D330" t="s">
        <v>52</v>
      </c>
      <c r="E330" t="s">
        <v>132</v>
      </c>
      <c r="F330" s="37">
        <v>1952</v>
      </c>
      <c r="G330" s="37">
        <v>344</v>
      </c>
      <c r="H330" s="37">
        <v>287</v>
      </c>
      <c r="I330" s="37">
        <v>15616</v>
      </c>
      <c r="J330" s="37">
        <v>15403</v>
      </c>
      <c r="K330" s="37">
        <v>235</v>
      </c>
      <c r="L330" t="s">
        <v>62</v>
      </c>
      <c r="M330" t="s">
        <v>25</v>
      </c>
      <c r="N330" s="37">
        <v>2583</v>
      </c>
      <c r="O330" s="36">
        <v>0.16540727459016394</v>
      </c>
      <c r="P330" t="s">
        <v>620</v>
      </c>
    </row>
    <row r="331" spans="1:19" x14ac:dyDescent="0.3">
      <c r="A331" t="s">
        <v>559</v>
      </c>
      <c r="B331" t="s">
        <v>14</v>
      </c>
      <c r="C331" s="34">
        <v>45783</v>
      </c>
      <c r="D331" t="s">
        <v>52</v>
      </c>
      <c r="E331" t="s">
        <v>132</v>
      </c>
      <c r="F331" s="37">
        <v>1952</v>
      </c>
      <c r="G331" s="37">
        <v>344</v>
      </c>
      <c r="H331" s="37">
        <v>287</v>
      </c>
      <c r="I331" s="37">
        <v>15616</v>
      </c>
      <c r="J331" s="37">
        <v>15403</v>
      </c>
      <c r="K331" s="37">
        <v>235</v>
      </c>
      <c r="L331" t="s">
        <v>30</v>
      </c>
      <c r="M331" t="s">
        <v>25</v>
      </c>
      <c r="N331" s="37">
        <v>2583</v>
      </c>
      <c r="O331" s="36">
        <v>0.16540727459016394</v>
      </c>
      <c r="P331" t="s">
        <v>620</v>
      </c>
    </row>
    <row r="332" spans="1:19" x14ac:dyDescent="0.3">
      <c r="A332" t="s">
        <v>559</v>
      </c>
      <c r="B332" t="s">
        <v>14</v>
      </c>
      <c r="C332" s="34">
        <v>45783</v>
      </c>
      <c r="D332" t="s">
        <v>52</v>
      </c>
      <c r="E332" t="s">
        <v>132</v>
      </c>
      <c r="F332" s="37">
        <v>1952</v>
      </c>
      <c r="G332" s="37">
        <v>344</v>
      </c>
      <c r="H332" s="37">
        <v>287</v>
      </c>
      <c r="I332" s="37">
        <v>15616</v>
      </c>
      <c r="J332" s="37">
        <v>15403</v>
      </c>
      <c r="K332" s="37">
        <v>235</v>
      </c>
      <c r="L332" t="s">
        <v>618</v>
      </c>
      <c r="M332" t="s">
        <v>25</v>
      </c>
      <c r="N332" s="37">
        <v>2583</v>
      </c>
      <c r="O332" s="36">
        <v>0.16540727459016394</v>
      </c>
      <c r="P332" t="s">
        <v>620</v>
      </c>
    </row>
    <row r="333" spans="1:19" x14ac:dyDescent="0.3">
      <c r="A333" t="s">
        <v>560</v>
      </c>
      <c r="B333" t="s">
        <v>14</v>
      </c>
      <c r="C333" s="34">
        <v>45699</v>
      </c>
      <c r="D333" t="s">
        <v>74</v>
      </c>
      <c r="E333" t="s">
        <v>145</v>
      </c>
      <c r="F333" s="37">
        <v>3440</v>
      </c>
      <c r="G333" s="37">
        <v>13</v>
      </c>
      <c r="H333" s="37">
        <v>20</v>
      </c>
      <c r="I333" s="37">
        <v>58480</v>
      </c>
      <c r="J333" s="37">
        <v>58146</v>
      </c>
      <c r="K333" s="37">
        <v>210</v>
      </c>
      <c r="L333" t="s">
        <v>30</v>
      </c>
      <c r="M333" t="s">
        <v>38</v>
      </c>
      <c r="N333" s="37">
        <v>3473</v>
      </c>
      <c r="O333" s="36">
        <v>5.9387824897400819E-2</v>
      </c>
      <c r="P333" t="s">
        <v>620</v>
      </c>
    </row>
    <row r="334" spans="1:19" x14ac:dyDescent="0.3">
      <c r="A334" t="s">
        <v>560</v>
      </c>
      <c r="B334" t="s">
        <v>14</v>
      </c>
      <c r="C334" s="34">
        <v>45699</v>
      </c>
      <c r="D334" t="s">
        <v>74</v>
      </c>
      <c r="E334" t="s">
        <v>145</v>
      </c>
      <c r="F334" s="37">
        <v>3440</v>
      </c>
      <c r="G334" s="37">
        <v>13</v>
      </c>
      <c r="H334" s="37">
        <v>20</v>
      </c>
      <c r="I334" s="37">
        <v>58480</v>
      </c>
      <c r="J334" s="37">
        <v>58146</v>
      </c>
      <c r="K334" s="37">
        <v>210</v>
      </c>
      <c r="L334" t="s">
        <v>607</v>
      </c>
      <c r="M334" t="s">
        <v>38</v>
      </c>
      <c r="N334" s="37">
        <v>3473</v>
      </c>
      <c r="O334" s="36">
        <v>5.9387824897400819E-2</v>
      </c>
      <c r="P334" t="s">
        <v>620</v>
      </c>
    </row>
    <row r="335" spans="1:19" x14ac:dyDescent="0.3">
      <c r="A335" t="s">
        <v>562</v>
      </c>
      <c r="B335" t="s">
        <v>14</v>
      </c>
      <c r="C335" s="34">
        <v>45650</v>
      </c>
      <c r="D335" t="s">
        <v>22</v>
      </c>
      <c r="E335" t="s">
        <v>23</v>
      </c>
      <c r="F335" s="37">
        <v>2166</v>
      </c>
      <c r="G335" s="37">
        <v>354</v>
      </c>
      <c r="H335" s="37">
        <v>117</v>
      </c>
      <c r="I335" s="37">
        <v>10830</v>
      </c>
      <c r="J335" s="37">
        <v>10245</v>
      </c>
      <c r="K335" s="37">
        <v>24</v>
      </c>
      <c r="L335" t="s">
        <v>37</v>
      </c>
      <c r="M335" t="s">
        <v>38</v>
      </c>
      <c r="N335" s="37">
        <v>2637</v>
      </c>
      <c r="O335" s="36">
        <v>0.24349030470914126</v>
      </c>
      <c r="P335" t="s">
        <v>620</v>
      </c>
    </row>
    <row r="336" spans="1:19" x14ac:dyDescent="0.3">
      <c r="A336" t="s">
        <v>564</v>
      </c>
      <c r="B336" t="s">
        <v>43</v>
      </c>
      <c r="C336" s="34">
        <v>45589</v>
      </c>
      <c r="D336" t="s">
        <v>52</v>
      </c>
      <c r="E336" t="s">
        <v>59</v>
      </c>
      <c r="F336" s="37">
        <v>4303</v>
      </c>
      <c r="G336" s="37">
        <v>451</v>
      </c>
      <c r="H336" s="37">
        <v>286</v>
      </c>
      <c r="I336" s="37">
        <v>86060</v>
      </c>
      <c r="J336" s="37">
        <v>85823</v>
      </c>
      <c r="K336" s="37">
        <v>14</v>
      </c>
      <c r="L336" t="s">
        <v>30</v>
      </c>
      <c r="M336" t="s">
        <v>31</v>
      </c>
      <c r="N336" s="37">
        <v>5040</v>
      </c>
      <c r="O336" s="36">
        <v>5.8563792702765516E-2</v>
      </c>
      <c r="P336" t="s">
        <v>25</v>
      </c>
      <c r="Q336" s="34">
        <v>45566</v>
      </c>
      <c r="R336" s="34">
        <v>45596</v>
      </c>
      <c r="S336" s="35">
        <v>200000</v>
      </c>
    </row>
    <row r="337" spans="1:16" x14ac:dyDescent="0.3">
      <c r="A337" t="s">
        <v>565</v>
      </c>
      <c r="B337" t="s">
        <v>43</v>
      </c>
      <c r="C337" s="34">
        <v>45530</v>
      </c>
      <c r="D337" t="s">
        <v>52</v>
      </c>
      <c r="E337" t="s">
        <v>59</v>
      </c>
      <c r="F337" s="37">
        <v>2581</v>
      </c>
      <c r="G337" s="37">
        <v>517</v>
      </c>
      <c r="H337" s="37">
        <v>117</v>
      </c>
      <c r="I337" s="37">
        <v>23229</v>
      </c>
      <c r="J337" s="37">
        <v>22331</v>
      </c>
      <c r="K337" s="37">
        <v>70</v>
      </c>
      <c r="L337" t="s">
        <v>62</v>
      </c>
      <c r="M337" t="s">
        <v>31</v>
      </c>
      <c r="N337" s="37">
        <v>3215</v>
      </c>
      <c r="O337" s="36">
        <v>0.13840458048129492</v>
      </c>
      <c r="P337" t="s">
        <v>620</v>
      </c>
    </row>
    <row r="338" spans="1:16" x14ac:dyDescent="0.3">
      <c r="A338" t="s">
        <v>566</v>
      </c>
      <c r="B338" t="s">
        <v>14</v>
      </c>
      <c r="C338" s="34">
        <v>45535</v>
      </c>
      <c r="D338" t="s">
        <v>45</v>
      </c>
      <c r="E338" t="s">
        <v>49</v>
      </c>
      <c r="F338" s="37">
        <v>4494</v>
      </c>
      <c r="G338" s="37">
        <v>717</v>
      </c>
      <c r="H338" s="37">
        <v>45</v>
      </c>
      <c r="I338" s="37">
        <v>62916</v>
      </c>
      <c r="J338" s="37">
        <v>62688</v>
      </c>
      <c r="K338" s="37">
        <v>191</v>
      </c>
      <c r="L338" t="s">
        <v>30</v>
      </c>
      <c r="M338" t="s">
        <v>19</v>
      </c>
      <c r="N338" s="37">
        <v>5256</v>
      </c>
      <c r="O338" s="36">
        <v>8.3539958039290485E-2</v>
      </c>
      <c r="P338" t="s">
        <v>620</v>
      </c>
    </row>
    <row r="339" spans="1:16" x14ac:dyDescent="0.3">
      <c r="A339" t="s">
        <v>566</v>
      </c>
      <c r="B339" t="s">
        <v>14</v>
      </c>
      <c r="C339" s="34">
        <v>45535</v>
      </c>
      <c r="D339" t="s">
        <v>45</v>
      </c>
      <c r="E339" t="s">
        <v>49</v>
      </c>
      <c r="F339" s="37">
        <v>4494</v>
      </c>
      <c r="G339" s="37">
        <v>717</v>
      </c>
      <c r="H339" s="37">
        <v>45</v>
      </c>
      <c r="I339" s="37">
        <v>62916</v>
      </c>
      <c r="J339" s="37">
        <v>62688</v>
      </c>
      <c r="K339" s="37">
        <v>191</v>
      </c>
      <c r="L339" t="s">
        <v>37</v>
      </c>
      <c r="M339" t="s">
        <v>19</v>
      </c>
      <c r="N339" s="37">
        <v>5256</v>
      </c>
      <c r="O339" s="36">
        <v>8.3539958039290485E-2</v>
      </c>
      <c r="P339" t="s">
        <v>620</v>
      </c>
    </row>
    <row r="340" spans="1:16" x14ac:dyDescent="0.3">
      <c r="A340" t="s">
        <v>566</v>
      </c>
      <c r="B340" t="s">
        <v>14</v>
      </c>
      <c r="C340" s="34">
        <v>45535</v>
      </c>
      <c r="D340" t="s">
        <v>45</v>
      </c>
      <c r="E340" t="s">
        <v>49</v>
      </c>
      <c r="F340" s="37">
        <v>4494</v>
      </c>
      <c r="G340" s="37">
        <v>717</v>
      </c>
      <c r="H340" s="37">
        <v>45</v>
      </c>
      <c r="I340" s="37">
        <v>62916</v>
      </c>
      <c r="J340" s="37">
        <v>62688</v>
      </c>
      <c r="K340" s="37">
        <v>191</v>
      </c>
      <c r="L340" t="s">
        <v>619</v>
      </c>
      <c r="M340" t="s">
        <v>19</v>
      </c>
      <c r="N340" s="37">
        <v>5256</v>
      </c>
      <c r="O340" s="36">
        <v>8.3539958039290485E-2</v>
      </c>
      <c r="P340" t="s">
        <v>620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79C80-46FA-44FD-B35C-11DDD20E3279}">
  <sheetPr codeName="Sheet5"/>
  <dimension ref="A3:L22"/>
  <sheetViews>
    <sheetView topLeftCell="A2" zoomScale="117" workbookViewId="0">
      <selection activeCell="C9" sqref="C9"/>
    </sheetView>
  </sheetViews>
  <sheetFormatPr defaultRowHeight="14.4" x14ac:dyDescent="0.3"/>
  <cols>
    <col min="1" max="1" width="20.88671875" bestFit="1" customWidth="1"/>
    <col min="2" max="2" width="15.33203125" bestFit="1" customWidth="1"/>
    <col min="3" max="3" width="21.33203125" bestFit="1" customWidth="1"/>
    <col min="12" max="12" width="2.5546875" customWidth="1"/>
  </cols>
  <sheetData>
    <row r="3" spans="1:3" x14ac:dyDescent="0.3">
      <c r="A3" s="38" t="s">
        <v>621</v>
      </c>
      <c r="B3" t="s">
        <v>624</v>
      </c>
      <c r="C3" t="s">
        <v>657</v>
      </c>
    </row>
    <row r="4" spans="1:3" x14ac:dyDescent="0.3">
      <c r="A4" s="39" t="s">
        <v>618</v>
      </c>
      <c r="B4" s="37">
        <v>161.19999999999999</v>
      </c>
      <c r="C4" s="69">
        <v>15</v>
      </c>
    </row>
    <row r="5" spans="1:3" x14ac:dyDescent="0.3">
      <c r="A5" s="39" t="s">
        <v>619</v>
      </c>
      <c r="B5" s="37">
        <v>114.85714285714286</v>
      </c>
      <c r="C5" s="69">
        <v>7</v>
      </c>
    </row>
    <row r="6" spans="1:3" x14ac:dyDescent="0.3">
      <c r="A6" s="39" t="s">
        <v>62</v>
      </c>
      <c r="B6" s="37">
        <v>144.03883495145632</v>
      </c>
      <c r="C6" s="69">
        <v>103</v>
      </c>
    </row>
    <row r="7" spans="1:3" x14ac:dyDescent="0.3">
      <c r="A7" s="39" t="s">
        <v>30</v>
      </c>
      <c r="B7" s="37">
        <v>158.65420560747663</v>
      </c>
      <c r="C7" s="69">
        <v>107</v>
      </c>
    </row>
    <row r="8" spans="1:3" x14ac:dyDescent="0.3">
      <c r="A8" s="39" t="s">
        <v>607</v>
      </c>
      <c r="B8" s="37">
        <v>111.8</v>
      </c>
      <c r="C8" s="69">
        <v>5</v>
      </c>
    </row>
    <row r="9" spans="1:3" x14ac:dyDescent="0.3">
      <c r="A9" s="39" t="s">
        <v>37</v>
      </c>
      <c r="B9" s="37">
        <v>151.52941176470588</v>
      </c>
      <c r="C9" s="69">
        <v>102</v>
      </c>
    </row>
    <row r="10" spans="1:3" x14ac:dyDescent="0.3">
      <c r="A10" s="39" t="s">
        <v>622</v>
      </c>
      <c r="B10" s="37">
        <v>150.58702064896755</v>
      </c>
      <c r="C10" s="69">
        <v>339</v>
      </c>
    </row>
    <row r="21" spans="4:12" x14ac:dyDescent="0.3">
      <c r="D21" s="64" t="s">
        <v>640</v>
      </c>
      <c r="E21" s="64"/>
      <c r="F21" s="64"/>
      <c r="G21" s="64"/>
      <c r="H21" s="64"/>
      <c r="I21" s="64"/>
      <c r="J21" s="64"/>
      <c r="K21" s="64"/>
      <c r="L21" s="64"/>
    </row>
    <row r="22" spans="4:12" x14ac:dyDescent="0.3">
      <c r="D22" s="64"/>
      <c r="E22" s="64"/>
      <c r="F22" s="64"/>
      <c r="G22" s="64"/>
      <c r="H22" s="64"/>
      <c r="I22" s="64"/>
      <c r="J22" s="64"/>
      <c r="K22" s="64"/>
      <c r="L22" s="64"/>
    </row>
  </sheetData>
  <mergeCells count="1">
    <mergeCell ref="D21:L22"/>
  </mergeCells>
  <conditionalFormatting pivot="1" sqref="B4:B9">
    <cfRule type="top10" dxfId="3" priority="1" rank="3"/>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314BD-3533-4E34-9AAF-40364F088F05}">
  <sheetPr codeName="Sheet6"/>
  <dimension ref="A3:C10"/>
  <sheetViews>
    <sheetView workbookViewId="0">
      <selection activeCell="B6" sqref="B6:C9"/>
    </sheetView>
  </sheetViews>
  <sheetFormatPr defaultRowHeight="14.4" x14ac:dyDescent="0.3"/>
  <cols>
    <col min="1" max="1" width="20.21875" bestFit="1" customWidth="1"/>
    <col min="2" max="2" width="14.77734375" bestFit="1" customWidth="1"/>
    <col min="3" max="3" width="16.21875" bestFit="1" customWidth="1"/>
  </cols>
  <sheetData>
    <row r="3" spans="1:3" x14ac:dyDescent="0.3">
      <c r="A3" s="38" t="s">
        <v>621</v>
      </c>
      <c r="B3" t="s">
        <v>631</v>
      </c>
      <c r="C3" t="s">
        <v>658</v>
      </c>
    </row>
    <row r="4" spans="1:3" x14ac:dyDescent="0.3">
      <c r="A4" s="39" t="s">
        <v>618</v>
      </c>
      <c r="B4" s="37">
        <v>2219.6</v>
      </c>
      <c r="C4" s="37">
        <v>423.93333333333334</v>
      </c>
    </row>
    <row r="5" spans="1:3" x14ac:dyDescent="0.3">
      <c r="A5" s="39" t="s">
        <v>619</v>
      </c>
      <c r="B5" s="37">
        <v>3451.7142857142858</v>
      </c>
      <c r="C5" s="37">
        <v>540.57142857142856</v>
      </c>
    </row>
    <row r="6" spans="1:3" x14ac:dyDescent="0.3">
      <c r="A6" s="39" t="s">
        <v>62</v>
      </c>
      <c r="B6" s="37">
        <v>2634.7184466019417</v>
      </c>
      <c r="C6" s="37">
        <v>508.63106796116506</v>
      </c>
    </row>
    <row r="7" spans="1:3" x14ac:dyDescent="0.3">
      <c r="A7" s="39" t="s">
        <v>30</v>
      </c>
      <c r="B7" s="37">
        <v>2705.1028037383176</v>
      </c>
      <c r="C7" s="37">
        <v>458.01869158878503</v>
      </c>
    </row>
    <row r="8" spans="1:3" x14ac:dyDescent="0.3">
      <c r="A8" s="39" t="s">
        <v>607</v>
      </c>
      <c r="B8" s="37">
        <v>3127.8</v>
      </c>
      <c r="C8" s="37">
        <v>356.2</v>
      </c>
    </row>
    <row r="9" spans="1:3" x14ac:dyDescent="0.3">
      <c r="A9" s="39" t="s">
        <v>37</v>
      </c>
      <c r="B9" s="37">
        <v>2838.8039215686276</v>
      </c>
      <c r="C9" s="37">
        <v>464.96078431372547</v>
      </c>
    </row>
    <row r="10" spans="1:3" x14ac:dyDescent="0.3">
      <c r="A10" s="39" t="s">
        <v>622</v>
      </c>
      <c r="B10" s="37">
        <v>2724.1150442477874</v>
      </c>
      <c r="C10" s="37">
        <v>474.17994100294987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DAFDA-CA49-40AA-A0D9-B74320738BD8}">
  <sheetPr codeName="Sheet7"/>
  <dimension ref="A3:Z22"/>
  <sheetViews>
    <sheetView topLeftCell="A2" zoomScale="104" workbookViewId="0">
      <selection activeCell="E4" sqref="A4:E4"/>
      <pivotSelection pane="bottomRight" showHeader="1" click="1" r:id="rId1">
        <pivotArea dataOnly="0" fieldPosition="0">
          <references count="1">
            <reference field="1" count="1">
              <x v="0"/>
            </reference>
          </references>
        </pivotArea>
      </pivotSelection>
    </sheetView>
  </sheetViews>
  <sheetFormatPr defaultRowHeight="14.4" x14ac:dyDescent="0.3"/>
  <cols>
    <col min="1" max="1" width="12.6640625" bestFit="1" customWidth="1"/>
    <col min="2" max="2" width="11.5546875" bestFit="1" customWidth="1"/>
    <col min="3" max="3" width="13.109375" bestFit="1" customWidth="1"/>
    <col min="4" max="4" width="16.6640625" bestFit="1" customWidth="1"/>
    <col min="5" max="5" width="17.44140625" bestFit="1" customWidth="1"/>
    <col min="6" max="13" width="5" bestFit="1" customWidth="1"/>
    <col min="14" max="14" width="4" bestFit="1" customWidth="1"/>
    <col min="15" max="17" width="5" bestFit="1" customWidth="1"/>
    <col min="18" max="18" width="4" bestFit="1" customWidth="1"/>
    <col min="19" max="21" width="5" bestFit="1" customWidth="1"/>
    <col min="22" max="22" width="4" bestFit="1" customWidth="1"/>
    <col min="23" max="23" width="5" bestFit="1" customWidth="1"/>
    <col min="24" max="24" width="3" bestFit="1" customWidth="1"/>
    <col min="25" max="37" width="5" bestFit="1" customWidth="1"/>
    <col min="38" max="38" width="4" bestFit="1" customWidth="1"/>
    <col min="39" max="47" width="5" bestFit="1" customWidth="1"/>
    <col min="48" max="48" width="4" bestFit="1" customWidth="1"/>
    <col min="49" max="49" width="5" bestFit="1" customWidth="1"/>
    <col min="50" max="50" width="4" bestFit="1" customWidth="1"/>
    <col min="51" max="52" width="5" bestFit="1" customWidth="1"/>
    <col min="53" max="53" width="4" bestFit="1" customWidth="1"/>
    <col min="54" max="55" width="5" bestFit="1" customWidth="1"/>
    <col min="56" max="56" width="4" bestFit="1" customWidth="1"/>
    <col min="57" max="62" width="5" bestFit="1" customWidth="1"/>
    <col min="63" max="63" width="4" bestFit="1" customWidth="1"/>
    <col min="64" max="64" width="5" bestFit="1" customWidth="1"/>
    <col min="65" max="65" width="4" bestFit="1" customWidth="1"/>
    <col min="66" max="92" width="5" bestFit="1" customWidth="1"/>
    <col min="93" max="93" width="4" bestFit="1" customWidth="1"/>
    <col min="94" max="101" width="5" bestFit="1" customWidth="1"/>
    <col min="102" max="102" width="4" bestFit="1" customWidth="1"/>
    <col min="103" max="106" width="5" bestFit="1" customWidth="1"/>
    <col min="107" max="107" width="4" bestFit="1" customWidth="1"/>
    <col min="108" max="160" width="5" bestFit="1" customWidth="1"/>
    <col min="161" max="162" width="4" bestFit="1" customWidth="1"/>
    <col min="163" max="163" width="5" bestFit="1" customWidth="1"/>
    <col min="164" max="164" width="4" bestFit="1" customWidth="1"/>
    <col min="165" max="169" width="5" bestFit="1" customWidth="1"/>
    <col min="170" max="170" width="4" bestFit="1" customWidth="1"/>
    <col min="171" max="173" width="5" bestFit="1" customWidth="1"/>
    <col min="174" max="174" width="4" bestFit="1" customWidth="1"/>
    <col min="175" max="175" width="5" bestFit="1" customWidth="1"/>
    <col min="176" max="176" width="4" bestFit="1" customWidth="1"/>
    <col min="177" max="191" width="5" bestFit="1" customWidth="1"/>
    <col min="192" max="192" width="4" bestFit="1" customWidth="1"/>
    <col min="193" max="198" width="5" bestFit="1" customWidth="1"/>
    <col min="199" max="199" width="4" bestFit="1" customWidth="1"/>
    <col min="200" max="206" width="5" bestFit="1" customWidth="1"/>
    <col min="207" max="207" width="4" bestFit="1" customWidth="1"/>
    <col min="208" max="208" width="6" bestFit="1" customWidth="1"/>
    <col min="209" max="210" width="5" bestFit="1" customWidth="1"/>
    <col min="211" max="211" width="4" bestFit="1" customWidth="1"/>
    <col min="212" max="237" width="5" bestFit="1" customWidth="1"/>
    <col min="238" max="238" width="4" bestFit="1" customWidth="1"/>
    <col min="239" max="244" width="5" bestFit="1" customWidth="1"/>
    <col min="245" max="245" width="4" bestFit="1" customWidth="1"/>
    <col min="246" max="248" width="5" bestFit="1" customWidth="1"/>
    <col min="249" max="249" width="4" bestFit="1" customWidth="1"/>
    <col min="250" max="254" width="5" bestFit="1" customWidth="1"/>
    <col min="255" max="255" width="4" bestFit="1" customWidth="1"/>
    <col min="256" max="257" width="5" bestFit="1" customWidth="1"/>
    <col min="258" max="258" width="4" bestFit="1" customWidth="1"/>
    <col min="259" max="260" width="5" bestFit="1" customWidth="1"/>
    <col min="261" max="261" width="16.6640625" bestFit="1" customWidth="1"/>
    <col min="262" max="262" width="4" bestFit="1" customWidth="1"/>
    <col min="263" max="263" width="3" bestFit="1" customWidth="1"/>
    <col min="264" max="266" width="4" bestFit="1" customWidth="1"/>
    <col min="267" max="267" width="3" bestFit="1" customWidth="1"/>
    <col min="268" max="270" width="4" bestFit="1" customWidth="1"/>
    <col min="271" max="271" width="3" bestFit="1" customWidth="1"/>
    <col min="272" max="279" width="4" bestFit="1" customWidth="1"/>
    <col min="280" max="280" width="3" bestFit="1" customWidth="1"/>
    <col min="281" max="287" width="4" bestFit="1" customWidth="1"/>
    <col min="288" max="289" width="3" bestFit="1" customWidth="1"/>
    <col min="290" max="519" width="4" bestFit="1" customWidth="1"/>
    <col min="520" max="520" width="16.33203125" bestFit="1" customWidth="1"/>
    <col min="521" max="521" width="21.5546875" bestFit="1" customWidth="1"/>
  </cols>
  <sheetData>
    <row r="3" spans="1:5" x14ac:dyDescent="0.3">
      <c r="A3" s="38" t="s">
        <v>621</v>
      </c>
      <c r="B3" t="s">
        <v>626</v>
      </c>
      <c r="C3" t="s">
        <v>625</v>
      </c>
      <c r="D3" t="s">
        <v>627</v>
      </c>
      <c r="E3" t="s">
        <v>656</v>
      </c>
    </row>
    <row r="4" spans="1:5" x14ac:dyDescent="0.3">
      <c r="A4" s="39" t="s">
        <v>43</v>
      </c>
      <c r="B4" s="41">
        <v>242761</v>
      </c>
      <c r="C4" s="41">
        <v>39181</v>
      </c>
      <c r="D4" s="41">
        <v>23300</v>
      </c>
      <c r="E4" s="41">
        <v>305242</v>
      </c>
    </row>
    <row r="5" spans="1:5" x14ac:dyDescent="0.3">
      <c r="A5" s="39" t="s">
        <v>33</v>
      </c>
      <c r="B5" s="41">
        <v>204284</v>
      </c>
      <c r="C5" s="41">
        <v>41444</v>
      </c>
      <c r="D5" s="41">
        <v>17851</v>
      </c>
      <c r="E5" s="41">
        <v>263579</v>
      </c>
    </row>
    <row r="6" spans="1:5" x14ac:dyDescent="0.3">
      <c r="A6" s="39" t="s">
        <v>14</v>
      </c>
      <c r="B6" s="41">
        <v>201397</v>
      </c>
      <c r="C6" s="41">
        <v>33728</v>
      </c>
      <c r="D6" s="41">
        <v>20880</v>
      </c>
      <c r="E6" s="41">
        <v>256005</v>
      </c>
    </row>
    <row r="7" spans="1:5" x14ac:dyDescent="0.3">
      <c r="A7" s="39" t="s">
        <v>27</v>
      </c>
      <c r="B7" s="41">
        <v>171549</v>
      </c>
      <c r="C7" s="41">
        <v>28572</v>
      </c>
      <c r="D7" s="41">
        <v>12820</v>
      </c>
      <c r="E7" s="41">
        <v>212941</v>
      </c>
    </row>
    <row r="8" spans="1:5" x14ac:dyDescent="0.3">
      <c r="A8" s="39" t="s">
        <v>622</v>
      </c>
      <c r="B8" s="41">
        <v>819991</v>
      </c>
      <c r="C8" s="41">
        <v>142925</v>
      </c>
      <c r="D8" s="41">
        <v>74851</v>
      </c>
      <c r="E8" s="41">
        <v>1037767</v>
      </c>
    </row>
    <row r="21" spans="6:26" x14ac:dyDescent="0.3">
      <c r="F21" s="65"/>
      <c r="G21" s="65"/>
      <c r="H21" s="65"/>
      <c r="I21" s="65"/>
      <c r="J21" s="65"/>
      <c r="K21" s="65"/>
      <c r="L21" s="65"/>
      <c r="M21" s="65"/>
      <c r="N21" s="65"/>
      <c r="O21" s="65"/>
      <c r="P21" s="65"/>
      <c r="Q21" s="65"/>
      <c r="R21" s="65"/>
      <c r="S21" s="65"/>
      <c r="T21" s="65"/>
      <c r="U21" s="65"/>
      <c r="V21" s="65"/>
      <c r="W21" s="65"/>
      <c r="X21" s="65"/>
      <c r="Y21" s="65"/>
      <c r="Z21" s="65"/>
    </row>
    <row r="22" spans="6:26" x14ac:dyDescent="0.3">
      <c r="F22" s="65"/>
      <c r="G22" s="65"/>
      <c r="H22" s="65"/>
      <c r="I22" s="65"/>
      <c r="J22" s="65"/>
      <c r="K22" s="65"/>
      <c r="L22" s="65"/>
      <c r="M22" s="65"/>
      <c r="N22" s="65"/>
      <c r="O22" s="65"/>
      <c r="P22" s="65"/>
      <c r="Q22" s="65"/>
      <c r="R22" s="65"/>
      <c r="S22" s="65"/>
      <c r="T22" s="65"/>
      <c r="U22" s="65"/>
      <c r="V22" s="65"/>
      <c r="W22" s="65"/>
      <c r="X22" s="65"/>
      <c r="Y22" s="65"/>
      <c r="Z22" s="65"/>
    </row>
  </sheetData>
  <mergeCells count="1">
    <mergeCell ref="F21:Z2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ECE5C-9BAA-4079-95F2-0F82ECF73C2C}">
  <sheetPr codeName="Sheet8"/>
  <dimension ref="A3:K35"/>
  <sheetViews>
    <sheetView topLeftCell="A13" workbookViewId="0">
      <selection activeCell="A31" sqref="A31:B31"/>
    </sheetView>
  </sheetViews>
  <sheetFormatPr defaultRowHeight="14.4" x14ac:dyDescent="0.3"/>
  <cols>
    <col min="1" max="1" width="13.109375" bestFit="1" customWidth="1"/>
    <col min="2" max="2" width="25.77734375" bestFit="1" customWidth="1"/>
    <col min="3" max="5" width="16.6640625" bestFit="1" customWidth="1"/>
  </cols>
  <sheetData>
    <row r="3" spans="1:2" x14ac:dyDescent="0.3">
      <c r="A3" s="38" t="s">
        <v>621</v>
      </c>
      <c r="B3" t="s">
        <v>630</v>
      </c>
    </row>
    <row r="4" spans="1:2" x14ac:dyDescent="0.3">
      <c r="A4" s="39" t="s">
        <v>45</v>
      </c>
      <c r="B4" s="36">
        <v>0.14814919934149992</v>
      </c>
    </row>
    <row r="5" spans="1:2" x14ac:dyDescent="0.3">
      <c r="A5" s="40" t="s">
        <v>43</v>
      </c>
      <c r="B5" s="36">
        <v>0.11820589815604367</v>
      </c>
    </row>
    <row r="6" spans="1:2" x14ac:dyDescent="0.3">
      <c r="A6" s="40" t="s">
        <v>33</v>
      </c>
      <c r="B6" s="36">
        <v>0.14439860032256024</v>
      </c>
    </row>
    <row r="7" spans="1:2" x14ac:dyDescent="0.3">
      <c r="A7" s="40" t="s">
        <v>14</v>
      </c>
      <c r="B7" s="36">
        <v>0.15972488239914528</v>
      </c>
    </row>
    <row r="8" spans="1:2" x14ac:dyDescent="0.3">
      <c r="A8" s="40" t="s">
        <v>27</v>
      </c>
      <c r="B8" s="36">
        <v>0.17416554369953544</v>
      </c>
    </row>
    <row r="9" spans="1:2" x14ac:dyDescent="0.3">
      <c r="A9" s="39" t="s">
        <v>52</v>
      </c>
      <c r="B9" s="36">
        <v>0.13687494054869698</v>
      </c>
    </row>
    <row r="10" spans="1:2" x14ac:dyDescent="0.3">
      <c r="A10" s="40" t="s">
        <v>43</v>
      </c>
      <c r="B10" s="36">
        <v>0.11892682975133068</v>
      </c>
    </row>
    <row r="11" spans="1:2" x14ac:dyDescent="0.3">
      <c r="A11" s="40" t="s">
        <v>33</v>
      </c>
      <c r="B11" s="36">
        <v>0.14929862484025289</v>
      </c>
    </row>
    <row r="12" spans="1:2" x14ac:dyDescent="0.3">
      <c r="A12" s="40" t="s">
        <v>14</v>
      </c>
      <c r="B12" s="36">
        <v>0.14756648191377314</v>
      </c>
    </row>
    <row r="13" spans="1:2" x14ac:dyDescent="0.3">
      <c r="A13" s="40" t="s">
        <v>27</v>
      </c>
      <c r="B13" s="36">
        <v>0.15035567844671383</v>
      </c>
    </row>
    <row r="14" spans="1:2" x14ac:dyDescent="0.3">
      <c r="A14" s="39" t="s">
        <v>16</v>
      </c>
      <c r="B14" s="36">
        <v>0.15615682164328951</v>
      </c>
    </row>
    <row r="15" spans="1:2" x14ac:dyDescent="0.3">
      <c r="A15" s="40" t="s">
        <v>43</v>
      </c>
      <c r="B15" s="36">
        <v>0.10810248159985612</v>
      </c>
    </row>
    <row r="16" spans="1:2" x14ac:dyDescent="0.3">
      <c r="A16" s="40" t="s">
        <v>33</v>
      </c>
      <c r="B16" s="36">
        <v>0.26004033206333965</v>
      </c>
    </row>
    <row r="17" spans="1:2" x14ac:dyDescent="0.3">
      <c r="A17" s="40" t="s">
        <v>14</v>
      </c>
      <c r="B17" s="36">
        <v>0.12428081569427865</v>
      </c>
    </row>
    <row r="18" spans="1:2" x14ac:dyDescent="0.3">
      <c r="A18" s="40" t="s">
        <v>27</v>
      </c>
      <c r="B18" s="36">
        <v>0.11688583584797579</v>
      </c>
    </row>
    <row r="19" spans="1:2" x14ac:dyDescent="0.3">
      <c r="A19" s="39" t="s">
        <v>35</v>
      </c>
      <c r="B19" s="36">
        <v>0.18425775384163354</v>
      </c>
    </row>
    <row r="20" spans="1:2" x14ac:dyDescent="0.3">
      <c r="A20" s="40" t="s">
        <v>43</v>
      </c>
      <c r="B20" s="36">
        <v>0.15898977777988452</v>
      </c>
    </row>
    <row r="21" spans="1:2" x14ac:dyDescent="0.3">
      <c r="A21" s="40" t="s">
        <v>33</v>
      </c>
      <c r="B21" s="36">
        <v>0.24558274253543633</v>
      </c>
    </row>
    <row r="22" spans="1:2" x14ac:dyDescent="0.3">
      <c r="A22" s="40" t="s">
        <v>14</v>
      </c>
      <c r="B22" s="36">
        <v>0.18859716943319416</v>
      </c>
    </row>
    <row r="23" spans="1:2" x14ac:dyDescent="0.3">
      <c r="A23" s="40" t="s">
        <v>27</v>
      </c>
      <c r="B23" s="36">
        <v>9.4965330348360799E-2</v>
      </c>
    </row>
    <row r="24" spans="1:2" x14ac:dyDescent="0.3">
      <c r="A24" s="39" t="s">
        <v>22</v>
      </c>
      <c r="B24" s="36">
        <v>0.11750673823506559</v>
      </c>
    </row>
    <row r="25" spans="1:2" x14ac:dyDescent="0.3">
      <c r="A25" s="40" t="s">
        <v>43</v>
      </c>
      <c r="B25" s="36">
        <v>0.1074395128551284</v>
      </c>
    </row>
    <row r="26" spans="1:2" x14ac:dyDescent="0.3">
      <c r="A26" s="40" t="s">
        <v>33</v>
      </c>
      <c r="B26" s="36">
        <v>0.12920449104190176</v>
      </c>
    </row>
    <row r="27" spans="1:2" x14ac:dyDescent="0.3">
      <c r="A27" s="40" t="s">
        <v>14</v>
      </c>
      <c r="B27" s="36">
        <v>0.12088972902726507</v>
      </c>
    </row>
    <row r="28" spans="1:2" x14ac:dyDescent="0.3">
      <c r="A28" s="40" t="s">
        <v>27</v>
      </c>
      <c r="B28" s="36">
        <v>0.11459217612964397</v>
      </c>
    </row>
    <row r="29" spans="1:2" x14ac:dyDescent="0.3">
      <c r="A29" s="39" t="s">
        <v>74</v>
      </c>
      <c r="B29" s="36">
        <v>0.14814844474464284</v>
      </c>
    </row>
    <row r="30" spans="1:2" x14ac:dyDescent="0.3">
      <c r="A30" s="40" t="s">
        <v>43</v>
      </c>
      <c r="B30" s="36">
        <v>0.12899653614759149</v>
      </c>
    </row>
    <row r="31" spans="1:2" x14ac:dyDescent="0.3">
      <c r="A31" s="40" t="s">
        <v>33</v>
      </c>
      <c r="B31" s="36">
        <v>0.2062396061640541</v>
      </c>
    </row>
    <row r="32" spans="1:2" x14ac:dyDescent="0.3">
      <c r="A32" s="40" t="s">
        <v>14</v>
      </c>
      <c r="B32" s="36">
        <v>0.11980876658677887</v>
      </c>
    </row>
    <row r="33" spans="1:11" x14ac:dyDescent="0.3">
      <c r="A33" s="40" t="s">
        <v>27</v>
      </c>
      <c r="B33" s="36">
        <v>0.12968338256813225</v>
      </c>
    </row>
    <row r="34" spans="1:11" x14ac:dyDescent="0.3">
      <c r="A34" s="39" t="s">
        <v>622</v>
      </c>
      <c r="B34" s="36">
        <v>0.14828272479852853</v>
      </c>
      <c r="D34" s="66" t="s">
        <v>641</v>
      </c>
      <c r="E34" s="66"/>
      <c r="F34" s="66"/>
      <c r="G34" s="66"/>
      <c r="H34" s="66"/>
      <c r="I34" s="66"/>
      <c r="J34" s="66"/>
      <c r="K34" s="66"/>
    </row>
    <row r="35" spans="1:11" x14ac:dyDescent="0.3">
      <c r="D35" s="66"/>
      <c r="E35" s="66"/>
      <c r="F35" s="66"/>
      <c r="G35" s="66"/>
      <c r="H35" s="66"/>
      <c r="I35" s="66"/>
      <c r="J35" s="66"/>
      <c r="K35" s="66"/>
    </row>
  </sheetData>
  <mergeCells count="1">
    <mergeCell ref="D34:K35"/>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C35D-AA61-4E51-B1C9-E7E83FBC8DDC}">
  <sheetPr codeName="Sheet9"/>
  <dimension ref="A3:K19"/>
  <sheetViews>
    <sheetView tabSelected="1" zoomScale="123" workbookViewId="0">
      <selection activeCell="A4" sqref="A4:B8"/>
    </sheetView>
  </sheetViews>
  <sheetFormatPr defaultRowHeight="14.4" x14ac:dyDescent="0.3"/>
  <cols>
    <col min="1" max="1" width="14.77734375" bestFit="1" customWidth="1"/>
    <col min="2" max="2" width="19.21875" bestFit="1" customWidth="1"/>
  </cols>
  <sheetData>
    <row r="3" spans="1:2" x14ac:dyDescent="0.3">
      <c r="A3" s="38" t="s">
        <v>621</v>
      </c>
      <c r="B3" t="s">
        <v>642</v>
      </c>
    </row>
    <row r="4" spans="1:2" x14ac:dyDescent="0.3">
      <c r="A4" s="39" t="s">
        <v>38</v>
      </c>
      <c r="B4" s="37">
        <v>1.6977928692699491</v>
      </c>
    </row>
    <row r="5" spans="1:2" x14ac:dyDescent="0.3">
      <c r="A5" s="39" t="s">
        <v>25</v>
      </c>
      <c r="B5" s="37">
        <v>1.4525277614368401</v>
      </c>
    </row>
    <row r="6" spans="1:2" x14ac:dyDescent="0.3">
      <c r="A6" s="39" t="s">
        <v>31</v>
      </c>
      <c r="B6" s="37">
        <v>7.5656700157365933</v>
      </c>
    </row>
    <row r="7" spans="1:2" x14ac:dyDescent="0.3">
      <c r="A7" s="39" t="s">
        <v>620</v>
      </c>
      <c r="B7" s="37">
        <v>0</v>
      </c>
    </row>
    <row r="8" spans="1:2" x14ac:dyDescent="0.3">
      <c r="A8" s="39" t="s">
        <v>19</v>
      </c>
      <c r="B8" s="37">
        <v>1.4454626926079046</v>
      </c>
    </row>
    <row r="9" spans="1:2" x14ac:dyDescent="0.3">
      <c r="A9" s="39" t="s">
        <v>622</v>
      </c>
      <c r="B9" s="37">
        <v>0.75161380155661051</v>
      </c>
    </row>
    <row r="18" spans="4:11" x14ac:dyDescent="0.3">
      <c r="D18" s="66" t="s">
        <v>633</v>
      </c>
      <c r="E18" s="66"/>
      <c r="F18" s="66"/>
      <c r="G18" s="66"/>
      <c r="H18" s="66"/>
      <c r="I18" s="66"/>
      <c r="J18" s="66"/>
      <c r="K18" s="66"/>
    </row>
    <row r="19" spans="4:11" x14ac:dyDescent="0.3">
      <c r="D19" s="66"/>
      <c r="E19" s="66"/>
      <c r="F19" s="66"/>
      <c r="G19" s="66"/>
      <c r="H19" s="66"/>
      <c r="I19" s="66"/>
      <c r="J19" s="66"/>
      <c r="K19" s="66"/>
    </row>
  </sheetData>
  <mergeCells count="1">
    <mergeCell ref="D18:K19"/>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DFC4-9ABE-468D-98D7-66D79A572661}">
  <sheetPr codeName="Sheet10"/>
  <dimension ref="A3:J44"/>
  <sheetViews>
    <sheetView topLeftCell="A13" zoomScale="72" workbookViewId="0">
      <selection activeCell="A5" sqref="A5:I9"/>
    </sheetView>
  </sheetViews>
  <sheetFormatPr defaultRowHeight="14.4" x14ac:dyDescent="0.3"/>
  <cols>
    <col min="1" max="1" width="25" bestFit="1" customWidth="1"/>
    <col min="2" max="2" width="32.21875" bestFit="1" customWidth="1"/>
    <col min="3" max="3" width="12.6640625" bestFit="1" customWidth="1"/>
    <col min="4" max="4" width="12.109375" bestFit="1" customWidth="1"/>
    <col min="5" max="5" width="23.5546875" bestFit="1" customWidth="1"/>
    <col min="6" max="6" width="21.6640625" bestFit="1" customWidth="1"/>
    <col min="7" max="7" width="16.109375" bestFit="1" customWidth="1"/>
    <col min="8" max="8" width="15.5546875" bestFit="1" customWidth="1"/>
    <col min="9" max="9" width="27" bestFit="1" customWidth="1"/>
    <col min="10" max="10" width="20.77734375" bestFit="1" customWidth="1"/>
  </cols>
  <sheetData>
    <row r="3" spans="1:10" x14ac:dyDescent="0.3">
      <c r="A3" s="38" t="s">
        <v>621</v>
      </c>
      <c r="B3" t="s">
        <v>628</v>
      </c>
      <c r="C3" t="s">
        <v>623</v>
      </c>
      <c r="D3" t="s">
        <v>626</v>
      </c>
      <c r="E3" t="s">
        <v>629</v>
      </c>
      <c r="F3" t="s">
        <v>632</v>
      </c>
      <c r="G3" t="s">
        <v>624</v>
      </c>
      <c r="H3" t="s">
        <v>631</v>
      </c>
      <c r="I3" t="s">
        <v>630</v>
      </c>
      <c r="J3" t="s">
        <v>652</v>
      </c>
    </row>
    <row r="4" spans="1:10" x14ac:dyDescent="0.3">
      <c r="A4" s="39" t="s">
        <v>38</v>
      </c>
      <c r="B4" s="41">
        <v>1041227</v>
      </c>
      <c r="C4" s="41">
        <v>5178</v>
      </c>
      <c r="D4" s="41">
        <v>80561</v>
      </c>
      <c r="E4" s="36">
        <v>3.878732008753377</v>
      </c>
      <c r="F4" s="41">
        <v>32538.34375</v>
      </c>
      <c r="G4" s="41">
        <v>161.8125</v>
      </c>
      <c r="H4" s="41">
        <v>2517.53125</v>
      </c>
      <c r="I4" s="36">
        <v>0.12121037527354303</v>
      </c>
      <c r="J4" s="37">
        <v>1.6977928692699491</v>
      </c>
    </row>
    <row r="5" spans="1:10" x14ac:dyDescent="0.3">
      <c r="A5" s="39" t="s">
        <v>25</v>
      </c>
      <c r="B5" s="41">
        <v>1481776</v>
      </c>
      <c r="C5" s="41">
        <v>4629</v>
      </c>
      <c r="D5" s="41">
        <v>108706</v>
      </c>
      <c r="E5" s="36">
        <v>4.6282265969239198</v>
      </c>
      <c r="F5" s="41">
        <v>42336.457142857143</v>
      </c>
      <c r="G5" s="41">
        <v>132.25714285714287</v>
      </c>
      <c r="H5" s="41">
        <v>3105.8857142857141</v>
      </c>
      <c r="I5" s="36">
        <v>0.13223504562639771</v>
      </c>
      <c r="J5" s="37">
        <v>1.4525277614368401</v>
      </c>
    </row>
    <row r="6" spans="1:10" x14ac:dyDescent="0.3">
      <c r="A6" s="39" t="s">
        <v>31</v>
      </c>
      <c r="B6" s="41">
        <v>274002</v>
      </c>
      <c r="C6" s="41">
        <v>1056</v>
      </c>
      <c r="D6" s="41">
        <v>25930</v>
      </c>
      <c r="E6" s="36">
        <v>1.5012452603301554</v>
      </c>
      <c r="F6" s="41">
        <v>27400.2</v>
      </c>
      <c r="G6" s="41">
        <v>105.6</v>
      </c>
      <c r="H6" s="41">
        <v>2593</v>
      </c>
      <c r="I6" s="36">
        <v>0.15012452603301554</v>
      </c>
      <c r="J6" s="37">
        <v>7.5656700157365933</v>
      </c>
    </row>
    <row r="7" spans="1:10" x14ac:dyDescent="0.3">
      <c r="A7" s="39" t="s">
        <v>620</v>
      </c>
      <c r="B7" s="41">
        <v>6426197</v>
      </c>
      <c r="C7" s="41">
        <v>30744</v>
      </c>
      <c r="D7" s="41">
        <v>519167</v>
      </c>
      <c r="E7" s="36">
        <v>31.684738739332644</v>
      </c>
      <c r="F7" s="41">
        <v>32786.719387755104</v>
      </c>
      <c r="G7" s="41">
        <v>156.85714285714286</v>
      </c>
      <c r="H7" s="41">
        <v>2648.8112244897961</v>
      </c>
      <c r="I7" s="36">
        <v>0.16165683030271757</v>
      </c>
      <c r="J7" s="37">
        <v>0</v>
      </c>
    </row>
    <row r="8" spans="1:10" x14ac:dyDescent="0.3">
      <c r="A8" s="39" t="s">
        <v>19</v>
      </c>
      <c r="B8" s="41">
        <v>1170951</v>
      </c>
      <c r="C8" s="41">
        <v>3759</v>
      </c>
      <c r="D8" s="41">
        <v>85627</v>
      </c>
      <c r="E8" s="36">
        <v>2.7918748342184632</v>
      </c>
      <c r="F8" s="41">
        <v>43368.555555555555</v>
      </c>
      <c r="G8" s="41">
        <v>139.22222222222223</v>
      </c>
      <c r="H8" s="41">
        <v>3171.3703703703704</v>
      </c>
      <c r="I8" s="36">
        <v>0.10340277163772085</v>
      </c>
      <c r="J8" s="37">
        <v>1.4454626926079046</v>
      </c>
    </row>
    <row r="9" spans="1:10" x14ac:dyDescent="0.3">
      <c r="A9" s="39" t="s">
        <v>622</v>
      </c>
      <c r="B9" s="41">
        <v>10394153</v>
      </c>
      <c r="C9" s="41">
        <v>45366</v>
      </c>
      <c r="D9" s="41">
        <v>819991</v>
      </c>
      <c r="E9" s="36">
        <v>44.484817439558569</v>
      </c>
      <c r="F9" s="41">
        <v>34647.176666666666</v>
      </c>
      <c r="G9" s="41">
        <v>151.22</v>
      </c>
      <c r="H9" s="41">
        <v>2733.3033333333333</v>
      </c>
      <c r="I9" s="36">
        <v>0.14828272479852855</v>
      </c>
      <c r="J9" s="41">
        <v>0.75161380155661051</v>
      </c>
    </row>
    <row r="35" spans="1:10" x14ac:dyDescent="0.3">
      <c r="A35" s="68" t="s">
        <v>666</v>
      </c>
      <c r="B35" s="68"/>
      <c r="C35" s="68"/>
      <c r="D35" s="68"/>
      <c r="E35" s="68"/>
      <c r="F35" s="68"/>
      <c r="G35" s="68"/>
      <c r="H35" s="68"/>
      <c r="I35" s="68"/>
      <c r="J35" s="68"/>
    </row>
    <row r="36" spans="1:10" x14ac:dyDescent="0.3">
      <c r="A36" s="68"/>
      <c r="B36" s="68"/>
      <c r="C36" s="68"/>
      <c r="D36" s="68"/>
      <c r="E36" s="68"/>
      <c r="F36" s="68"/>
      <c r="G36" s="68"/>
      <c r="H36" s="68"/>
      <c r="I36" s="68"/>
      <c r="J36" s="68"/>
    </row>
    <row r="42" spans="1:10" ht="14.4" customHeight="1" x14ac:dyDescent="0.3">
      <c r="A42" s="67"/>
      <c r="B42" s="67"/>
      <c r="C42" s="67"/>
      <c r="D42" s="67"/>
      <c r="E42" s="67"/>
      <c r="F42" s="67"/>
      <c r="G42" s="67"/>
      <c r="H42" s="67"/>
      <c r="I42" s="67"/>
      <c r="J42" s="67"/>
    </row>
    <row r="43" spans="1:10" ht="14.4" customHeight="1" x14ac:dyDescent="0.3">
      <c r="A43" s="67"/>
      <c r="B43" s="67"/>
      <c r="C43" s="67"/>
      <c r="D43" s="67"/>
      <c r="E43" s="67"/>
      <c r="F43" s="67"/>
      <c r="G43" s="67"/>
      <c r="H43" s="67"/>
      <c r="I43" s="67"/>
      <c r="J43" s="67"/>
    </row>
    <row r="44" spans="1:10" x14ac:dyDescent="0.3">
      <c r="A44" s="67"/>
      <c r="B44" s="67"/>
      <c r="C44" s="67"/>
      <c r="D44" s="67"/>
      <c r="E44" s="67"/>
      <c r="F44" s="67"/>
      <c r="G44" s="67"/>
      <c r="H44" s="67"/>
      <c r="I44" s="67"/>
      <c r="J44" s="67"/>
    </row>
  </sheetData>
  <mergeCells count="2">
    <mergeCell ref="A42:J44"/>
    <mergeCell ref="A35:J36"/>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tabColor rgb="FFFF0000"/>
  </sheetPr>
  <dimension ref="A1:G1000"/>
  <sheetViews>
    <sheetView workbookViewId="0">
      <selection activeCell="E8" sqref="A1:G201"/>
    </sheetView>
  </sheetViews>
  <sheetFormatPr defaultColWidth="14.44140625" defaultRowHeight="15" customHeight="1" x14ac:dyDescent="0.3"/>
  <cols>
    <col min="1" max="1" width="8.6640625" customWidth="1"/>
    <col min="2" max="2" width="15.33203125" customWidth="1"/>
    <col min="3" max="26" width="8.6640625" customWidth="1"/>
  </cols>
  <sheetData>
    <row r="1" spans="1:7" ht="14.25" customHeight="1" x14ac:dyDescent="0.3">
      <c r="A1" s="1" t="s">
        <v>567</v>
      </c>
      <c r="B1" s="1" t="s">
        <v>1</v>
      </c>
      <c r="C1" s="2" t="s">
        <v>568</v>
      </c>
      <c r="D1" s="1" t="s">
        <v>569</v>
      </c>
      <c r="E1" s="2" t="s">
        <v>570</v>
      </c>
      <c r="F1" s="2" t="s">
        <v>571</v>
      </c>
      <c r="G1" s="2" t="s">
        <v>572</v>
      </c>
    </row>
    <row r="2" spans="1:7" ht="14.25" customHeight="1" x14ac:dyDescent="0.3">
      <c r="A2" s="5" t="s">
        <v>232</v>
      </c>
      <c r="B2" s="5" t="s">
        <v>33</v>
      </c>
      <c r="C2" s="5">
        <v>1135</v>
      </c>
      <c r="D2" s="5">
        <v>88</v>
      </c>
      <c r="E2" s="5">
        <v>344084</v>
      </c>
      <c r="F2" s="5">
        <v>8.06</v>
      </c>
      <c r="G2" s="5">
        <v>5904</v>
      </c>
    </row>
    <row r="3" spans="1:7" ht="14.25" customHeight="1" x14ac:dyDescent="0.3">
      <c r="A3" s="5" t="s">
        <v>232</v>
      </c>
      <c r="B3" s="5" t="s">
        <v>43</v>
      </c>
      <c r="C3" s="5">
        <v>1312</v>
      </c>
      <c r="D3" s="5">
        <v>310</v>
      </c>
      <c r="E3" s="5">
        <v>42654</v>
      </c>
      <c r="F3" s="5">
        <v>4.9800000000000004</v>
      </c>
      <c r="G3" s="5">
        <v>9566</v>
      </c>
    </row>
    <row r="4" spans="1:7" ht="14.25" customHeight="1" x14ac:dyDescent="0.3">
      <c r="A4" s="5" t="s">
        <v>232</v>
      </c>
      <c r="B4" s="5" t="s">
        <v>14</v>
      </c>
      <c r="C4" s="5">
        <v>584</v>
      </c>
      <c r="D4" s="5">
        <v>169</v>
      </c>
      <c r="E4" s="5">
        <v>146834</v>
      </c>
      <c r="F4" s="5">
        <v>8.31</v>
      </c>
      <c r="G4" s="5">
        <v>26752</v>
      </c>
    </row>
    <row r="5" spans="1:7" ht="14.25" customHeight="1" x14ac:dyDescent="0.3">
      <c r="A5" s="5" t="s">
        <v>232</v>
      </c>
      <c r="B5" s="5" t="s">
        <v>27</v>
      </c>
      <c r="C5" s="5">
        <v>1535</v>
      </c>
      <c r="D5" s="5">
        <v>445</v>
      </c>
      <c r="E5" s="5">
        <v>395536</v>
      </c>
      <c r="F5" s="5">
        <v>4.1100000000000003</v>
      </c>
      <c r="G5" s="5">
        <v>30671</v>
      </c>
    </row>
    <row r="6" spans="1:7" ht="14.25" customHeight="1" x14ac:dyDescent="0.3">
      <c r="A6" s="5" t="s">
        <v>151</v>
      </c>
      <c r="B6" s="5" t="s">
        <v>33</v>
      </c>
      <c r="C6" s="5">
        <v>656</v>
      </c>
      <c r="D6" s="5">
        <v>139</v>
      </c>
      <c r="E6" s="5">
        <v>49157</v>
      </c>
      <c r="F6" s="5">
        <v>9.0500000000000007</v>
      </c>
      <c r="G6" s="5">
        <v>9920</v>
      </c>
    </row>
    <row r="7" spans="1:7" ht="14.25" customHeight="1" x14ac:dyDescent="0.3">
      <c r="A7" s="5" t="s">
        <v>151</v>
      </c>
      <c r="B7" s="5" t="s">
        <v>43</v>
      </c>
      <c r="C7" s="5">
        <v>1697</v>
      </c>
      <c r="D7" s="5">
        <v>414</v>
      </c>
      <c r="E7" s="5">
        <v>316555</v>
      </c>
      <c r="F7" s="5">
        <v>2.37</v>
      </c>
      <c r="G7" s="5">
        <v>7924</v>
      </c>
    </row>
    <row r="8" spans="1:7" ht="14.25" customHeight="1" x14ac:dyDescent="0.3">
      <c r="A8" s="5" t="s">
        <v>151</v>
      </c>
      <c r="B8" s="5" t="s">
        <v>14</v>
      </c>
      <c r="C8" s="5">
        <v>436</v>
      </c>
      <c r="D8" s="5">
        <v>250</v>
      </c>
      <c r="E8" s="5">
        <v>254347</v>
      </c>
      <c r="F8" s="5">
        <v>4.01</v>
      </c>
      <c r="G8" s="5">
        <v>8912</v>
      </c>
    </row>
    <row r="9" spans="1:7" ht="14.25" customHeight="1" x14ac:dyDescent="0.3">
      <c r="A9" s="5" t="s">
        <v>151</v>
      </c>
      <c r="B9" s="5" t="s">
        <v>27</v>
      </c>
      <c r="C9" s="5">
        <v>1197</v>
      </c>
      <c r="D9" s="5">
        <v>203</v>
      </c>
      <c r="E9" s="5">
        <v>413878</v>
      </c>
      <c r="F9" s="5">
        <v>3.16</v>
      </c>
      <c r="G9" s="5">
        <v>21205</v>
      </c>
    </row>
    <row r="10" spans="1:7" ht="14.25" customHeight="1" x14ac:dyDescent="0.3">
      <c r="A10" s="5" t="s">
        <v>164</v>
      </c>
      <c r="B10" s="5" t="s">
        <v>33</v>
      </c>
      <c r="C10" s="5">
        <v>1048</v>
      </c>
      <c r="D10" s="5">
        <v>155</v>
      </c>
      <c r="E10" s="5">
        <v>456946</v>
      </c>
      <c r="F10" s="5">
        <v>2.46</v>
      </c>
      <c r="G10" s="5">
        <v>11329</v>
      </c>
    </row>
    <row r="11" spans="1:7" ht="14.25" customHeight="1" x14ac:dyDescent="0.3">
      <c r="A11" s="5" t="s">
        <v>164</v>
      </c>
      <c r="B11" s="5" t="s">
        <v>43</v>
      </c>
      <c r="C11" s="5">
        <v>1753</v>
      </c>
      <c r="D11" s="5">
        <v>371</v>
      </c>
      <c r="E11" s="5">
        <v>169496</v>
      </c>
      <c r="F11" s="5">
        <v>8.11</v>
      </c>
      <c r="G11" s="5">
        <v>46670</v>
      </c>
    </row>
    <row r="12" spans="1:7" ht="14.25" customHeight="1" x14ac:dyDescent="0.3">
      <c r="A12" s="5" t="s">
        <v>164</v>
      </c>
      <c r="B12" s="5" t="s">
        <v>14</v>
      </c>
      <c r="C12" s="5">
        <v>1335</v>
      </c>
      <c r="D12" s="5">
        <v>40</v>
      </c>
      <c r="E12" s="5">
        <v>122732</v>
      </c>
      <c r="F12" s="5">
        <v>8.19</v>
      </c>
      <c r="G12" s="5">
        <v>22482</v>
      </c>
    </row>
    <row r="13" spans="1:7" ht="14.25" customHeight="1" x14ac:dyDescent="0.3">
      <c r="A13" s="5" t="s">
        <v>164</v>
      </c>
      <c r="B13" s="5" t="s">
        <v>27</v>
      </c>
      <c r="C13" s="5">
        <v>403</v>
      </c>
      <c r="D13" s="5">
        <v>66</v>
      </c>
      <c r="E13" s="5">
        <v>382851</v>
      </c>
      <c r="F13" s="5">
        <v>3.49</v>
      </c>
      <c r="G13" s="5">
        <v>24313</v>
      </c>
    </row>
    <row r="14" spans="1:7" ht="14.25" customHeight="1" x14ac:dyDescent="0.3">
      <c r="A14" s="5" t="s">
        <v>48</v>
      </c>
      <c r="B14" s="5" t="s">
        <v>33</v>
      </c>
      <c r="C14" s="5">
        <v>911</v>
      </c>
      <c r="D14" s="5">
        <v>282</v>
      </c>
      <c r="E14" s="5">
        <v>35664</v>
      </c>
      <c r="F14" s="5">
        <v>6.92</v>
      </c>
      <c r="G14" s="5">
        <v>18050</v>
      </c>
    </row>
    <row r="15" spans="1:7" ht="14.25" customHeight="1" x14ac:dyDescent="0.3">
      <c r="A15" s="5" t="s">
        <v>48</v>
      </c>
      <c r="B15" s="5" t="s">
        <v>43</v>
      </c>
      <c r="C15" s="5">
        <v>1779</v>
      </c>
      <c r="D15" s="5">
        <v>109</v>
      </c>
      <c r="E15" s="5">
        <v>26295</v>
      </c>
      <c r="F15" s="5">
        <v>9.1199999999999992</v>
      </c>
      <c r="G15" s="5">
        <v>30635</v>
      </c>
    </row>
    <row r="16" spans="1:7" ht="14.25" customHeight="1" x14ac:dyDescent="0.3">
      <c r="A16" s="5" t="s">
        <v>48</v>
      </c>
      <c r="B16" s="5" t="s">
        <v>14</v>
      </c>
      <c r="C16" s="5">
        <v>1238</v>
      </c>
      <c r="D16" s="5">
        <v>403</v>
      </c>
      <c r="E16" s="5">
        <v>298421</v>
      </c>
      <c r="F16" s="5">
        <v>3.5</v>
      </c>
      <c r="G16" s="5">
        <v>31280</v>
      </c>
    </row>
    <row r="17" spans="1:7" ht="14.25" customHeight="1" x14ac:dyDescent="0.3">
      <c r="A17" s="5" t="s">
        <v>48</v>
      </c>
      <c r="B17" s="5" t="s">
        <v>27</v>
      </c>
      <c r="C17" s="5">
        <v>308</v>
      </c>
      <c r="D17" s="5">
        <v>431</v>
      </c>
      <c r="E17" s="5">
        <v>426184</v>
      </c>
      <c r="F17" s="5">
        <v>2.62</v>
      </c>
      <c r="G17" s="5">
        <v>1783</v>
      </c>
    </row>
    <row r="18" spans="1:7" ht="14.25" customHeight="1" x14ac:dyDescent="0.3">
      <c r="A18" s="5" t="s">
        <v>455</v>
      </c>
      <c r="B18" s="5" t="s">
        <v>33</v>
      </c>
      <c r="C18" s="5">
        <v>226</v>
      </c>
      <c r="D18" s="5">
        <v>445</v>
      </c>
      <c r="E18" s="5">
        <v>419447</v>
      </c>
      <c r="F18" s="5">
        <v>9.36</v>
      </c>
      <c r="G18" s="5">
        <v>9566</v>
      </c>
    </row>
    <row r="19" spans="1:7" ht="14.25" customHeight="1" x14ac:dyDescent="0.3">
      <c r="A19" s="5" t="s">
        <v>455</v>
      </c>
      <c r="B19" s="5" t="s">
        <v>43</v>
      </c>
      <c r="C19" s="5">
        <v>505</v>
      </c>
      <c r="D19" s="5">
        <v>441</v>
      </c>
      <c r="E19" s="5">
        <v>220020</v>
      </c>
      <c r="F19" s="5">
        <v>4.4800000000000004</v>
      </c>
      <c r="G19" s="5">
        <v>42307</v>
      </c>
    </row>
    <row r="20" spans="1:7" ht="14.25" customHeight="1" x14ac:dyDescent="0.3">
      <c r="A20" s="5" t="s">
        <v>455</v>
      </c>
      <c r="B20" s="5" t="s">
        <v>14</v>
      </c>
      <c r="C20" s="5">
        <v>1420</v>
      </c>
      <c r="D20" s="5">
        <v>63</v>
      </c>
      <c r="E20" s="5">
        <v>315305</v>
      </c>
      <c r="F20" s="5">
        <v>6.19</v>
      </c>
      <c r="G20" s="5">
        <v>5914</v>
      </c>
    </row>
    <row r="21" spans="1:7" ht="14.25" customHeight="1" x14ac:dyDescent="0.3">
      <c r="A21" s="5" t="s">
        <v>455</v>
      </c>
      <c r="B21" s="5" t="s">
        <v>27</v>
      </c>
      <c r="C21" s="5">
        <v>144</v>
      </c>
      <c r="D21" s="5">
        <v>53</v>
      </c>
      <c r="E21" s="5">
        <v>113678</v>
      </c>
      <c r="F21" s="5">
        <v>8.7200000000000006</v>
      </c>
      <c r="G21" s="5">
        <v>30060</v>
      </c>
    </row>
    <row r="22" spans="1:7" ht="14.25" customHeight="1" x14ac:dyDescent="0.3">
      <c r="A22" s="5" t="s">
        <v>573</v>
      </c>
      <c r="B22" s="5" t="s">
        <v>33</v>
      </c>
      <c r="C22" s="5">
        <v>1757</v>
      </c>
      <c r="D22" s="5">
        <v>85</v>
      </c>
      <c r="E22" s="5">
        <v>58223</v>
      </c>
      <c r="F22" s="5">
        <v>8.74</v>
      </c>
      <c r="G22" s="5">
        <v>22728</v>
      </c>
    </row>
    <row r="23" spans="1:7" ht="14.25" customHeight="1" x14ac:dyDescent="0.3">
      <c r="A23" s="5" t="s">
        <v>573</v>
      </c>
      <c r="B23" s="5" t="s">
        <v>43</v>
      </c>
      <c r="C23" s="5">
        <v>350</v>
      </c>
      <c r="D23" s="5">
        <v>41</v>
      </c>
      <c r="E23" s="5">
        <v>251694</v>
      </c>
      <c r="F23" s="5">
        <v>1.91</v>
      </c>
      <c r="G23" s="5">
        <v>38610</v>
      </c>
    </row>
    <row r="24" spans="1:7" ht="14.25" customHeight="1" x14ac:dyDescent="0.3">
      <c r="A24" s="5" t="s">
        <v>573</v>
      </c>
      <c r="B24" s="5" t="s">
        <v>14</v>
      </c>
      <c r="C24" s="5">
        <v>987</v>
      </c>
      <c r="D24" s="5">
        <v>440</v>
      </c>
      <c r="E24" s="5">
        <v>389810</v>
      </c>
      <c r="F24" s="5">
        <v>4.66</v>
      </c>
      <c r="G24" s="5">
        <v>2932</v>
      </c>
    </row>
    <row r="25" spans="1:7" ht="14.25" customHeight="1" x14ac:dyDescent="0.3">
      <c r="A25" s="5" t="s">
        <v>573</v>
      </c>
      <c r="B25" s="5" t="s">
        <v>27</v>
      </c>
      <c r="C25" s="5">
        <v>883</v>
      </c>
      <c r="D25" s="5">
        <v>369</v>
      </c>
      <c r="E25" s="5">
        <v>233694</v>
      </c>
      <c r="F25" s="5">
        <v>2.88</v>
      </c>
      <c r="G25" s="5">
        <v>15071</v>
      </c>
    </row>
    <row r="26" spans="1:7" ht="14.25" customHeight="1" x14ac:dyDescent="0.3">
      <c r="A26" s="5" t="s">
        <v>315</v>
      </c>
      <c r="B26" s="5" t="s">
        <v>33</v>
      </c>
      <c r="C26" s="5">
        <v>1960</v>
      </c>
      <c r="D26" s="5">
        <v>115</v>
      </c>
      <c r="E26" s="5">
        <v>154169</v>
      </c>
      <c r="F26" s="5">
        <v>3.74</v>
      </c>
      <c r="G26" s="5">
        <v>10740</v>
      </c>
    </row>
    <row r="27" spans="1:7" ht="14.25" customHeight="1" x14ac:dyDescent="0.3">
      <c r="A27" s="5" t="s">
        <v>315</v>
      </c>
      <c r="B27" s="5" t="s">
        <v>43</v>
      </c>
      <c r="C27" s="5">
        <v>170</v>
      </c>
      <c r="D27" s="5">
        <v>334</v>
      </c>
      <c r="E27" s="5">
        <v>334626</v>
      </c>
      <c r="F27" s="5">
        <v>6.44</v>
      </c>
      <c r="G27" s="5">
        <v>43420</v>
      </c>
    </row>
    <row r="28" spans="1:7" ht="14.25" customHeight="1" x14ac:dyDescent="0.3">
      <c r="A28" s="5" t="s">
        <v>315</v>
      </c>
      <c r="B28" s="5" t="s">
        <v>14</v>
      </c>
      <c r="C28" s="5">
        <v>704</v>
      </c>
      <c r="D28" s="5">
        <v>275</v>
      </c>
      <c r="E28" s="5">
        <v>226002</v>
      </c>
      <c r="F28" s="5">
        <v>8.56</v>
      </c>
      <c r="G28" s="5">
        <v>32393</v>
      </c>
    </row>
    <row r="29" spans="1:7" ht="14.25" customHeight="1" x14ac:dyDescent="0.3">
      <c r="A29" s="5" t="s">
        <v>315</v>
      </c>
      <c r="B29" s="5" t="s">
        <v>27</v>
      </c>
      <c r="C29" s="5">
        <v>224</v>
      </c>
      <c r="D29" s="5">
        <v>64</v>
      </c>
      <c r="E29" s="5">
        <v>156683</v>
      </c>
      <c r="F29" s="5">
        <v>4.5599999999999996</v>
      </c>
      <c r="G29" s="5">
        <v>28474</v>
      </c>
    </row>
    <row r="30" spans="1:7" ht="14.25" customHeight="1" x14ac:dyDescent="0.3">
      <c r="A30" s="5" t="s">
        <v>574</v>
      </c>
      <c r="B30" s="5" t="s">
        <v>33</v>
      </c>
      <c r="C30" s="5">
        <v>508</v>
      </c>
      <c r="D30" s="5">
        <v>349</v>
      </c>
      <c r="E30" s="5">
        <v>473812</v>
      </c>
      <c r="F30" s="5">
        <v>7.88</v>
      </c>
      <c r="G30" s="5">
        <v>17328</v>
      </c>
    </row>
    <row r="31" spans="1:7" ht="14.25" customHeight="1" x14ac:dyDescent="0.3">
      <c r="A31" s="5" t="s">
        <v>574</v>
      </c>
      <c r="B31" s="5" t="s">
        <v>43</v>
      </c>
      <c r="C31" s="5">
        <v>1391</v>
      </c>
      <c r="D31" s="5">
        <v>430</v>
      </c>
      <c r="E31" s="5">
        <v>295032</v>
      </c>
      <c r="F31" s="5">
        <v>7.86</v>
      </c>
      <c r="G31" s="5">
        <v>26067</v>
      </c>
    </row>
    <row r="32" spans="1:7" ht="14.25" customHeight="1" x14ac:dyDescent="0.3">
      <c r="A32" s="5" t="s">
        <v>574</v>
      </c>
      <c r="B32" s="5" t="s">
        <v>14</v>
      </c>
      <c r="C32" s="5">
        <v>1701</v>
      </c>
      <c r="D32" s="5">
        <v>385</v>
      </c>
      <c r="E32" s="5">
        <v>198278</v>
      </c>
      <c r="F32" s="5">
        <v>5.34</v>
      </c>
      <c r="G32" s="5">
        <v>32763</v>
      </c>
    </row>
    <row r="33" spans="1:7" ht="14.25" customHeight="1" x14ac:dyDescent="0.3">
      <c r="A33" s="5" t="s">
        <v>574</v>
      </c>
      <c r="B33" s="5" t="s">
        <v>27</v>
      </c>
      <c r="C33" s="5">
        <v>804</v>
      </c>
      <c r="D33" s="5">
        <v>487</v>
      </c>
      <c r="E33" s="5">
        <v>306564</v>
      </c>
      <c r="F33" s="5">
        <v>5.52</v>
      </c>
      <c r="G33" s="5">
        <v>26452</v>
      </c>
    </row>
    <row r="34" spans="1:7" ht="14.25" customHeight="1" x14ac:dyDescent="0.3">
      <c r="A34" s="5" t="s">
        <v>268</v>
      </c>
      <c r="B34" s="5" t="s">
        <v>33</v>
      </c>
      <c r="C34" s="5">
        <v>653</v>
      </c>
      <c r="D34" s="5">
        <v>112</v>
      </c>
      <c r="E34" s="5">
        <v>23664</v>
      </c>
      <c r="F34" s="5">
        <v>4.05</v>
      </c>
      <c r="G34" s="5">
        <v>15353</v>
      </c>
    </row>
    <row r="35" spans="1:7" ht="14.25" customHeight="1" x14ac:dyDescent="0.3">
      <c r="A35" s="5" t="s">
        <v>268</v>
      </c>
      <c r="B35" s="5" t="s">
        <v>43</v>
      </c>
      <c r="C35" s="5">
        <v>160</v>
      </c>
      <c r="D35" s="5">
        <v>478</v>
      </c>
      <c r="E35" s="5">
        <v>435034</v>
      </c>
      <c r="F35" s="5">
        <v>7.73</v>
      </c>
      <c r="G35" s="5">
        <v>4839</v>
      </c>
    </row>
    <row r="36" spans="1:7" ht="14.25" customHeight="1" x14ac:dyDescent="0.3">
      <c r="A36" s="5" t="s">
        <v>268</v>
      </c>
      <c r="B36" s="5" t="s">
        <v>14</v>
      </c>
      <c r="C36" s="5">
        <v>1756</v>
      </c>
      <c r="D36" s="5">
        <v>261</v>
      </c>
      <c r="E36" s="5">
        <v>287574</v>
      </c>
      <c r="F36" s="5">
        <v>4.3600000000000003</v>
      </c>
      <c r="G36" s="5">
        <v>39272</v>
      </c>
    </row>
    <row r="37" spans="1:7" ht="14.25" customHeight="1" x14ac:dyDescent="0.3">
      <c r="A37" s="5" t="s">
        <v>268</v>
      </c>
      <c r="B37" s="5" t="s">
        <v>27</v>
      </c>
      <c r="C37" s="5">
        <v>576</v>
      </c>
      <c r="D37" s="5">
        <v>101</v>
      </c>
      <c r="E37" s="5">
        <v>62499</v>
      </c>
      <c r="F37" s="5">
        <v>3.48</v>
      </c>
      <c r="G37" s="5">
        <v>16804</v>
      </c>
    </row>
    <row r="38" spans="1:7" ht="14.25" customHeight="1" x14ac:dyDescent="0.3">
      <c r="A38" s="5" t="s">
        <v>501</v>
      </c>
      <c r="B38" s="5" t="s">
        <v>33</v>
      </c>
      <c r="C38" s="5">
        <v>645</v>
      </c>
      <c r="D38" s="5">
        <v>293</v>
      </c>
      <c r="E38" s="5">
        <v>437968</v>
      </c>
      <c r="F38" s="5">
        <v>7.83</v>
      </c>
      <c r="G38" s="5">
        <v>49303</v>
      </c>
    </row>
    <row r="39" spans="1:7" ht="14.25" customHeight="1" x14ac:dyDescent="0.3">
      <c r="A39" s="5" t="s">
        <v>501</v>
      </c>
      <c r="B39" s="5" t="s">
        <v>43</v>
      </c>
      <c r="C39" s="5">
        <v>214</v>
      </c>
      <c r="D39" s="5">
        <v>411</v>
      </c>
      <c r="E39" s="5">
        <v>125034</v>
      </c>
      <c r="F39" s="5">
        <v>6.11</v>
      </c>
      <c r="G39" s="5">
        <v>26455</v>
      </c>
    </row>
    <row r="40" spans="1:7" ht="14.25" customHeight="1" x14ac:dyDescent="0.3">
      <c r="A40" s="5" t="s">
        <v>501</v>
      </c>
      <c r="B40" s="5" t="s">
        <v>14</v>
      </c>
      <c r="C40" s="5">
        <v>826</v>
      </c>
      <c r="D40" s="5">
        <v>498</v>
      </c>
      <c r="E40" s="5">
        <v>449994</v>
      </c>
      <c r="F40" s="5">
        <v>9.43</v>
      </c>
      <c r="G40" s="5">
        <v>12384</v>
      </c>
    </row>
    <row r="41" spans="1:7" ht="14.25" customHeight="1" x14ac:dyDescent="0.3">
      <c r="A41" s="5" t="s">
        <v>501</v>
      </c>
      <c r="B41" s="5" t="s">
        <v>27</v>
      </c>
      <c r="C41" s="5">
        <v>460</v>
      </c>
      <c r="D41" s="5">
        <v>141</v>
      </c>
      <c r="E41" s="5">
        <v>320650</v>
      </c>
      <c r="F41" s="5">
        <v>4.04</v>
      </c>
      <c r="G41" s="5">
        <v>49372</v>
      </c>
    </row>
    <row r="42" spans="1:7" ht="14.25" customHeight="1" x14ac:dyDescent="0.3">
      <c r="A42" s="5" t="s">
        <v>34</v>
      </c>
      <c r="B42" s="5" t="s">
        <v>33</v>
      </c>
      <c r="C42" s="5">
        <v>1528</v>
      </c>
      <c r="D42" s="5">
        <v>203</v>
      </c>
      <c r="E42" s="5">
        <v>489188</v>
      </c>
      <c r="F42" s="5">
        <v>6.23</v>
      </c>
      <c r="G42" s="5">
        <v>47101</v>
      </c>
    </row>
    <row r="43" spans="1:7" ht="14.25" customHeight="1" x14ac:dyDescent="0.3">
      <c r="A43" s="5" t="s">
        <v>34</v>
      </c>
      <c r="B43" s="5" t="s">
        <v>43</v>
      </c>
      <c r="C43" s="5">
        <v>1534</v>
      </c>
      <c r="D43" s="5">
        <v>200</v>
      </c>
      <c r="E43" s="5">
        <v>307612</v>
      </c>
      <c r="F43" s="5">
        <v>6.01</v>
      </c>
      <c r="G43" s="5">
        <v>37903</v>
      </c>
    </row>
    <row r="44" spans="1:7" ht="14.25" customHeight="1" x14ac:dyDescent="0.3">
      <c r="A44" s="5" t="s">
        <v>34</v>
      </c>
      <c r="B44" s="5" t="s">
        <v>14</v>
      </c>
      <c r="C44" s="5">
        <v>485</v>
      </c>
      <c r="D44" s="5">
        <v>448</v>
      </c>
      <c r="E44" s="5">
        <v>434883</v>
      </c>
      <c r="F44" s="5">
        <v>8.5500000000000007</v>
      </c>
      <c r="G44" s="5">
        <v>33258</v>
      </c>
    </row>
    <row r="45" spans="1:7" ht="14.25" customHeight="1" x14ac:dyDescent="0.3">
      <c r="A45" s="5" t="s">
        <v>34</v>
      </c>
      <c r="B45" s="5" t="s">
        <v>27</v>
      </c>
      <c r="C45" s="5">
        <v>1210</v>
      </c>
      <c r="D45" s="5">
        <v>178</v>
      </c>
      <c r="E45" s="5">
        <v>102042</v>
      </c>
      <c r="F45" s="5">
        <v>5.42</v>
      </c>
      <c r="G45" s="5">
        <v>6915</v>
      </c>
    </row>
    <row r="46" spans="1:7" ht="14.25" customHeight="1" x14ac:dyDescent="0.3">
      <c r="A46" s="5" t="s">
        <v>81</v>
      </c>
      <c r="B46" s="5" t="s">
        <v>33</v>
      </c>
      <c r="C46" s="5">
        <v>215</v>
      </c>
      <c r="D46" s="5">
        <v>139</v>
      </c>
      <c r="E46" s="5">
        <v>325444</v>
      </c>
      <c r="F46" s="5">
        <v>3.25</v>
      </c>
      <c r="G46" s="5">
        <v>35501</v>
      </c>
    </row>
    <row r="47" spans="1:7" ht="14.25" customHeight="1" x14ac:dyDescent="0.3">
      <c r="A47" s="5" t="s">
        <v>81</v>
      </c>
      <c r="B47" s="5" t="s">
        <v>43</v>
      </c>
      <c r="C47" s="5">
        <v>1078</v>
      </c>
      <c r="D47" s="5">
        <v>20</v>
      </c>
      <c r="E47" s="5">
        <v>183924</v>
      </c>
      <c r="F47" s="5">
        <v>8.84</v>
      </c>
      <c r="G47" s="5">
        <v>14203</v>
      </c>
    </row>
    <row r="48" spans="1:7" ht="14.25" customHeight="1" x14ac:dyDescent="0.3">
      <c r="A48" s="5" t="s">
        <v>81</v>
      </c>
      <c r="B48" s="5" t="s">
        <v>14</v>
      </c>
      <c r="C48" s="5">
        <v>1751</v>
      </c>
      <c r="D48" s="5">
        <v>86</v>
      </c>
      <c r="E48" s="5">
        <v>188655</v>
      </c>
      <c r="F48" s="5">
        <v>7.24</v>
      </c>
      <c r="G48" s="5">
        <v>22206</v>
      </c>
    </row>
    <row r="49" spans="1:7" ht="14.25" customHeight="1" x14ac:dyDescent="0.3">
      <c r="A49" s="5" t="s">
        <v>81</v>
      </c>
      <c r="B49" s="5" t="s">
        <v>27</v>
      </c>
      <c r="C49" s="5">
        <v>221</v>
      </c>
      <c r="D49" s="5">
        <v>31</v>
      </c>
      <c r="E49" s="5">
        <v>87443</v>
      </c>
      <c r="F49" s="5">
        <v>6.19</v>
      </c>
      <c r="G49" s="5">
        <v>10283</v>
      </c>
    </row>
    <row r="50" spans="1:7" ht="14.25" customHeight="1" x14ac:dyDescent="0.3">
      <c r="A50" s="5" t="s">
        <v>77</v>
      </c>
      <c r="B50" s="5" t="s">
        <v>33</v>
      </c>
      <c r="C50" s="5">
        <v>1685</v>
      </c>
      <c r="D50" s="5">
        <v>76</v>
      </c>
      <c r="E50" s="5">
        <v>453799</v>
      </c>
      <c r="F50" s="5">
        <v>5.71</v>
      </c>
      <c r="G50" s="5">
        <v>24913</v>
      </c>
    </row>
    <row r="51" spans="1:7" ht="14.25" customHeight="1" x14ac:dyDescent="0.3">
      <c r="A51" s="5" t="s">
        <v>77</v>
      </c>
      <c r="B51" s="5" t="s">
        <v>43</v>
      </c>
      <c r="C51" s="5">
        <v>248</v>
      </c>
      <c r="D51" s="5">
        <v>211</v>
      </c>
      <c r="E51" s="5">
        <v>379380</v>
      </c>
      <c r="F51" s="5">
        <v>9.0399999999999991</v>
      </c>
      <c r="G51" s="5">
        <v>26925</v>
      </c>
    </row>
    <row r="52" spans="1:7" ht="14.25" customHeight="1" x14ac:dyDescent="0.3">
      <c r="A52" s="5" t="s">
        <v>77</v>
      </c>
      <c r="B52" s="5" t="s">
        <v>14</v>
      </c>
      <c r="C52" s="5">
        <v>1300</v>
      </c>
      <c r="D52" s="5">
        <v>71</v>
      </c>
      <c r="E52" s="5">
        <v>186454</v>
      </c>
      <c r="F52" s="5">
        <v>3.91</v>
      </c>
      <c r="G52" s="5">
        <v>9942</v>
      </c>
    </row>
    <row r="53" spans="1:7" ht="14.25" customHeight="1" x14ac:dyDescent="0.3">
      <c r="A53" s="5" t="s">
        <v>77</v>
      </c>
      <c r="B53" s="5" t="s">
        <v>27</v>
      </c>
      <c r="C53" s="5">
        <v>422</v>
      </c>
      <c r="D53" s="5">
        <v>394</v>
      </c>
      <c r="E53" s="5">
        <v>239044</v>
      </c>
      <c r="F53" s="5">
        <v>7.83</v>
      </c>
      <c r="G53" s="5">
        <v>32929</v>
      </c>
    </row>
    <row r="54" spans="1:7" ht="14.25" customHeight="1" x14ac:dyDescent="0.3">
      <c r="A54" s="5" t="s">
        <v>195</v>
      </c>
      <c r="B54" s="5" t="s">
        <v>33</v>
      </c>
      <c r="C54" s="5">
        <v>1429</v>
      </c>
      <c r="D54" s="5">
        <v>182</v>
      </c>
      <c r="E54" s="5">
        <v>101332</v>
      </c>
      <c r="F54" s="5">
        <v>7.16</v>
      </c>
      <c r="G54" s="5">
        <v>37829</v>
      </c>
    </row>
    <row r="55" spans="1:7" ht="14.25" customHeight="1" x14ac:dyDescent="0.3">
      <c r="A55" s="5" t="s">
        <v>195</v>
      </c>
      <c r="B55" s="5" t="s">
        <v>43</v>
      </c>
      <c r="C55" s="5">
        <v>1520</v>
      </c>
      <c r="D55" s="5">
        <v>475</v>
      </c>
      <c r="E55" s="5">
        <v>496982</v>
      </c>
      <c r="F55" s="5">
        <v>6.41</v>
      </c>
      <c r="G55" s="5">
        <v>24384</v>
      </c>
    </row>
    <row r="56" spans="1:7" ht="14.25" customHeight="1" x14ac:dyDescent="0.3">
      <c r="A56" s="5" t="s">
        <v>195</v>
      </c>
      <c r="B56" s="5" t="s">
        <v>14</v>
      </c>
      <c r="C56" s="5">
        <v>557</v>
      </c>
      <c r="D56" s="5">
        <v>360</v>
      </c>
      <c r="E56" s="5">
        <v>318779</v>
      </c>
      <c r="F56" s="5">
        <v>8.02</v>
      </c>
      <c r="G56" s="5">
        <v>25797</v>
      </c>
    </row>
    <row r="57" spans="1:7" ht="14.25" customHeight="1" x14ac:dyDescent="0.3">
      <c r="A57" s="5" t="s">
        <v>195</v>
      </c>
      <c r="B57" s="5" t="s">
        <v>27</v>
      </c>
      <c r="C57" s="5">
        <v>728</v>
      </c>
      <c r="D57" s="5">
        <v>395</v>
      </c>
      <c r="E57" s="5">
        <v>370971</v>
      </c>
      <c r="F57" s="5">
        <v>3.86</v>
      </c>
      <c r="G57" s="5">
        <v>12646</v>
      </c>
    </row>
    <row r="58" spans="1:7" ht="14.25" customHeight="1" x14ac:dyDescent="0.3">
      <c r="A58" s="5" t="s">
        <v>87</v>
      </c>
      <c r="B58" s="5" t="s">
        <v>33</v>
      </c>
      <c r="C58" s="5">
        <v>1592</v>
      </c>
      <c r="D58" s="5">
        <v>20</v>
      </c>
      <c r="E58" s="5">
        <v>378054</v>
      </c>
      <c r="F58" s="5">
        <v>9.09</v>
      </c>
      <c r="G58" s="5">
        <v>26663</v>
      </c>
    </row>
    <row r="59" spans="1:7" ht="14.25" customHeight="1" x14ac:dyDescent="0.3">
      <c r="A59" s="5" t="s">
        <v>87</v>
      </c>
      <c r="B59" s="5" t="s">
        <v>43</v>
      </c>
      <c r="C59" s="5">
        <v>1842</v>
      </c>
      <c r="D59" s="5">
        <v>414</v>
      </c>
      <c r="E59" s="5">
        <v>307524</v>
      </c>
      <c r="F59" s="5">
        <v>1.76</v>
      </c>
      <c r="G59" s="5">
        <v>40478</v>
      </c>
    </row>
    <row r="60" spans="1:7" ht="14.25" customHeight="1" x14ac:dyDescent="0.3">
      <c r="A60" s="5" t="s">
        <v>87</v>
      </c>
      <c r="B60" s="5" t="s">
        <v>14</v>
      </c>
      <c r="C60" s="5">
        <v>751</v>
      </c>
      <c r="D60" s="5">
        <v>491</v>
      </c>
      <c r="E60" s="5">
        <v>434047</v>
      </c>
      <c r="F60" s="5">
        <v>9.24</v>
      </c>
      <c r="G60" s="5">
        <v>15476</v>
      </c>
    </row>
    <row r="61" spans="1:7" ht="14.25" customHeight="1" x14ac:dyDescent="0.3">
      <c r="A61" s="5" t="s">
        <v>87</v>
      </c>
      <c r="B61" s="5" t="s">
        <v>27</v>
      </c>
      <c r="C61" s="5">
        <v>1409</v>
      </c>
      <c r="D61" s="5">
        <v>309</v>
      </c>
      <c r="E61" s="5">
        <v>64583</v>
      </c>
      <c r="F61" s="5">
        <v>8.99</v>
      </c>
      <c r="G61" s="5">
        <v>10217</v>
      </c>
    </row>
    <row r="62" spans="1:7" ht="14.25" customHeight="1" x14ac:dyDescent="0.3">
      <c r="A62" s="5" t="s">
        <v>575</v>
      </c>
      <c r="B62" s="5" t="s">
        <v>33</v>
      </c>
      <c r="C62" s="5">
        <v>778</v>
      </c>
      <c r="D62" s="5">
        <v>401</v>
      </c>
      <c r="E62" s="5">
        <v>50793</v>
      </c>
      <c r="F62" s="5">
        <v>3.4</v>
      </c>
      <c r="G62" s="5">
        <v>21939</v>
      </c>
    </row>
    <row r="63" spans="1:7" ht="14.25" customHeight="1" x14ac:dyDescent="0.3">
      <c r="A63" s="5" t="s">
        <v>575</v>
      </c>
      <c r="B63" s="5" t="s">
        <v>43</v>
      </c>
      <c r="C63" s="5">
        <v>443</v>
      </c>
      <c r="D63" s="5">
        <v>345</v>
      </c>
      <c r="E63" s="5">
        <v>474162</v>
      </c>
      <c r="F63" s="5">
        <v>9.1999999999999993</v>
      </c>
      <c r="G63" s="5">
        <v>47462</v>
      </c>
    </row>
    <row r="64" spans="1:7" ht="14.25" customHeight="1" x14ac:dyDescent="0.3">
      <c r="A64" s="5" t="s">
        <v>575</v>
      </c>
      <c r="B64" s="5" t="s">
        <v>14</v>
      </c>
      <c r="C64" s="5">
        <v>1472</v>
      </c>
      <c r="D64" s="5">
        <v>347</v>
      </c>
      <c r="E64" s="5">
        <v>392355</v>
      </c>
      <c r="F64" s="5">
        <v>8.59</v>
      </c>
      <c r="G64" s="5">
        <v>30270</v>
      </c>
    </row>
    <row r="65" spans="1:7" ht="14.25" customHeight="1" x14ac:dyDescent="0.3">
      <c r="A65" s="5" t="s">
        <v>575</v>
      </c>
      <c r="B65" s="5" t="s">
        <v>27</v>
      </c>
      <c r="C65" s="5">
        <v>123</v>
      </c>
      <c r="D65" s="5">
        <v>155</v>
      </c>
      <c r="E65" s="5">
        <v>119934</v>
      </c>
      <c r="F65" s="5">
        <v>3.5</v>
      </c>
      <c r="G65" s="5">
        <v>5442</v>
      </c>
    </row>
    <row r="66" spans="1:7" ht="14.25" customHeight="1" x14ac:dyDescent="0.3">
      <c r="A66" s="5" t="s">
        <v>576</v>
      </c>
      <c r="B66" s="5" t="s">
        <v>33</v>
      </c>
      <c r="C66" s="5">
        <v>817</v>
      </c>
      <c r="D66" s="5">
        <v>151</v>
      </c>
      <c r="E66" s="5">
        <v>422625</v>
      </c>
      <c r="F66" s="5">
        <v>2.36</v>
      </c>
      <c r="G66" s="5">
        <v>1083</v>
      </c>
    </row>
    <row r="67" spans="1:7" ht="14.25" customHeight="1" x14ac:dyDescent="0.3">
      <c r="A67" s="5" t="s">
        <v>576</v>
      </c>
      <c r="B67" s="5" t="s">
        <v>43</v>
      </c>
      <c r="C67" s="5">
        <v>198</v>
      </c>
      <c r="D67" s="5">
        <v>217</v>
      </c>
      <c r="E67" s="5">
        <v>239753</v>
      </c>
      <c r="F67" s="5">
        <v>7.36</v>
      </c>
      <c r="G67" s="5">
        <v>11901</v>
      </c>
    </row>
    <row r="68" spans="1:7" ht="14.25" customHeight="1" x14ac:dyDescent="0.3">
      <c r="A68" s="5" t="s">
        <v>576</v>
      </c>
      <c r="B68" s="5" t="s">
        <v>14</v>
      </c>
      <c r="C68" s="5">
        <v>1911</v>
      </c>
      <c r="D68" s="5">
        <v>231</v>
      </c>
      <c r="E68" s="5">
        <v>268516</v>
      </c>
      <c r="F68" s="5">
        <v>8.5500000000000007</v>
      </c>
      <c r="G68" s="5">
        <v>24018</v>
      </c>
    </row>
    <row r="69" spans="1:7" ht="14.25" customHeight="1" x14ac:dyDescent="0.3">
      <c r="A69" s="5" t="s">
        <v>576</v>
      </c>
      <c r="B69" s="5" t="s">
        <v>27</v>
      </c>
      <c r="C69" s="5">
        <v>1218</v>
      </c>
      <c r="D69" s="5">
        <v>212</v>
      </c>
      <c r="E69" s="5">
        <v>63177</v>
      </c>
      <c r="F69" s="5">
        <v>8.1300000000000008</v>
      </c>
      <c r="G69" s="5">
        <v>38883</v>
      </c>
    </row>
    <row r="70" spans="1:7" ht="14.25" customHeight="1" x14ac:dyDescent="0.3">
      <c r="A70" s="5" t="s">
        <v>577</v>
      </c>
      <c r="B70" s="5" t="s">
        <v>33</v>
      </c>
      <c r="C70" s="5">
        <v>1433</v>
      </c>
      <c r="D70" s="5">
        <v>408</v>
      </c>
      <c r="E70" s="5">
        <v>370269</v>
      </c>
      <c r="F70" s="5">
        <v>3.3</v>
      </c>
      <c r="G70" s="5">
        <v>30575</v>
      </c>
    </row>
    <row r="71" spans="1:7" ht="14.25" customHeight="1" x14ac:dyDescent="0.3">
      <c r="A71" s="5" t="s">
        <v>577</v>
      </c>
      <c r="B71" s="5" t="s">
        <v>43</v>
      </c>
      <c r="C71" s="5">
        <v>250</v>
      </c>
      <c r="D71" s="5">
        <v>429</v>
      </c>
      <c r="E71" s="5">
        <v>453423</v>
      </c>
      <c r="F71" s="5">
        <v>1.77</v>
      </c>
      <c r="G71" s="5">
        <v>2315</v>
      </c>
    </row>
    <row r="72" spans="1:7" ht="14.25" customHeight="1" x14ac:dyDescent="0.3">
      <c r="A72" s="5" t="s">
        <v>577</v>
      </c>
      <c r="B72" s="5" t="s">
        <v>14</v>
      </c>
      <c r="C72" s="5">
        <v>752</v>
      </c>
      <c r="D72" s="5">
        <v>153</v>
      </c>
      <c r="E72" s="5">
        <v>64906</v>
      </c>
      <c r="F72" s="5">
        <v>2.09</v>
      </c>
      <c r="G72" s="5">
        <v>12148</v>
      </c>
    </row>
    <row r="73" spans="1:7" ht="14.25" customHeight="1" x14ac:dyDescent="0.3">
      <c r="A73" s="5" t="s">
        <v>577</v>
      </c>
      <c r="B73" s="5" t="s">
        <v>27</v>
      </c>
      <c r="C73" s="5">
        <v>1918</v>
      </c>
      <c r="D73" s="5">
        <v>212</v>
      </c>
      <c r="E73" s="5">
        <v>94360</v>
      </c>
      <c r="F73" s="5">
        <v>7.36</v>
      </c>
      <c r="G73" s="5">
        <v>36851</v>
      </c>
    </row>
    <row r="74" spans="1:7" ht="14.25" customHeight="1" x14ac:dyDescent="0.3">
      <c r="A74" s="5" t="s">
        <v>578</v>
      </c>
      <c r="B74" s="5" t="s">
        <v>33</v>
      </c>
      <c r="C74" s="5">
        <v>1939</v>
      </c>
      <c r="D74" s="5">
        <v>67</v>
      </c>
      <c r="E74" s="5">
        <v>187183</v>
      </c>
      <c r="F74" s="5">
        <v>6.25</v>
      </c>
      <c r="G74" s="5">
        <v>41215</v>
      </c>
    </row>
    <row r="75" spans="1:7" ht="14.25" customHeight="1" x14ac:dyDescent="0.3">
      <c r="A75" s="5" t="s">
        <v>578</v>
      </c>
      <c r="B75" s="5" t="s">
        <v>43</v>
      </c>
      <c r="C75" s="5">
        <v>1929</v>
      </c>
      <c r="D75" s="5">
        <v>267</v>
      </c>
      <c r="E75" s="5">
        <v>379363</v>
      </c>
      <c r="F75" s="5">
        <v>1.75</v>
      </c>
      <c r="G75" s="5">
        <v>43836</v>
      </c>
    </row>
    <row r="76" spans="1:7" ht="14.25" customHeight="1" x14ac:dyDescent="0.3">
      <c r="A76" s="5" t="s">
        <v>578</v>
      </c>
      <c r="B76" s="5" t="s">
        <v>14</v>
      </c>
      <c r="C76" s="5">
        <v>437</v>
      </c>
      <c r="D76" s="5">
        <v>330</v>
      </c>
      <c r="E76" s="5">
        <v>476486</v>
      </c>
      <c r="F76" s="5">
        <v>4.97</v>
      </c>
      <c r="G76" s="5">
        <v>4509</v>
      </c>
    </row>
    <row r="77" spans="1:7" ht="14.25" customHeight="1" x14ac:dyDescent="0.3">
      <c r="A77" s="5" t="s">
        <v>578</v>
      </c>
      <c r="B77" s="5" t="s">
        <v>27</v>
      </c>
      <c r="C77" s="5">
        <v>307</v>
      </c>
      <c r="D77" s="5">
        <v>189</v>
      </c>
      <c r="E77" s="5">
        <v>117767</v>
      </c>
      <c r="F77" s="5">
        <v>9.3000000000000007</v>
      </c>
      <c r="G77" s="5">
        <v>27822</v>
      </c>
    </row>
    <row r="78" spans="1:7" ht="14.25" customHeight="1" x14ac:dyDescent="0.3">
      <c r="A78" s="5" t="s">
        <v>579</v>
      </c>
      <c r="B78" s="5" t="s">
        <v>33</v>
      </c>
      <c r="C78" s="5">
        <v>1527</v>
      </c>
      <c r="D78" s="5">
        <v>303</v>
      </c>
      <c r="E78" s="5">
        <v>388555</v>
      </c>
      <c r="F78" s="5">
        <v>8.9</v>
      </c>
      <c r="G78" s="5">
        <v>36397</v>
      </c>
    </row>
    <row r="79" spans="1:7" ht="14.25" customHeight="1" x14ac:dyDescent="0.3">
      <c r="A79" s="5" t="s">
        <v>579</v>
      </c>
      <c r="B79" s="5" t="s">
        <v>43</v>
      </c>
      <c r="C79" s="5">
        <v>643</v>
      </c>
      <c r="D79" s="5">
        <v>358</v>
      </c>
      <c r="E79" s="5">
        <v>157599</v>
      </c>
      <c r="F79" s="5">
        <v>3.88</v>
      </c>
      <c r="G79" s="5">
        <v>7285</v>
      </c>
    </row>
    <row r="80" spans="1:7" ht="14.25" customHeight="1" x14ac:dyDescent="0.3">
      <c r="A80" s="5" t="s">
        <v>579</v>
      </c>
      <c r="B80" s="5" t="s">
        <v>14</v>
      </c>
      <c r="C80" s="5">
        <v>201</v>
      </c>
      <c r="D80" s="5">
        <v>221</v>
      </c>
      <c r="E80" s="5">
        <v>309772</v>
      </c>
      <c r="F80" s="5">
        <v>5.9</v>
      </c>
      <c r="G80" s="5">
        <v>33174</v>
      </c>
    </row>
    <row r="81" spans="1:7" ht="14.25" customHeight="1" x14ac:dyDescent="0.3">
      <c r="A81" s="5" t="s">
        <v>579</v>
      </c>
      <c r="B81" s="5" t="s">
        <v>27</v>
      </c>
      <c r="C81" s="5">
        <v>414</v>
      </c>
      <c r="D81" s="5">
        <v>47</v>
      </c>
      <c r="E81" s="5">
        <v>199178</v>
      </c>
      <c r="F81" s="5">
        <v>1.53</v>
      </c>
      <c r="G81" s="5">
        <v>6742</v>
      </c>
    </row>
    <row r="82" spans="1:7" ht="14.25" customHeight="1" x14ac:dyDescent="0.3">
      <c r="A82" s="5" t="s">
        <v>168</v>
      </c>
      <c r="B82" s="5" t="s">
        <v>33</v>
      </c>
      <c r="C82" s="5">
        <v>703</v>
      </c>
      <c r="D82" s="5">
        <v>441</v>
      </c>
      <c r="E82" s="5">
        <v>357089</v>
      </c>
      <c r="F82" s="5">
        <v>6.5</v>
      </c>
      <c r="G82" s="5">
        <v>32478</v>
      </c>
    </row>
    <row r="83" spans="1:7" ht="14.25" customHeight="1" x14ac:dyDescent="0.3">
      <c r="A83" s="5" t="s">
        <v>168</v>
      </c>
      <c r="B83" s="5" t="s">
        <v>43</v>
      </c>
      <c r="C83" s="5">
        <v>508</v>
      </c>
      <c r="D83" s="5">
        <v>69</v>
      </c>
      <c r="E83" s="5">
        <v>23492</v>
      </c>
      <c r="F83" s="5">
        <v>3.16</v>
      </c>
      <c r="G83" s="5">
        <v>42824</v>
      </c>
    </row>
    <row r="84" spans="1:7" ht="14.25" customHeight="1" x14ac:dyDescent="0.3">
      <c r="A84" s="5" t="s">
        <v>168</v>
      </c>
      <c r="B84" s="5" t="s">
        <v>14</v>
      </c>
      <c r="C84" s="5">
        <v>697</v>
      </c>
      <c r="D84" s="5">
        <v>61</v>
      </c>
      <c r="E84" s="5">
        <v>258287</v>
      </c>
      <c r="F84" s="5">
        <v>8.25</v>
      </c>
      <c r="G84" s="5">
        <v>21208</v>
      </c>
    </row>
    <row r="85" spans="1:7" ht="14.25" customHeight="1" x14ac:dyDescent="0.3">
      <c r="A85" s="5" t="s">
        <v>168</v>
      </c>
      <c r="B85" s="5" t="s">
        <v>27</v>
      </c>
      <c r="C85" s="5">
        <v>1707</v>
      </c>
      <c r="D85" s="5">
        <v>223</v>
      </c>
      <c r="E85" s="5">
        <v>256910</v>
      </c>
      <c r="F85" s="5">
        <v>5.41</v>
      </c>
      <c r="G85" s="5">
        <v>44321</v>
      </c>
    </row>
    <row r="86" spans="1:7" ht="14.25" customHeight="1" x14ac:dyDescent="0.3">
      <c r="A86" s="5" t="s">
        <v>201</v>
      </c>
      <c r="B86" s="5" t="s">
        <v>33</v>
      </c>
      <c r="C86" s="5">
        <v>642</v>
      </c>
      <c r="D86" s="5">
        <v>66</v>
      </c>
      <c r="E86" s="5">
        <v>346522</v>
      </c>
      <c r="F86" s="5">
        <v>5.85</v>
      </c>
      <c r="G86" s="5">
        <v>13116</v>
      </c>
    </row>
    <row r="87" spans="1:7" ht="14.25" customHeight="1" x14ac:dyDescent="0.3">
      <c r="A87" s="5" t="s">
        <v>201</v>
      </c>
      <c r="B87" s="5" t="s">
        <v>43</v>
      </c>
      <c r="C87" s="5">
        <v>859</v>
      </c>
      <c r="D87" s="5">
        <v>473</v>
      </c>
      <c r="E87" s="5">
        <v>209987</v>
      </c>
      <c r="F87" s="5">
        <v>4.46</v>
      </c>
      <c r="G87" s="5">
        <v>30214</v>
      </c>
    </row>
    <row r="88" spans="1:7" ht="14.25" customHeight="1" x14ac:dyDescent="0.3">
      <c r="A88" s="5" t="s">
        <v>201</v>
      </c>
      <c r="B88" s="5" t="s">
        <v>14</v>
      </c>
      <c r="C88" s="5">
        <v>191</v>
      </c>
      <c r="D88" s="5">
        <v>154</v>
      </c>
      <c r="E88" s="5">
        <v>240550</v>
      </c>
      <c r="F88" s="5">
        <v>5.22</v>
      </c>
      <c r="G88" s="5">
        <v>15827</v>
      </c>
    </row>
    <row r="89" spans="1:7" ht="14.25" customHeight="1" x14ac:dyDescent="0.3">
      <c r="A89" s="5" t="s">
        <v>201</v>
      </c>
      <c r="B89" s="5" t="s">
        <v>27</v>
      </c>
      <c r="C89" s="5">
        <v>1814</v>
      </c>
      <c r="D89" s="5">
        <v>157</v>
      </c>
      <c r="E89" s="5">
        <v>305827</v>
      </c>
      <c r="F89" s="5">
        <v>1.99</v>
      </c>
      <c r="G89" s="5">
        <v>46643</v>
      </c>
    </row>
    <row r="90" spans="1:7" ht="14.25" customHeight="1" x14ac:dyDescent="0.3">
      <c r="A90" s="5" t="s">
        <v>282</v>
      </c>
      <c r="B90" s="5" t="s">
        <v>33</v>
      </c>
      <c r="C90" s="5">
        <v>1466</v>
      </c>
      <c r="D90" s="5">
        <v>69</v>
      </c>
      <c r="E90" s="5">
        <v>54935</v>
      </c>
      <c r="F90" s="5">
        <v>6.85</v>
      </c>
      <c r="G90" s="5">
        <v>36484</v>
      </c>
    </row>
    <row r="91" spans="1:7" ht="14.25" customHeight="1" x14ac:dyDescent="0.3">
      <c r="A91" s="5" t="s">
        <v>282</v>
      </c>
      <c r="B91" s="5" t="s">
        <v>43</v>
      </c>
      <c r="C91" s="5">
        <v>947</v>
      </c>
      <c r="D91" s="5">
        <v>407</v>
      </c>
      <c r="E91" s="5">
        <v>319186</v>
      </c>
      <c r="F91" s="5">
        <v>3.32</v>
      </c>
      <c r="G91" s="5">
        <v>4996</v>
      </c>
    </row>
    <row r="92" spans="1:7" ht="14.25" customHeight="1" x14ac:dyDescent="0.3">
      <c r="A92" s="5" t="s">
        <v>282</v>
      </c>
      <c r="B92" s="5" t="s">
        <v>14</v>
      </c>
      <c r="C92" s="5">
        <v>1821</v>
      </c>
      <c r="D92" s="5">
        <v>218</v>
      </c>
      <c r="E92" s="5">
        <v>439080</v>
      </c>
      <c r="F92" s="5">
        <v>5.68</v>
      </c>
      <c r="G92" s="5">
        <v>36095</v>
      </c>
    </row>
    <row r="93" spans="1:7" ht="14.25" customHeight="1" x14ac:dyDescent="0.3">
      <c r="A93" s="5" t="s">
        <v>282</v>
      </c>
      <c r="B93" s="5" t="s">
        <v>27</v>
      </c>
      <c r="C93" s="5">
        <v>1507</v>
      </c>
      <c r="D93" s="5">
        <v>463</v>
      </c>
      <c r="E93" s="5">
        <v>258944</v>
      </c>
      <c r="F93" s="5">
        <v>6.08</v>
      </c>
      <c r="G93" s="5">
        <v>16443</v>
      </c>
    </row>
    <row r="94" spans="1:7" ht="14.25" customHeight="1" x14ac:dyDescent="0.3">
      <c r="A94" s="5" t="s">
        <v>580</v>
      </c>
      <c r="B94" s="5" t="s">
        <v>33</v>
      </c>
      <c r="C94" s="5">
        <v>1075</v>
      </c>
      <c r="D94" s="5">
        <v>173</v>
      </c>
      <c r="E94" s="5">
        <v>51395</v>
      </c>
      <c r="F94" s="5">
        <v>4.66</v>
      </c>
      <c r="G94" s="5">
        <v>47812</v>
      </c>
    </row>
    <row r="95" spans="1:7" ht="14.25" customHeight="1" x14ac:dyDescent="0.3">
      <c r="A95" s="5" t="s">
        <v>580</v>
      </c>
      <c r="B95" s="5" t="s">
        <v>43</v>
      </c>
      <c r="C95" s="5">
        <v>171</v>
      </c>
      <c r="D95" s="5">
        <v>277</v>
      </c>
      <c r="E95" s="5">
        <v>309483</v>
      </c>
      <c r="F95" s="5">
        <v>8.6999999999999993</v>
      </c>
      <c r="G95" s="5">
        <v>38452</v>
      </c>
    </row>
    <row r="96" spans="1:7" ht="14.25" customHeight="1" x14ac:dyDescent="0.3">
      <c r="A96" s="5" t="s">
        <v>580</v>
      </c>
      <c r="B96" s="5" t="s">
        <v>14</v>
      </c>
      <c r="C96" s="5">
        <v>1487</v>
      </c>
      <c r="D96" s="5">
        <v>337</v>
      </c>
      <c r="E96" s="5">
        <v>87305</v>
      </c>
      <c r="F96" s="5">
        <v>2.46</v>
      </c>
      <c r="G96" s="5">
        <v>30428</v>
      </c>
    </row>
    <row r="97" spans="1:7" ht="14.25" customHeight="1" x14ac:dyDescent="0.3">
      <c r="A97" s="5" t="s">
        <v>580</v>
      </c>
      <c r="B97" s="5" t="s">
        <v>27</v>
      </c>
      <c r="C97" s="5">
        <v>454</v>
      </c>
      <c r="D97" s="5">
        <v>105</v>
      </c>
      <c r="E97" s="5">
        <v>121091</v>
      </c>
      <c r="F97" s="5">
        <v>7.97</v>
      </c>
      <c r="G97" s="5">
        <v>9269</v>
      </c>
    </row>
    <row r="98" spans="1:7" ht="14.25" customHeight="1" x14ac:dyDescent="0.3">
      <c r="A98" s="5" t="s">
        <v>67</v>
      </c>
      <c r="B98" s="5" t="s">
        <v>33</v>
      </c>
      <c r="C98" s="5">
        <v>187</v>
      </c>
      <c r="D98" s="5">
        <v>236</v>
      </c>
      <c r="E98" s="5">
        <v>51087</v>
      </c>
      <c r="F98" s="5">
        <v>9.41</v>
      </c>
      <c r="G98" s="5">
        <v>29533</v>
      </c>
    </row>
    <row r="99" spans="1:7" ht="14.25" customHeight="1" x14ac:dyDescent="0.3">
      <c r="A99" s="5" t="s">
        <v>67</v>
      </c>
      <c r="B99" s="5" t="s">
        <v>43</v>
      </c>
      <c r="C99" s="5">
        <v>513</v>
      </c>
      <c r="D99" s="5">
        <v>441</v>
      </c>
      <c r="E99" s="5">
        <v>338847</v>
      </c>
      <c r="F99" s="5">
        <v>2.68</v>
      </c>
      <c r="G99" s="5">
        <v>39997</v>
      </c>
    </row>
    <row r="100" spans="1:7" ht="14.25" customHeight="1" x14ac:dyDescent="0.3">
      <c r="A100" s="5" t="s">
        <v>67</v>
      </c>
      <c r="B100" s="5" t="s">
        <v>14</v>
      </c>
      <c r="C100" s="5">
        <v>628</v>
      </c>
      <c r="D100" s="5">
        <v>183</v>
      </c>
      <c r="E100" s="5">
        <v>487523</v>
      </c>
      <c r="F100" s="5">
        <v>7.32</v>
      </c>
      <c r="G100" s="5">
        <v>5391</v>
      </c>
    </row>
    <row r="101" spans="1:7" ht="14.25" customHeight="1" x14ac:dyDescent="0.3">
      <c r="A101" s="5" t="s">
        <v>67</v>
      </c>
      <c r="B101" s="5" t="s">
        <v>27</v>
      </c>
      <c r="C101" s="5">
        <v>278</v>
      </c>
      <c r="D101" s="5">
        <v>218</v>
      </c>
      <c r="E101" s="5">
        <v>301695</v>
      </c>
      <c r="F101" s="5">
        <v>4.68</v>
      </c>
      <c r="G101" s="5">
        <v>22373</v>
      </c>
    </row>
    <row r="102" spans="1:7" ht="14.25" customHeight="1" x14ac:dyDescent="0.3">
      <c r="A102" s="5" t="s">
        <v>129</v>
      </c>
      <c r="B102" s="5" t="s">
        <v>33</v>
      </c>
      <c r="C102" s="5">
        <v>1854</v>
      </c>
      <c r="D102" s="5">
        <v>161</v>
      </c>
      <c r="E102" s="5">
        <v>282466</v>
      </c>
      <c r="F102" s="5">
        <v>5.17</v>
      </c>
      <c r="G102" s="5">
        <v>1810</v>
      </c>
    </row>
    <row r="103" spans="1:7" ht="14.25" customHeight="1" x14ac:dyDescent="0.3">
      <c r="A103" s="5" t="s">
        <v>129</v>
      </c>
      <c r="B103" s="5" t="s">
        <v>43</v>
      </c>
      <c r="C103" s="5">
        <v>1710</v>
      </c>
      <c r="D103" s="5">
        <v>378</v>
      </c>
      <c r="E103" s="5">
        <v>336661</v>
      </c>
      <c r="F103" s="5">
        <v>6.2</v>
      </c>
      <c r="G103" s="5">
        <v>28498</v>
      </c>
    </row>
    <row r="104" spans="1:7" ht="14.25" customHeight="1" x14ac:dyDescent="0.3">
      <c r="A104" s="5" t="s">
        <v>129</v>
      </c>
      <c r="B104" s="5" t="s">
        <v>14</v>
      </c>
      <c r="C104" s="5">
        <v>330</v>
      </c>
      <c r="D104" s="5">
        <v>232</v>
      </c>
      <c r="E104" s="5">
        <v>88455</v>
      </c>
      <c r="F104" s="5">
        <v>2.69</v>
      </c>
      <c r="G104" s="5">
        <v>39530</v>
      </c>
    </row>
    <row r="105" spans="1:7" ht="14.25" customHeight="1" x14ac:dyDescent="0.3">
      <c r="A105" s="5" t="s">
        <v>129</v>
      </c>
      <c r="B105" s="5" t="s">
        <v>27</v>
      </c>
      <c r="C105" s="5">
        <v>1293</v>
      </c>
      <c r="D105" s="5">
        <v>408</v>
      </c>
      <c r="E105" s="5">
        <v>62535</v>
      </c>
      <c r="F105" s="5">
        <v>8.9</v>
      </c>
      <c r="G105" s="5">
        <v>37876</v>
      </c>
    </row>
    <row r="106" spans="1:7" ht="14.25" customHeight="1" x14ac:dyDescent="0.3">
      <c r="A106" s="5" t="s">
        <v>581</v>
      </c>
      <c r="B106" s="5" t="s">
        <v>33</v>
      </c>
      <c r="C106" s="5">
        <v>1696</v>
      </c>
      <c r="D106" s="5">
        <v>71</v>
      </c>
      <c r="E106" s="5">
        <v>421957</v>
      </c>
      <c r="F106" s="5">
        <v>3.79</v>
      </c>
      <c r="G106" s="5">
        <v>36103</v>
      </c>
    </row>
    <row r="107" spans="1:7" ht="14.25" customHeight="1" x14ac:dyDescent="0.3">
      <c r="A107" s="5" t="s">
        <v>581</v>
      </c>
      <c r="B107" s="5" t="s">
        <v>43</v>
      </c>
      <c r="C107" s="5">
        <v>1902</v>
      </c>
      <c r="D107" s="5">
        <v>196</v>
      </c>
      <c r="E107" s="5">
        <v>470269</v>
      </c>
      <c r="F107" s="5">
        <v>4.79</v>
      </c>
      <c r="G107" s="5">
        <v>26103</v>
      </c>
    </row>
    <row r="108" spans="1:7" ht="14.25" customHeight="1" x14ac:dyDescent="0.3">
      <c r="A108" s="5" t="s">
        <v>581</v>
      </c>
      <c r="B108" s="5" t="s">
        <v>14</v>
      </c>
      <c r="C108" s="5">
        <v>1441</v>
      </c>
      <c r="D108" s="5">
        <v>268</v>
      </c>
      <c r="E108" s="5">
        <v>309904</v>
      </c>
      <c r="F108" s="5">
        <v>6.37</v>
      </c>
      <c r="G108" s="5">
        <v>3455</v>
      </c>
    </row>
    <row r="109" spans="1:7" ht="14.25" customHeight="1" x14ac:dyDescent="0.3">
      <c r="A109" s="5" t="s">
        <v>581</v>
      </c>
      <c r="B109" s="5" t="s">
        <v>27</v>
      </c>
      <c r="C109" s="5">
        <v>452</v>
      </c>
      <c r="D109" s="5">
        <v>161</v>
      </c>
      <c r="E109" s="5">
        <v>221274</v>
      </c>
      <c r="F109" s="5">
        <v>2.65</v>
      </c>
      <c r="G109" s="5">
        <v>40888</v>
      </c>
    </row>
    <row r="110" spans="1:7" ht="14.25" customHeight="1" x14ac:dyDescent="0.3">
      <c r="A110" s="5" t="s">
        <v>221</v>
      </c>
      <c r="B110" s="5" t="s">
        <v>33</v>
      </c>
      <c r="C110" s="5">
        <v>1494</v>
      </c>
      <c r="D110" s="5">
        <v>375</v>
      </c>
      <c r="E110" s="5">
        <v>220616</v>
      </c>
      <c r="F110" s="5">
        <v>1.81</v>
      </c>
      <c r="G110" s="5">
        <v>22724</v>
      </c>
    </row>
    <row r="111" spans="1:7" ht="14.25" customHeight="1" x14ac:dyDescent="0.3">
      <c r="A111" s="5" t="s">
        <v>221</v>
      </c>
      <c r="B111" s="5" t="s">
        <v>43</v>
      </c>
      <c r="C111" s="5">
        <v>1514</v>
      </c>
      <c r="D111" s="5">
        <v>141</v>
      </c>
      <c r="E111" s="5">
        <v>35842</v>
      </c>
      <c r="F111" s="5">
        <v>7.47</v>
      </c>
      <c r="G111" s="5">
        <v>18601</v>
      </c>
    </row>
    <row r="112" spans="1:7" ht="14.25" customHeight="1" x14ac:dyDescent="0.3">
      <c r="A112" s="5" t="s">
        <v>221</v>
      </c>
      <c r="B112" s="5" t="s">
        <v>14</v>
      </c>
      <c r="C112" s="5">
        <v>1937</v>
      </c>
      <c r="D112" s="5">
        <v>210</v>
      </c>
      <c r="E112" s="5">
        <v>20607</v>
      </c>
      <c r="F112" s="5">
        <v>4.2</v>
      </c>
      <c r="G112" s="5">
        <v>20861</v>
      </c>
    </row>
    <row r="113" spans="1:7" ht="14.25" customHeight="1" x14ac:dyDescent="0.3">
      <c r="A113" s="5" t="s">
        <v>221</v>
      </c>
      <c r="B113" s="5" t="s">
        <v>27</v>
      </c>
      <c r="C113" s="5">
        <v>736</v>
      </c>
      <c r="D113" s="5">
        <v>163</v>
      </c>
      <c r="E113" s="5">
        <v>451894</v>
      </c>
      <c r="F113" s="5">
        <v>5.43</v>
      </c>
      <c r="G113" s="5">
        <v>46625</v>
      </c>
    </row>
    <row r="114" spans="1:7" ht="14.25" customHeight="1" x14ac:dyDescent="0.3">
      <c r="A114" s="5" t="s">
        <v>112</v>
      </c>
      <c r="B114" s="5" t="s">
        <v>33</v>
      </c>
      <c r="C114" s="5">
        <v>1502</v>
      </c>
      <c r="D114" s="5">
        <v>70</v>
      </c>
      <c r="E114" s="5">
        <v>465553</v>
      </c>
      <c r="F114" s="5">
        <v>3.32</v>
      </c>
      <c r="G114" s="5">
        <v>20692</v>
      </c>
    </row>
    <row r="115" spans="1:7" ht="14.25" customHeight="1" x14ac:dyDescent="0.3">
      <c r="A115" s="5" t="s">
        <v>112</v>
      </c>
      <c r="B115" s="5" t="s">
        <v>43</v>
      </c>
      <c r="C115" s="5">
        <v>1623</v>
      </c>
      <c r="D115" s="5">
        <v>246</v>
      </c>
      <c r="E115" s="5">
        <v>415815</v>
      </c>
      <c r="F115" s="5">
        <v>8.11</v>
      </c>
      <c r="G115" s="5">
        <v>18656</v>
      </c>
    </row>
    <row r="116" spans="1:7" ht="14.25" customHeight="1" x14ac:dyDescent="0.3">
      <c r="A116" s="5" t="s">
        <v>112</v>
      </c>
      <c r="B116" s="5" t="s">
        <v>14</v>
      </c>
      <c r="C116" s="5">
        <v>1592</v>
      </c>
      <c r="D116" s="5">
        <v>233</v>
      </c>
      <c r="E116" s="5">
        <v>327183</v>
      </c>
      <c r="F116" s="5">
        <v>6.66</v>
      </c>
      <c r="G116" s="5">
        <v>13316</v>
      </c>
    </row>
    <row r="117" spans="1:7" ht="14.25" customHeight="1" x14ac:dyDescent="0.3">
      <c r="A117" s="5" t="s">
        <v>112</v>
      </c>
      <c r="B117" s="5" t="s">
        <v>27</v>
      </c>
      <c r="C117" s="5">
        <v>1004</v>
      </c>
      <c r="D117" s="5">
        <v>128</v>
      </c>
      <c r="E117" s="5">
        <v>488901</v>
      </c>
      <c r="F117" s="5">
        <v>8.09</v>
      </c>
      <c r="G117" s="5">
        <v>49558</v>
      </c>
    </row>
    <row r="118" spans="1:7" ht="14.25" customHeight="1" x14ac:dyDescent="0.3">
      <c r="A118" s="5" t="s">
        <v>15</v>
      </c>
      <c r="B118" s="5" t="s">
        <v>33</v>
      </c>
      <c r="C118" s="5">
        <v>1092</v>
      </c>
      <c r="D118" s="5">
        <v>408</v>
      </c>
      <c r="E118" s="5">
        <v>280795</v>
      </c>
      <c r="F118" s="5">
        <v>8.44</v>
      </c>
      <c r="G118" s="5">
        <v>4683</v>
      </c>
    </row>
    <row r="119" spans="1:7" ht="14.25" customHeight="1" x14ac:dyDescent="0.3">
      <c r="A119" s="5" t="s">
        <v>15</v>
      </c>
      <c r="B119" s="5" t="s">
        <v>43</v>
      </c>
      <c r="C119" s="5">
        <v>1155</v>
      </c>
      <c r="D119" s="5">
        <v>425</v>
      </c>
      <c r="E119" s="5">
        <v>93347</v>
      </c>
      <c r="F119" s="5">
        <v>2.02</v>
      </c>
      <c r="G119" s="5">
        <v>47502</v>
      </c>
    </row>
    <row r="120" spans="1:7" ht="14.25" customHeight="1" x14ac:dyDescent="0.3">
      <c r="A120" s="5" t="s">
        <v>15</v>
      </c>
      <c r="B120" s="5" t="s">
        <v>14</v>
      </c>
      <c r="C120" s="5">
        <v>1137</v>
      </c>
      <c r="D120" s="5">
        <v>226</v>
      </c>
      <c r="E120" s="5">
        <v>81119</v>
      </c>
      <c r="F120" s="5">
        <v>7.74</v>
      </c>
      <c r="G120" s="5">
        <v>35359</v>
      </c>
    </row>
    <row r="121" spans="1:7" ht="14.25" customHeight="1" x14ac:dyDescent="0.3">
      <c r="A121" s="5" t="s">
        <v>15</v>
      </c>
      <c r="B121" s="5" t="s">
        <v>27</v>
      </c>
      <c r="C121" s="5">
        <v>1900</v>
      </c>
      <c r="D121" s="5">
        <v>311</v>
      </c>
      <c r="E121" s="5">
        <v>25177</v>
      </c>
      <c r="F121" s="5">
        <v>2.89</v>
      </c>
      <c r="G121" s="5">
        <v>14154</v>
      </c>
    </row>
    <row r="122" spans="1:7" ht="14.25" customHeight="1" x14ac:dyDescent="0.3">
      <c r="A122" s="5" t="s">
        <v>582</v>
      </c>
      <c r="B122" s="5" t="s">
        <v>33</v>
      </c>
      <c r="C122" s="5">
        <v>1814</v>
      </c>
      <c r="D122" s="5">
        <v>49</v>
      </c>
      <c r="E122" s="5">
        <v>140804</v>
      </c>
      <c r="F122" s="5">
        <v>1.76</v>
      </c>
      <c r="G122" s="5">
        <v>4313</v>
      </c>
    </row>
    <row r="123" spans="1:7" ht="14.25" customHeight="1" x14ac:dyDescent="0.3">
      <c r="A123" s="5" t="s">
        <v>582</v>
      </c>
      <c r="B123" s="5" t="s">
        <v>43</v>
      </c>
      <c r="C123" s="5">
        <v>1980</v>
      </c>
      <c r="D123" s="5">
        <v>204</v>
      </c>
      <c r="E123" s="5">
        <v>379431</v>
      </c>
      <c r="F123" s="5">
        <v>3.09</v>
      </c>
      <c r="G123" s="5">
        <v>25140</v>
      </c>
    </row>
    <row r="124" spans="1:7" ht="14.25" customHeight="1" x14ac:dyDescent="0.3">
      <c r="A124" s="5" t="s">
        <v>582</v>
      </c>
      <c r="B124" s="5" t="s">
        <v>14</v>
      </c>
      <c r="C124" s="5">
        <v>1786</v>
      </c>
      <c r="D124" s="5">
        <v>257</v>
      </c>
      <c r="E124" s="5">
        <v>274831</v>
      </c>
      <c r="F124" s="5">
        <v>4.68</v>
      </c>
      <c r="G124" s="5">
        <v>9118</v>
      </c>
    </row>
    <row r="125" spans="1:7" ht="14.25" customHeight="1" x14ac:dyDescent="0.3">
      <c r="A125" s="5" t="s">
        <v>582</v>
      </c>
      <c r="B125" s="5" t="s">
        <v>27</v>
      </c>
      <c r="C125" s="5">
        <v>1495</v>
      </c>
      <c r="D125" s="5">
        <v>35</v>
      </c>
      <c r="E125" s="5">
        <v>136845</v>
      </c>
      <c r="F125" s="5">
        <v>4.4800000000000004</v>
      </c>
      <c r="G125" s="5">
        <v>39931</v>
      </c>
    </row>
    <row r="126" spans="1:7" ht="14.25" customHeight="1" x14ac:dyDescent="0.3">
      <c r="A126" s="5" t="s">
        <v>125</v>
      </c>
      <c r="B126" s="5" t="s">
        <v>33</v>
      </c>
      <c r="C126" s="5">
        <v>1013</v>
      </c>
      <c r="D126" s="5">
        <v>110</v>
      </c>
      <c r="E126" s="5">
        <v>466382</v>
      </c>
      <c r="F126" s="5">
        <v>5.3</v>
      </c>
      <c r="G126" s="5">
        <v>37132</v>
      </c>
    </row>
    <row r="127" spans="1:7" ht="14.25" customHeight="1" x14ac:dyDescent="0.3">
      <c r="A127" s="5" t="s">
        <v>125</v>
      </c>
      <c r="B127" s="5" t="s">
        <v>43</v>
      </c>
      <c r="C127" s="5">
        <v>816</v>
      </c>
      <c r="D127" s="5">
        <v>196</v>
      </c>
      <c r="E127" s="5">
        <v>95728</v>
      </c>
      <c r="F127" s="5">
        <v>8.1999999999999993</v>
      </c>
      <c r="G127" s="5">
        <v>17951</v>
      </c>
    </row>
    <row r="128" spans="1:7" ht="14.25" customHeight="1" x14ac:dyDescent="0.3">
      <c r="A128" s="5" t="s">
        <v>125</v>
      </c>
      <c r="B128" s="5" t="s">
        <v>14</v>
      </c>
      <c r="C128" s="5">
        <v>1633</v>
      </c>
      <c r="D128" s="5">
        <v>445</v>
      </c>
      <c r="E128" s="5">
        <v>371156</v>
      </c>
      <c r="F128" s="5">
        <v>2.2200000000000002</v>
      </c>
      <c r="G128" s="5">
        <v>2798</v>
      </c>
    </row>
    <row r="129" spans="1:7" ht="14.25" customHeight="1" x14ac:dyDescent="0.3">
      <c r="A129" s="5" t="s">
        <v>125</v>
      </c>
      <c r="B129" s="5" t="s">
        <v>27</v>
      </c>
      <c r="C129" s="5">
        <v>891</v>
      </c>
      <c r="D129" s="5">
        <v>45</v>
      </c>
      <c r="E129" s="5">
        <v>95410</v>
      </c>
      <c r="F129" s="5">
        <v>8.33</v>
      </c>
      <c r="G129" s="5">
        <v>15045</v>
      </c>
    </row>
    <row r="130" spans="1:7" ht="14.25" customHeight="1" x14ac:dyDescent="0.3">
      <c r="A130" s="5" t="s">
        <v>583</v>
      </c>
      <c r="B130" s="5" t="s">
        <v>33</v>
      </c>
      <c r="C130" s="5">
        <v>1855</v>
      </c>
      <c r="D130" s="5">
        <v>133</v>
      </c>
      <c r="E130" s="5">
        <v>349413</v>
      </c>
      <c r="F130" s="5">
        <v>3.3</v>
      </c>
      <c r="G130" s="5">
        <v>14548</v>
      </c>
    </row>
    <row r="131" spans="1:7" ht="14.25" customHeight="1" x14ac:dyDescent="0.3">
      <c r="A131" s="5" t="s">
        <v>583</v>
      </c>
      <c r="B131" s="5" t="s">
        <v>43</v>
      </c>
      <c r="C131" s="5">
        <v>651</v>
      </c>
      <c r="D131" s="5">
        <v>353</v>
      </c>
      <c r="E131" s="5">
        <v>224699</v>
      </c>
      <c r="F131" s="5">
        <v>5.61</v>
      </c>
      <c r="G131" s="5">
        <v>45708</v>
      </c>
    </row>
    <row r="132" spans="1:7" ht="14.25" customHeight="1" x14ac:dyDescent="0.3">
      <c r="A132" s="5" t="s">
        <v>583</v>
      </c>
      <c r="B132" s="5" t="s">
        <v>14</v>
      </c>
      <c r="C132" s="5">
        <v>118</v>
      </c>
      <c r="D132" s="5">
        <v>262</v>
      </c>
      <c r="E132" s="5">
        <v>487896</v>
      </c>
      <c r="F132" s="5">
        <v>2.56</v>
      </c>
      <c r="G132" s="5">
        <v>12350</v>
      </c>
    </row>
    <row r="133" spans="1:7" ht="14.25" customHeight="1" x14ac:dyDescent="0.3">
      <c r="A133" s="5" t="s">
        <v>583</v>
      </c>
      <c r="B133" s="5" t="s">
        <v>27</v>
      </c>
      <c r="C133" s="5">
        <v>1331</v>
      </c>
      <c r="D133" s="5">
        <v>430</v>
      </c>
      <c r="E133" s="5">
        <v>14437</v>
      </c>
      <c r="F133" s="5">
        <v>3.29</v>
      </c>
      <c r="G133" s="5">
        <v>40868</v>
      </c>
    </row>
    <row r="134" spans="1:7" ht="14.25" customHeight="1" x14ac:dyDescent="0.3">
      <c r="A134" s="5" t="s">
        <v>584</v>
      </c>
      <c r="B134" s="5" t="s">
        <v>33</v>
      </c>
      <c r="C134" s="5">
        <v>1748</v>
      </c>
      <c r="D134" s="5">
        <v>176</v>
      </c>
      <c r="E134" s="5">
        <v>383681</v>
      </c>
      <c r="F134" s="5">
        <v>9.24</v>
      </c>
      <c r="G134" s="5">
        <v>43122</v>
      </c>
    </row>
    <row r="135" spans="1:7" ht="14.25" customHeight="1" x14ac:dyDescent="0.3">
      <c r="A135" s="5" t="s">
        <v>584</v>
      </c>
      <c r="B135" s="5" t="s">
        <v>43</v>
      </c>
      <c r="C135" s="5">
        <v>663</v>
      </c>
      <c r="D135" s="5">
        <v>236</v>
      </c>
      <c r="E135" s="5">
        <v>479490</v>
      </c>
      <c r="F135" s="5">
        <v>4.51</v>
      </c>
      <c r="G135" s="5">
        <v>23853</v>
      </c>
    </row>
    <row r="136" spans="1:7" ht="14.25" customHeight="1" x14ac:dyDescent="0.3">
      <c r="A136" s="5" t="s">
        <v>584</v>
      </c>
      <c r="B136" s="5" t="s">
        <v>14</v>
      </c>
      <c r="C136" s="5">
        <v>1040</v>
      </c>
      <c r="D136" s="5">
        <v>149</v>
      </c>
      <c r="E136" s="5">
        <v>124404</v>
      </c>
      <c r="F136" s="5">
        <v>5.23</v>
      </c>
      <c r="G136" s="5">
        <v>45380</v>
      </c>
    </row>
    <row r="137" spans="1:7" ht="14.25" customHeight="1" x14ac:dyDescent="0.3">
      <c r="A137" s="5" t="s">
        <v>584</v>
      </c>
      <c r="B137" s="5" t="s">
        <v>27</v>
      </c>
      <c r="C137" s="5">
        <v>1166</v>
      </c>
      <c r="D137" s="5">
        <v>442</v>
      </c>
      <c r="E137" s="5">
        <v>336949</v>
      </c>
      <c r="F137" s="5">
        <v>4.68</v>
      </c>
      <c r="G137" s="5">
        <v>7705</v>
      </c>
    </row>
    <row r="138" spans="1:7" ht="14.25" customHeight="1" x14ac:dyDescent="0.3">
      <c r="A138" s="5" t="s">
        <v>224</v>
      </c>
      <c r="B138" s="5" t="s">
        <v>33</v>
      </c>
      <c r="C138" s="5">
        <v>115</v>
      </c>
      <c r="D138" s="5">
        <v>281</v>
      </c>
      <c r="E138" s="5">
        <v>357265</v>
      </c>
      <c r="F138" s="5">
        <v>9.23</v>
      </c>
      <c r="G138" s="5">
        <v>25525</v>
      </c>
    </row>
    <row r="139" spans="1:7" ht="14.25" customHeight="1" x14ac:dyDescent="0.3">
      <c r="A139" s="5" t="s">
        <v>224</v>
      </c>
      <c r="B139" s="5" t="s">
        <v>43</v>
      </c>
      <c r="C139" s="5">
        <v>1249</v>
      </c>
      <c r="D139" s="5">
        <v>351</v>
      </c>
      <c r="E139" s="5">
        <v>321307</v>
      </c>
      <c r="F139" s="5">
        <v>6.37</v>
      </c>
      <c r="G139" s="5">
        <v>20560</v>
      </c>
    </row>
    <row r="140" spans="1:7" ht="14.25" customHeight="1" x14ac:dyDescent="0.3">
      <c r="A140" s="5" t="s">
        <v>224</v>
      </c>
      <c r="B140" s="5" t="s">
        <v>14</v>
      </c>
      <c r="C140" s="5">
        <v>1501</v>
      </c>
      <c r="D140" s="5">
        <v>75</v>
      </c>
      <c r="E140" s="5">
        <v>262569</v>
      </c>
      <c r="F140" s="5">
        <v>2.0099999999999998</v>
      </c>
      <c r="G140" s="5">
        <v>19119</v>
      </c>
    </row>
    <row r="141" spans="1:7" ht="14.25" customHeight="1" x14ac:dyDescent="0.3">
      <c r="A141" s="5" t="s">
        <v>224</v>
      </c>
      <c r="B141" s="5" t="s">
        <v>27</v>
      </c>
      <c r="C141" s="5">
        <v>1411</v>
      </c>
      <c r="D141" s="5">
        <v>186</v>
      </c>
      <c r="E141" s="5">
        <v>461669</v>
      </c>
      <c r="F141" s="5">
        <v>3.72</v>
      </c>
      <c r="G141" s="5">
        <v>43999</v>
      </c>
    </row>
    <row r="142" spans="1:7" ht="14.25" customHeight="1" x14ac:dyDescent="0.3">
      <c r="A142" s="5" t="s">
        <v>585</v>
      </c>
      <c r="B142" s="5" t="s">
        <v>33</v>
      </c>
      <c r="C142" s="5">
        <v>1556</v>
      </c>
      <c r="D142" s="5">
        <v>476</v>
      </c>
      <c r="E142" s="5">
        <v>351556</v>
      </c>
      <c r="F142" s="5">
        <v>3.89</v>
      </c>
      <c r="G142" s="5">
        <v>10825</v>
      </c>
    </row>
    <row r="143" spans="1:7" ht="14.25" customHeight="1" x14ac:dyDescent="0.3">
      <c r="A143" s="5" t="s">
        <v>585</v>
      </c>
      <c r="B143" s="5" t="s">
        <v>43</v>
      </c>
      <c r="C143" s="5">
        <v>1159</v>
      </c>
      <c r="D143" s="5">
        <v>411</v>
      </c>
      <c r="E143" s="5">
        <v>135987</v>
      </c>
      <c r="F143" s="5">
        <v>8.6999999999999993</v>
      </c>
      <c r="G143" s="5">
        <v>40323</v>
      </c>
    </row>
    <row r="144" spans="1:7" ht="14.25" customHeight="1" x14ac:dyDescent="0.3">
      <c r="A144" s="5" t="s">
        <v>585</v>
      </c>
      <c r="B144" s="5" t="s">
        <v>14</v>
      </c>
      <c r="C144" s="5">
        <v>927</v>
      </c>
      <c r="D144" s="5">
        <v>358</v>
      </c>
      <c r="E144" s="5">
        <v>177554</v>
      </c>
      <c r="F144" s="5">
        <v>6.95</v>
      </c>
      <c r="G144" s="5">
        <v>48270</v>
      </c>
    </row>
    <row r="145" spans="1:7" ht="14.25" customHeight="1" x14ac:dyDescent="0.3">
      <c r="A145" s="5" t="s">
        <v>585</v>
      </c>
      <c r="B145" s="5" t="s">
        <v>27</v>
      </c>
      <c r="C145" s="5">
        <v>152</v>
      </c>
      <c r="D145" s="5">
        <v>355</v>
      </c>
      <c r="E145" s="5">
        <v>270766</v>
      </c>
      <c r="F145" s="5">
        <v>9.48</v>
      </c>
      <c r="G145" s="5">
        <v>18001</v>
      </c>
    </row>
    <row r="146" spans="1:7" ht="14.25" customHeight="1" x14ac:dyDescent="0.3">
      <c r="A146" s="5" t="s">
        <v>249</v>
      </c>
      <c r="B146" s="5" t="s">
        <v>33</v>
      </c>
      <c r="C146" s="5">
        <v>1957</v>
      </c>
      <c r="D146" s="5">
        <v>234</v>
      </c>
      <c r="E146" s="5">
        <v>222126</v>
      </c>
      <c r="F146" s="5">
        <v>4.6100000000000003</v>
      </c>
      <c r="G146" s="5">
        <v>3314</v>
      </c>
    </row>
    <row r="147" spans="1:7" ht="14.25" customHeight="1" x14ac:dyDescent="0.3">
      <c r="A147" s="5" t="s">
        <v>249</v>
      </c>
      <c r="B147" s="5" t="s">
        <v>43</v>
      </c>
      <c r="C147" s="5">
        <v>1294</v>
      </c>
      <c r="D147" s="5">
        <v>382</v>
      </c>
      <c r="E147" s="5">
        <v>309914</v>
      </c>
      <c r="F147" s="5">
        <v>8.0299999999999994</v>
      </c>
      <c r="G147" s="5">
        <v>23489</v>
      </c>
    </row>
    <row r="148" spans="1:7" ht="14.25" customHeight="1" x14ac:dyDescent="0.3">
      <c r="A148" s="5" t="s">
        <v>249</v>
      </c>
      <c r="B148" s="5" t="s">
        <v>14</v>
      </c>
      <c r="C148" s="5">
        <v>1587</v>
      </c>
      <c r="D148" s="5">
        <v>385</v>
      </c>
      <c r="E148" s="5">
        <v>126582</v>
      </c>
      <c r="F148" s="5">
        <v>6.99</v>
      </c>
      <c r="G148" s="5">
        <v>42832</v>
      </c>
    </row>
    <row r="149" spans="1:7" ht="14.25" customHeight="1" x14ac:dyDescent="0.3">
      <c r="A149" s="5" t="s">
        <v>249</v>
      </c>
      <c r="B149" s="5" t="s">
        <v>27</v>
      </c>
      <c r="C149" s="5">
        <v>1707</v>
      </c>
      <c r="D149" s="5">
        <v>263</v>
      </c>
      <c r="E149" s="5">
        <v>485280</v>
      </c>
      <c r="F149" s="5">
        <v>9.0299999999999994</v>
      </c>
      <c r="G149" s="5">
        <v>24494</v>
      </c>
    </row>
    <row r="150" spans="1:7" ht="14.25" customHeight="1" x14ac:dyDescent="0.3">
      <c r="A150" s="5" t="s">
        <v>127</v>
      </c>
      <c r="B150" s="5" t="s">
        <v>33</v>
      </c>
      <c r="C150" s="5">
        <v>1138</v>
      </c>
      <c r="D150" s="5">
        <v>173</v>
      </c>
      <c r="E150" s="5">
        <v>453243</v>
      </c>
      <c r="F150" s="5">
        <v>2.86</v>
      </c>
      <c r="G150" s="5">
        <v>44097</v>
      </c>
    </row>
    <row r="151" spans="1:7" ht="14.25" customHeight="1" x14ac:dyDescent="0.3">
      <c r="A151" s="5" t="s">
        <v>127</v>
      </c>
      <c r="B151" s="5" t="s">
        <v>43</v>
      </c>
      <c r="C151" s="5">
        <v>1895</v>
      </c>
      <c r="D151" s="5">
        <v>305</v>
      </c>
      <c r="E151" s="5">
        <v>104967</v>
      </c>
      <c r="F151" s="5">
        <v>3.85</v>
      </c>
      <c r="G151" s="5">
        <v>31853</v>
      </c>
    </row>
    <row r="152" spans="1:7" ht="14.25" customHeight="1" x14ac:dyDescent="0.3">
      <c r="A152" s="5" t="s">
        <v>127</v>
      </c>
      <c r="B152" s="5" t="s">
        <v>14</v>
      </c>
      <c r="C152" s="5">
        <v>362</v>
      </c>
      <c r="D152" s="5">
        <v>399</v>
      </c>
      <c r="E152" s="5">
        <v>145608</v>
      </c>
      <c r="F152" s="5">
        <v>7.3</v>
      </c>
      <c r="G152" s="5">
        <v>37636</v>
      </c>
    </row>
    <row r="153" spans="1:7" ht="14.25" customHeight="1" x14ac:dyDescent="0.3">
      <c r="A153" s="5" t="s">
        <v>127</v>
      </c>
      <c r="B153" s="5" t="s">
        <v>27</v>
      </c>
      <c r="C153" s="5">
        <v>1662</v>
      </c>
      <c r="D153" s="5">
        <v>487</v>
      </c>
      <c r="E153" s="5">
        <v>105980</v>
      </c>
      <c r="F153" s="5">
        <v>9.08</v>
      </c>
      <c r="G153" s="5">
        <v>22996</v>
      </c>
    </row>
    <row r="154" spans="1:7" ht="14.25" customHeight="1" x14ac:dyDescent="0.3">
      <c r="A154" s="5" t="s">
        <v>147</v>
      </c>
      <c r="B154" s="5" t="s">
        <v>33</v>
      </c>
      <c r="C154" s="5">
        <v>1440</v>
      </c>
      <c r="D154" s="5">
        <v>65</v>
      </c>
      <c r="E154" s="5">
        <v>126524</v>
      </c>
      <c r="F154" s="5">
        <v>4.34</v>
      </c>
      <c r="G154" s="5">
        <v>49772</v>
      </c>
    </row>
    <row r="155" spans="1:7" ht="14.25" customHeight="1" x14ac:dyDescent="0.3">
      <c r="A155" s="5" t="s">
        <v>147</v>
      </c>
      <c r="B155" s="5" t="s">
        <v>43</v>
      </c>
      <c r="C155" s="5">
        <v>1884</v>
      </c>
      <c r="D155" s="5">
        <v>177</v>
      </c>
      <c r="E155" s="5">
        <v>230448</v>
      </c>
      <c r="F155" s="5">
        <v>7.8</v>
      </c>
      <c r="G155" s="5">
        <v>22713</v>
      </c>
    </row>
    <row r="156" spans="1:7" ht="14.25" customHeight="1" x14ac:dyDescent="0.3">
      <c r="A156" s="5" t="s">
        <v>147</v>
      </c>
      <c r="B156" s="5" t="s">
        <v>14</v>
      </c>
      <c r="C156" s="5">
        <v>861</v>
      </c>
      <c r="D156" s="5">
        <v>153</v>
      </c>
      <c r="E156" s="5">
        <v>317007</v>
      </c>
      <c r="F156" s="5">
        <v>3.85</v>
      </c>
      <c r="G156" s="5">
        <v>8718</v>
      </c>
    </row>
    <row r="157" spans="1:7" ht="14.25" customHeight="1" x14ac:dyDescent="0.3">
      <c r="A157" s="5" t="s">
        <v>147</v>
      </c>
      <c r="B157" s="5" t="s">
        <v>27</v>
      </c>
      <c r="C157" s="5">
        <v>1063</v>
      </c>
      <c r="D157" s="5">
        <v>47</v>
      </c>
      <c r="E157" s="5">
        <v>464239</v>
      </c>
      <c r="F157" s="5">
        <v>6.58</v>
      </c>
      <c r="G157" s="5">
        <v>39031</v>
      </c>
    </row>
    <row r="158" spans="1:7" ht="14.25" customHeight="1" x14ac:dyDescent="0.3">
      <c r="A158" s="5" t="s">
        <v>197</v>
      </c>
      <c r="B158" s="5" t="s">
        <v>33</v>
      </c>
      <c r="C158" s="5">
        <v>1371</v>
      </c>
      <c r="D158" s="5">
        <v>56</v>
      </c>
      <c r="E158" s="5">
        <v>257579</v>
      </c>
      <c r="F158" s="5">
        <v>8.6199999999999992</v>
      </c>
      <c r="G158" s="5">
        <v>33799</v>
      </c>
    </row>
    <row r="159" spans="1:7" ht="14.25" customHeight="1" x14ac:dyDescent="0.3">
      <c r="A159" s="5" t="s">
        <v>197</v>
      </c>
      <c r="B159" s="5" t="s">
        <v>43</v>
      </c>
      <c r="C159" s="5">
        <v>345</v>
      </c>
      <c r="D159" s="5">
        <v>464</v>
      </c>
      <c r="E159" s="5">
        <v>366881</v>
      </c>
      <c r="F159" s="5">
        <v>4.55</v>
      </c>
      <c r="G159" s="5">
        <v>20553</v>
      </c>
    </row>
    <row r="160" spans="1:7" ht="14.25" customHeight="1" x14ac:dyDescent="0.3">
      <c r="A160" s="5" t="s">
        <v>197</v>
      </c>
      <c r="B160" s="5" t="s">
        <v>14</v>
      </c>
      <c r="C160" s="5">
        <v>946</v>
      </c>
      <c r="D160" s="5">
        <v>47</v>
      </c>
      <c r="E160" s="5">
        <v>466575</v>
      </c>
      <c r="F160" s="5">
        <v>8.33</v>
      </c>
      <c r="G160" s="5">
        <v>10002</v>
      </c>
    </row>
    <row r="161" spans="1:7" ht="14.25" customHeight="1" x14ac:dyDescent="0.3">
      <c r="A161" s="5" t="s">
        <v>197</v>
      </c>
      <c r="B161" s="5" t="s">
        <v>27</v>
      </c>
      <c r="C161" s="5">
        <v>510</v>
      </c>
      <c r="D161" s="5">
        <v>195</v>
      </c>
      <c r="E161" s="5">
        <v>224534</v>
      </c>
      <c r="F161" s="5">
        <v>9.4</v>
      </c>
      <c r="G161" s="5">
        <v>30987</v>
      </c>
    </row>
    <row r="162" spans="1:7" ht="14.25" customHeight="1" x14ac:dyDescent="0.3">
      <c r="A162" s="5" t="s">
        <v>586</v>
      </c>
      <c r="B162" s="5" t="s">
        <v>33</v>
      </c>
      <c r="C162" s="5">
        <v>393</v>
      </c>
      <c r="D162" s="5">
        <v>181</v>
      </c>
      <c r="E162" s="5">
        <v>462142</v>
      </c>
      <c r="F162" s="5">
        <v>7.23</v>
      </c>
      <c r="G162" s="5">
        <v>6296</v>
      </c>
    </row>
    <row r="163" spans="1:7" ht="14.25" customHeight="1" x14ac:dyDescent="0.3">
      <c r="A163" s="5" t="s">
        <v>586</v>
      </c>
      <c r="B163" s="5" t="s">
        <v>43</v>
      </c>
      <c r="C163" s="5">
        <v>1098</v>
      </c>
      <c r="D163" s="5">
        <v>190</v>
      </c>
      <c r="E163" s="5">
        <v>340842</v>
      </c>
      <c r="F163" s="5">
        <v>9.39</v>
      </c>
      <c r="G163" s="5">
        <v>21539</v>
      </c>
    </row>
    <row r="164" spans="1:7" ht="14.25" customHeight="1" x14ac:dyDescent="0.3">
      <c r="A164" s="5" t="s">
        <v>586</v>
      </c>
      <c r="B164" s="5" t="s">
        <v>14</v>
      </c>
      <c r="C164" s="5">
        <v>1399</v>
      </c>
      <c r="D164" s="5">
        <v>49</v>
      </c>
      <c r="E164" s="5">
        <v>12471</v>
      </c>
      <c r="F164" s="5">
        <v>5.12</v>
      </c>
      <c r="G164" s="5">
        <v>14722</v>
      </c>
    </row>
    <row r="165" spans="1:7" ht="14.25" customHeight="1" x14ac:dyDescent="0.3">
      <c r="A165" s="5" t="s">
        <v>586</v>
      </c>
      <c r="B165" s="5" t="s">
        <v>27</v>
      </c>
      <c r="C165" s="5">
        <v>1658</v>
      </c>
      <c r="D165" s="5">
        <v>416</v>
      </c>
      <c r="E165" s="5">
        <v>98397</v>
      </c>
      <c r="F165" s="5">
        <v>6.11</v>
      </c>
      <c r="G165" s="5">
        <v>11383</v>
      </c>
    </row>
    <row r="166" spans="1:7" ht="14.25" customHeight="1" x14ac:dyDescent="0.3">
      <c r="A166" s="5" t="s">
        <v>587</v>
      </c>
      <c r="B166" s="5" t="s">
        <v>33</v>
      </c>
      <c r="C166" s="5">
        <v>1102</v>
      </c>
      <c r="D166" s="5">
        <v>422</v>
      </c>
      <c r="E166" s="5">
        <v>410330</v>
      </c>
      <c r="F166" s="5">
        <v>7.74</v>
      </c>
      <c r="G166" s="5">
        <v>9480</v>
      </c>
    </row>
    <row r="167" spans="1:7" ht="14.25" customHeight="1" x14ac:dyDescent="0.3">
      <c r="A167" s="5" t="s">
        <v>587</v>
      </c>
      <c r="B167" s="5" t="s">
        <v>43</v>
      </c>
      <c r="C167" s="5">
        <v>1358</v>
      </c>
      <c r="D167" s="5">
        <v>242</v>
      </c>
      <c r="E167" s="5">
        <v>342129</v>
      </c>
      <c r="F167" s="5">
        <v>4.9400000000000004</v>
      </c>
      <c r="G167" s="5">
        <v>29116</v>
      </c>
    </row>
    <row r="168" spans="1:7" ht="14.25" customHeight="1" x14ac:dyDescent="0.3">
      <c r="A168" s="5" t="s">
        <v>587</v>
      </c>
      <c r="B168" s="5" t="s">
        <v>14</v>
      </c>
      <c r="C168" s="5">
        <v>1077</v>
      </c>
      <c r="D168" s="5">
        <v>216</v>
      </c>
      <c r="E168" s="5">
        <v>12447</v>
      </c>
      <c r="F168" s="5">
        <v>1.8</v>
      </c>
      <c r="G168" s="5">
        <v>14068</v>
      </c>
    </row>
    <row r="169" spans="1:7" ht="14.25" customHeight="1" x14ac:dyDescent="0.3">
      <c r="A169" s="5" t="s">
        <v>587</v>
      </c>
      <c r="B169" s="5" t="s">
        <v>27</v>
      </c>
      <c r="C169" s="5">
        <v>1596</v>
      </c>
      <c r="D169" s="5">
        <v>211</v>
      </c>
      <c r="E169" s="5">
        <v>17380</v>
      </c>
      <c r="F169" s="5">
        <v>8.64</v>
      </c>
      <c r="G169" s="5">
        <v>35801</v>
      </c>
    </row>
    <row r="170" spans="1:7" ht="14.25" customHeight="1" x14ac:dyDescent="0.3">
      <c r="A170" s="5" t="s">
        <v>234</v>
      </c>
      <c r="B170" s="5" t="s">
        <v>33</v>
      </c>
      <c r="C170" s="5">
        <v>490</v>
      </c>
      <c r="D170" s="5">
        <v>29</v>
      </c>
      <c r="E170" s="5">
        <v>364810</v>
      </c>
      <c r="F170" s="5">
        <v>1.53</v>
      </c>
      <c r="G170" s="5">
        <v>49077</v>
      </c>
    </row>
    <row r="171" spans="1:7" ht="14.25" customHeight="1" x14ac:dyDescent="0.3">
      <c r="A171" s="5" t="s">
        <v>234</v>
      </c>
      <c r="B171" s="5" t="s">
        <v>43</v>
      </c>
      <c r="C171" s="5">
        <v>609</v>
      </c>
      <c r="D171" s="5">
        <v>135</v>
      </c>
      <c r="E171" s="5">
        <v>373606</v>
      </c>
      <c r="F171" s="5">
        <v>8.52</v>
      </c>
      <c r="G171" s="5">
        <v>21453</v>
      </c>
    </row>
    <row r="172" spans="1:7" ht="14.25" customHeight="1" x14ac:dyDescent="0.3">
      <c r="A172" s="5" t="s">
        <v>234</v>
      </c>
      <c r="B172" s="5" t="s">
        <v>14</v>
      </c>
      <c r="C172" s="5">
        <v>364</v>
      </c>
      <c r="D172" s="5">
        <v>72</v>
      </c>
      <c r="E172" s="5">
        <v>211090</v>
      </c>
      <c r="F172" s="5">
        <v>5.53</v>
      </c>
      <c r="G172" s="5">
        <v>21061</v>
      </c>
    </row>
    <row r="173" spans="1:7" ht="14.25" customHeight="1" x14ac:dyDescent="0.3">
      <c r="A173" s="5" t="s">
        <v>234</v>
      </c>
      <c r="B173" s="5" t="s">
        <v>27</v>
      </c>
      <c r="C173" s="5">
        <v>442</v>
      </c>
      <c r="D173" s="5">
        <v>53</v>
      </c>
      <c r="E173" s="5">
        <v>441931</v>
      </c>
      <c r="F173" s="5">
        <v>1.87</v>
      </c>
      <c r="G173" s="5">
        <v>20059</v>
      </c>
    </row>
    <row r="174" spans="1:7" ht="14.25" customHeight="1" x14ac:dyDescent="0.3">
      <c r="A174" s="5" t="s">
        <v>588</v>
      </c>
      <c r="B174" s="5" t="s">
        <v>33</v>
      </c>
      <c r="C174" s="5">
        <v>1033</v>
      </c>
      <c r="D174" s="5">
        <v>392</v>
      </c>
      <c r="E174" s="5">
        <v>282780</v>
      </c>
      <c r="F174" s="5">
        <v>6.27</v>
      </c>
      <c r="G174" s="5">
        <v>23140</v>
      </c>
    </row>
    <row r="175" spans="1:7" ht="14.25" customHeight="1" x14ac:dyDescent="0.3">
      <c r="A175" s="5" t="s">
        <v>588</v>
      </c>
      <c r="B175" s="5" t="s">
        <v>43</v>
      </c>
      <c r="C175" s="5">
        <v>988</v>
      </c>
      <c r="D175" s="5">
        <v>474</v>
      </c>
      <c r="E175" s="5">
        <v>370070</v>
      </c>
      <c r="F175" s="5">
        <v>9.4600000000000009</v>
      </c>
      <c r="G175" s="5">
        <v>23461</v>
      </c>
    </row>
    <row r="176" spans="1:7" ht="14.25" customHeight="1" x14ac:dyDescent="0.3">
      <c r="A176" s="5" t="s">
        <v>588</v>
      </c>
      <c r="B176" s="5" t="s">
        <v>14</v>
      </c>
      <c r="C176" s="5">
        <v>1946</v>
      </c>
      <c r="D176" s="5">
        <v>270</v>
      </c>
      <c r="E176" s="5">
        <v>198350</v>
      </c>
      <c r="F176" s="5">
        <v>7.5</v>
      </c>
      <c r="G176" s="5">
        <v>11805</v>
      </c>
    </row>
    <row r="177" spans="1:7" ht="14.25" customHeight="1" x14ac:dyDescent="0.3">
      <c r="A177" s="5" t="s">
        <v>588</v>
      </c>
      <c r="B177" s="5" t="s">
        <v>27</v>
      </c>
      <c r="C177" s="5">
        <v>1957</v>
      </c>
      <c r="D177" s="5">
        <v>490</v>
      </c>
      <c r="E177" s="5">
        <v>435726</v>
      </c>
      <c r="F177" s="5">
        <v>4.7300000000000004</v>
      </c>
      <c r="G177" s="5">
        <v>15969</v>
      </c>
    </row>
    <row r="178" spans="1:7" ht="14.25" customHeight="1" x14ac:dyDescent="0.3">
      <c r="A178" s="5" t="s">
        <v>412</v>
      </c>
      <c r="B178" s="5" t="s">
        <v>33</v>
      </c>
      <c r="C178" s="5">
        <v>559</v>
      </c>
      <c r="D178" s="5">
        <v>392</v>
      </c>
      <c r="E178" s="5">
        <v>78789</v>
      </c>
      <c r="F178" s="5">
        <v>3.19</v>
      </c>
      <c r="G178" s="5">
        <v>2436</v>
      </c>
    </row>
    <row r="179" spans="1:7" ht="14.25" customHeight="1" x14ac:dyDescent="0.3">
      <c r="A179" s="5" t="s">
        <v>412</v>
      </c>
      <c r="B179" s="5" t="s">
        <v>43</v>
      </c>
      <c r="C179" s="5">
        <v>1307</v>
      </c>
      <c r="D179" s="5">
        <v>278</v>
      </c>
      <c r="E179" s="5">
        <v>98596</v>
      </c>
      <c r="F179" s="5">
        <v>2.4900000000000002</v>
      </c>
      <c r="G179" s="5">
        <v>47603</v>
      </c>
    </row>
    <row r="180" spans="1:7" ht="14.25" customHeight="1" x14ac:dyDescent="0.3">
      <c r="A180" s="5" t="s">
        <v>412</v>
      </c>
      <c r="B180" s="5" t="s">
        <v>14</v>
      </c>
      <c r="C180" s="5">
        <v>1432</v>
      </c>
      <c r="D180" s="5">
        <v>425</v>
      </c>
      <c r="E180" s="5">
        <v>29589</v>
      </c>
      <c r="F180" s="5">
        <v>4.5</v>
      </c>
      <c r="G180" s="5">
        <v>42964</v>
      </c>
    </row>
    <row r="181" spans="1:7" ht="14.25" customHeight="1" x14ac:dyDescent="0.3">
      <c r="A181" s="5" t="s">
        <v>412</v>
      </c>
      <c r="B181" s="5" t="s">
        <v>27</v>
      </c>
      <c r="C181" s="5">
        <v>623</v>
      </c>
      <c r="D181" s="5">
        <v>414</v>
      </c>
      <c r="E181" s="5">
        <v>290354</v>
      </c>
      <c r="F181" s="5">
        <v>6.49</v>
      </c>
      <c r="G181" s="5">
        <v>39923</v>
      </c>
    </row>
    <row r="182" spans="1:7" ht="14.25" customHeight="1" x14ac:dyDescent="0.3">
      <c r="A182" s="5" t="s">
        <v>589</v>
      </c>
      <c r="B182" s="5" t="s">
        <v>33</v>
      </c>
      <c r="C182" s="5">
        <v>198</v>
      </c>
      <c r="D182" s="5">
        <v>358</v>
      </c>
      <c r="E182" s="5">
        <v>66682</v>
      </c>
      <c r="F182" s="5">
        <v>6.73</v>
      </c>
      <c r="G182" s="5">
        <v>2293</v>
      </c>
    </row>
    <row r="183" spans="1:7" ht="14.25" customHeight="1" x14ac:dyDescent="0.3">
      <c r="A183" s="5" t="s">
        <v>589</v>
      </c>
      <c r="B183" s="5" t="s">
        <v>43</v>
      </c>
      <c r="C183" s="5">
        <v>198</v>
      </c>
      <c r="D183" s="5">
        <v>373</v>
      </c>
      <c r="E183" s="5">
        <v>70707</v>
      </c>
      <c r="F183" s="5">
        <v>4.83</v>
      </c>
      <c r="G183" s="5">
        <v>25920</v>
      </c>
    </row>
    <row r="184" spans="1:7" ht="14.25" customHeight="1" x14ac:dyDescent="0.3">
      <c r="A184" s="5" t="s">
        <v>589</v>
      </c>
      <c r="B184" s="5" t="s">
        <v>14</v>
      </c>
      <c r="C184" s="5">
        <v>353</v>
      </c>
      <c r="D184" s="5">
        <v>300</v>
      </c>
      <c r="E184" s="5">
        <v>142507</v>
      </c>
      <c r="F184" s="5">
        <v>5.3</v>
      </c>
      <c r="G184" s="5">
        <v>11035</v>
      </c>
    </row>
    <row r="185" spans="1:7" ht="14.25" customHeight="1" x14ac:dyDescent="0.3">
      <c r="A185" s="5" t="s">
        <v>589</v>
      </c>
      <c r="B185" s="5" t="s">
        <v>27</v>
      </c>
      <c r="C185" s="5">
        <v>520</v>
      </c>
      <c r="D185" s="5">
        <v>375</v>
      </c>
      <c r="E185" s="5">
        <v>369525</v>
      </c>
      <c r="F185" s="5">
        <v>6.54</v>
      </c>
      <c r="G185" s="5">
        <v>20733</v>
      </c>
    </row>
    <row r="186" spans="1:7" ht="14.25" customHeight="1" x14ac:dyDescent="0.3">
      <c r="A186" s="5" t="s">
        <v>590</v>
      </c>
      <c r="B186" s="5" t="s">
        <v>33</v>
      </c>
      <c r="C186" s="5">
        <v>961</v>
      </c>
      <c r="D186" s="5">
        <v>358</v>
      </c>
      <c r="E186" s="5">
        <v>62942</v>
      </c>
      <c r="F186" s="5">
        <v>6.8</v>
      </c>
      <c r="G186" s="5">
        <v>18693</v>
      </c>
    </row>
    <row r="187" spans="1:7" ht="14.25" customHeight="1" x14ac:dyDescent="0.3">
      <c r="A187" s="5" t="s">
        <v>590</v>
      </c>
      <c r="B187" s="5" t="s">
        <v>43</v>
      </c>
      <c r="C187" s="5">
        <v>1375</v>
      </c>
      <c r="D187" s="5">
        <v>330</v>
      </c>
      <c r="E187" s="5">
        <v>377382</v>
      </c>
      <c r="F187" s="5">
        <v>2.6</v>
      </c>
      <c r="G187" s="5">
        <v>7875</v>
      </c>
    </row>
    <row r="188" spans="1:7" ht="14.25" customHeight="1" x14ac:dyDescent="0.3">
      <c r="A188" s="5" t="s">
        <v>590</v>
      </c>
      <c r="B188" s="5" t="s">
        <v>14</v>
      </c>
      <c r="C188" s="5">
        <v>1147</v>
      </c>
      <c r="D188" s="5">
        <v>388</v>
      </c>
      <c r="E188" s="5">
        <v>333851</v>
      </c>
      <c r="F188" s="5">
        <v>2.44</v>
      </c>
      <c r="G188" s="5">
        <v>8471</v>
      </c>
    </row>
    <row r="189" spans="1:7" ht="14.25" customHeight="1" x14ac:dyDescent="0.3">
      <c r="A189" s="5" t="s">
        <v>590</v>
      </c>
      <c r="B189" s="5" t="s">
        <v>27</v>
      </c>
      <c r="C189" s="5">
        <v>1707</v>
      </c>
      <c r="D189" s="5">
        <v>74</v>
      </c>
      <c r="E189" s="5">
        <v>270958</v>
      </c>
      <c r="F189" s="5">
        <v>3.09</v>
      </c>
      <c r="G189" s="5">
        <v>14090</v>
      </c>
    </row>
    <row r="190" spans="1:7" ht="14.25" customHeight="1" x14ac:dyDescent="0.3">
      <c r="A190" s="5" t="s">
        <v>364</v>
      </c>
      <c r="B190" s="5" t="s">
        <v>33</v>
      </c>
      <c r="C190" s="5">
        <v>1693</v>
      </c>
      <c r="D190" s="5">
        <v>154</v>
      </c>
      <c r="E190" s="5">
        <v>445944</v>
      </c>
      <c r="F190" s="5">
        <v>5.69</v>
      </c>
      <c r="G190" s="5">
        <v>14216</v>
      </c>
    </row>
    <row r="191" spans="1:7" ht="14.25" customHeight="1" x14ac:dyDescent="0.3">
      <c r="A191" s="5" t="s">
        <v>364</v>
      </c>
      <c r="B191" s="5" t="s">
        <v>43</v>
      </c>
      <c r="C191" s="5">
        <v>833</v>
      </c>
      <c r="D191" s="5">
        <v>380</v>
      </c>
      <c r="E191" s="5">
        <v>224830</v>
      </c>
      <c r="F191" s="5">
        <v>3.86</v>
      </c>
      <c r="G191" s="5">
        <v>3582</v>
      </c>
    </row>
    <row r="192" spans="1:7" ht="14.25" customHeight="1" x14ac:dyDescent="0.3">
      <c r="A192" s="5" t="s">
        <v>364</v>
      </c>
      <c r="B192" s="5" t="s">
        <v>14</v>
      </c>
      <c r="C192" s="5">
        <v>1222</v>
      </c>
      <c r="D192" s="5">
        <v>274</v>
      </c>
      <c r="E192" s="5">
        <v>487289</v>
      </c>
      <c r="F192" s="5">
        <v>3.16</v>
      </c>
      <c r="G192" s="5">
        <v>32500</v>
      </c>
    </row>
    <row r="193" spans="1:7" ht="14.25" customHeight="1" x14ac:dyDescent="0.3">
      <c r="A193" s="5" t="s">
        <v>364</v>
      </c>
      <c r="B193" s="5" t="s">
        <v>27</v>
      </c>
      <c r="C193" s="5">
        <v>777</v>
      </c>
      <c r="D193" s="5">
        <v>140</v>
      </c>
      <c r="E193" s="5">
        <v>11435</v>
      </c>
      <c r="F193" s="5">
        <v>1.6</v>
      </c>
      <c r="G193" s="5">
        <v>6832</v>
      </c>
    </row>
    <row r="194" spans="1:7" ht="14.25" customHeight="1" x14ac:dyDescent="0.3">
      <c r="A194" s="5" t="s">
        <v>79</v>
      </c>
      <c r="B194" s="5" t="s">
        <v>33</v>
      </c>
      <c r="C194" s="5">
        <v>1957</v>
      </c>
      <c r="D194" s="5">
        <v>76</v>
      </c>
      <c r="E194" s="5">
        <v>447902</v>
      </c>
      <c r="F194" s="5">
        <v>6.09</v>
      </c>
      <c r="G194" s="5">
        <v>33381</v>
      </c>
    </row>
    <row r="195" spans="1:7" ht="14.25" customHeight="1" x14ac:dyDescent="0.3">
      <c r="A195" s="5" t="s">
        <v>79</v>
      </c>
      <c r="B195" s="5" t="s">
        <v>43</v>
      </c>
      <c r="C195" s="5">
        <v>405</v>
      </c>
      <c r="D195" s="5">
        <v>66</v>
      </c>
      <c r="E195" s="5">
        <v>418696</v>
      </c>
      <c r="F195" s="5">
        <v>5.59</v>
      </c>
      <c r="G195" s="5">
        <v>48419</v>
      </c>
    </row>
    <row r="196" spans="1:7" ht="14.25" customHeight="1" x14ac:dyDescent="0.3">
      <c r="A196" s="5" t="s">
        <v>79</v>
      </c>
      <c r="B196" s="5" t="s">
        <v>14</v>
      </c>
      <c r="C196" s="5">
        <v>1581</v>
      </c>
      <c r="D196" s="5">
        <v>71</v>
      </c>
      <c r="E196" s="5">
        <v>484364</v>
      </c>
      <c r="F196" s="5">
        <v>3.55</v>
      </c>
      <c r="G196" s="5">
        <v>16149</v>
      </c>
    </row>
    <row r="197" spans="1:7" ht="14.25" customHeight="1" x14ac:dyDescent="0.3">
      <c r="A197" s="5" t="s">
        <v>79</v>
      </c>
      <c r="B197" s="5" t="s">
        <v>27</v>
      </c>
      <c r="C197" s="5">
        <v>1035</v>
      </c>
      <c r="D197" s="5">
        <v>171</v>
      </c>
      <c r="E197" s="5">
        <v>148477</v>
      </c>
      <c r="F197" s="5">
        <v>5.21</v>
      </c>
      <c r="G197" s="5">
        <v>7541</v>
      </c>
    </row>
    <row r="198" spans="1:7" ht="14.25" customHeight="1" x14ac:dyDescent="0.3">
      <c r="A198" s="5" t="s">
        <v>28</v>
      </c>
      <c r="B198" s="5" t="s">
        <v>33</v>
      </c>
      <c r="C198" s="5">
        <v>1765</v>
      </c>
      <c r="D198" s="5">
        <v>109</v>
      </c>
      <c r="E198" s="5">
        <v>468301</v>
      </c>
      <c r="F198" s="5">
        <v>1.82</v>
      </c>
      <c r="G198" s="5">
        <v>20042</v>
      </c>
    </row>
    <row r="199" spans="1:7" ht="14.25" customHeight="1" x14ac:dyDescent="0.3">
      <c r="A199" s="5" t="s">
        <v>28</v>
      </c>
      <c r="B199" s="5" t="s">
        <v>43</v>
      </c>
      <c r="C199" s="5">
        <v>837</v>
      </c>
      <c r="D199" s="5">
        <v>430</v>
      </c>
      <c r="E199" s="5">
        <v>364820</v>
      </c>
      <c r="F199" s="5">
        <v>4</v>
      </c>
      <c r="G199" s="5">
        <v>49400</v>
      </c>
    </row>
    <row r="200" spans="1:7" ht="14.25" customHeight="1" x14ac:dyDescent="0.3">
      <c r="A200" s="5" t="s">
        <v>28</v>
      </c>
      <c r="B200" s="5" t="s">
        <v>14</v>
      </c>
      <c r="C200" s="5">
        <v>337</v>
      </c>
      <c r="D200" s="5">
        <v>68</v>
      </c>
      <c r="E200" s="5">
        <v>456298</v>
      </c>
      <c r="F200" s="5">
        <v>7.57</v>
      </c>
      <c r="G200" s="5">
        <v>4007</v>
      </c>
    </row>
    <row r="201" spans="1:7" ht="14.25" customHeight="1" x14ac:dyDescent="0.3">
      <c r="A201" s="5" t="s">
        <v>28</v>
      </c>
      <c r="B201" s="5" t="s">
        <v>27</v>
      </c>
      <c r="C201" s="5">
        <v>119</v>
      </c>
      <c r="D201" s="5">
        <v>456</v>
      </c>
      <c r="E201" s="5">
        <v>82558</v>
      </c>
      <c r="F201" s="5">
        <v>6.81</v>
      </c>
      <c r="G201" s="5">
        <v>12174</v>
      </c>
    </row>
    <row r="202" spans="1:7" ht="14.25" customHeight="1" x14ac:dyDescent="0.3"/>
    <row r="203" spans="1:7" ht="14.25" customHeight="1" x14ac:dyDescent="0.3"/>
    <row r="204" spans="1:7" ht="14.25" customHeight="1" x14ac:dyDescent="0.3"/>
    <row r="205" spans="1:7" ht="14.25" customHeight="1" x14ac:dyDescent="0.3"/>
    <row r="206" spans="1:7" ht="14.25" customHeight="1" x14ac:dyDescent="0.3"/>
    <row r="207" spans="1:7" ht="14.25" customHeight="1" x14ac:dyDescent="0.3"/>
    <row r="208" spans="1:7"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EBD14-D5C3-4A27-AA5B-8AA592E51819}">
  <sheetPr codeName="Sheet12"/>
  <dimension ref="A1:I1000"/>
  <sheetViews>
    <sheetView topLeftCell="C1" zoomScale="103" workbookViewId="0">
      <selection activeCell="H2" sqref="H2"/>
    </sheetView>
  </sheetViews>
  <sheetFormatPr defaultColWidth="14.44140625" defaultRowHeight="15" customHeight="1" x14ac:dyDescent="0.3"/>
  <cols>
    <col min="1" max="1" width="20.21875" bestFit="1" customWidth="1"/>
    <col min="2" max="2" width="15.33203125" customWidth="1"/>
    <col min="3" max="3" width="15.5546875" customWidth="1"/>
    <col min="4" max="4" width="11.33203125" customWidth="1"/>
    <col min="5" max="5" width="16" customWidth="1"/>
    <col min="6" max="6" width="18.21875" customWidth="1"/>
    <col min="7" max="7" width="11.5546875" customWidth="1"/>
    <col min="8" max="26" width="8.6640625" customWidth="1"/>
  </cols>
  <sheetData>
    <row r="1" spans="1:9" ht="14.25" customHeight="1" x14ac:dyDescent="0.3">
      <c r="A1" s="9" t="s">
        <v>567</v>
      </c>
      <c r="B1" s="9" t="s">
        <v>1</v>
      </c>
      <c r="C1" s="10" t="s">
        <v>568</v>
      </c>
      <c r="D1" s="9" t="s">
        <v>569</v>
      </c>
      <c r="E1" s="10" t="s">
        <v>570</v>
      </c>
      <c r="F1" s="10" t="s">
        <v>571</v>
      </c>
      <c r="G1" s="10" t="s">
        <v>572</v>
      </c>
      <c r="H1" s="10" t="s">
        <v>635</v>
      </c>
      <c r="I1" s="10" t="s">
        <v>636</v>
      </c>
    </row>
    <row r="2" spans="1:9" ht="14.25" customHeight="1" x14ac:dyDescent="0.3">
      <c r="A2" s="13">
        <v>45446</v>
      </c>
      <c r="B2" s="5" t="s">
        <v>33</v>
      </c>
      <c r="C2" s="15">
        <v>1135</v>
      </c>
      <c r="D2" s="15">
        <v>88</v>
      </c>
      <c r="E2" s="15">
        <v>344084</v>
      </c>
      <c r="F2" s="14">
        <v>8.06</v>
      </c>
      <c r="G2" s="29">
        <v>5904</v>
      </c>
      <c r="H2" s="15">
        <f>Table2[[#This Row],[New_Followers]]-Table2[[#This Row],[Unfollows]]</f>
        <v>1047</v>
      </c>
      <c r="I2" s="42">
        <f>Table2[[#This Row],[Net_Growth]]/(Table2[[#This Row],[Total_Followers]]-Table2[[#This Row],[Net_Growth]])</f>
        <v>3.0521488935595868E-3</v>
      </c>
    </row>
    <row r="3" spans="1:9" ht="14.25" customHeight="1" x14ac:dyDescent="0.3">
      <c r="A3" s="13">
        <v>45446</v>
      </c>
      <c r="B3" s="5" t="s">
        <v>43</v>
      </c>
      <c r="C3" s="15">
        <v>1312</v>
      </c>
      <c r="D3" s="15">
        <v>310</v>
      </c>
      <c r="E3" s="15">
        <v>42654</v>
      </c>
      <c r="F3" s="14">
        <v>4.9800000000000004</v>
      </c>
      <c r="G3" s="29">
        <v>9566</v>
      </c>
      <c r="H3" s="15">
        <f>Table2[[#This Row],[New_Followers]]-Table2[[#This Row],[Unfollows]]</f>
        <v>1002</v>
      </c>
      <c r="I3" s="42">
        <f>Table2[[#This Row],[Net_Growth]]/(Table2[[#This Row],[Total_Followers]]-Table2[[#This Row],[Net_Growth]])</f>
        <v>2.4056467876692595E-2</v>
      </c>
    </row>
    <row r="4" spans="1:9" ht="14.25" customHeight="1" x14ac:dyDescent="0.3">
      <c r="A4" s="13">
        <v>45446</v>
      </c>
      <c r="B4" s="5" t="s">
        <v>14</v>
      </c>
      <c r="C4" s="15">
        <v>584</v>
      </c>
      <c r="D4" s="15">
        <v>169</v>
      </c>
      <c r="E4" s="15">
        <v>146834</v>
      </c>
      <c r="F4" s="14">
        <v>8.31</v>
      </c>
      <c r="G4" s="29">
        <v>26752</v>
      </c>
      <c r="H4" s="15">
        <f>Table2[[#This Row],[New_Followers]]-Table2[[#This Row],[Unfollows]]</f>
        <v>415</v>
      </c>
      <c r="I4" s="42">
        <f>Table2[[#This Row],[Net_Growth]]/(Table2[[#This Row],[Total_Followers]]-Table2[[#This Row],[Net_Growth]])</f>
        <v>2.8343316099686518E-3</v>
      </c>
    </row>
    <row r="5" spans="1:9" ht="14.25" customHeight="1" x14ac:dyDescent="0.3">
      <c r="A5" s="13">
        <v>45446</v>
      </c>
      <c r="B5" s="5" t="s">
        <v>27</v>
      </c>
      <c r="C5" s="15">
        <v>1535</v>
      </c>
      <c r="D5" s="15">
        <v>445</v>
      </c>
      <c r="E5" s="15">
        <v>395536</v>
      </c>
      <c r="F5" s="14">
        <v>4.1100000000000003</v>
      </c>
      <c r="G5" s="29">
        <v>30671</v>
      </c>
      <c r="H5" s="15">
        <f>Table2[[#This Row],[New_Followers]]-Table2[[#This Row],[Unfollows]]</f>
        <v>1090</v>
      </c>
      <c r="I5" s="42">
        <f>Table2[[#This Row],[Net_Growth]]/(Table2[[#This Row],[Total_Followers]]-Table2[[#This Row],[Net_Growth]])</f>
        <v>2.7633693838953876E-3</v>
      </c>
    </row>
    <row r="6" spans="1:9" ht="14.25" customHeight="1" x14ac:dyDescent="0.3">
      <c r="A6" s="13">
        <v>45453</v>
      </c>
      <c r="B6" s="5" t="s">
        <v>33</v>
      </c>
      <c r="C6" s="15">
        <v>656</v>
      </c>
      <c r="D6" s="15">
        <v>139</v>
      </c>
      <c r="E6" s="15">
        <v>49157</v>
      </c>
      <c r="F6" s="14">
        <v>9.0500000000000007</v>
      </c>
      <c r="G6" s="29">
        <v>9920</v>
      </c>
      <c r="H6" s="15">
        <f>Table2[[#This Row],[New_Followers]]-Table2[[#This Row],[Unfollows]]</f>
        <v>517</v>
      </c>
      <c r="I6" s="42">
        <f>Table2[[#This Row],[Net_Growth]]/(Table2[[#This Row],[Total_Followers]]-Table2[[#This Row],[Net_Growth]])</f>
        <v>1.0629111842105262E-2</v>
      </c>
    </row>
    <row r="7" spans="1:9" ht="14.25" customHeight="1" x14ac:dyDescent="0.3">
      <c r="A7" s="13">
        <v>45453</v>
      </c>
      <c r="B7" s="5" t="s">
        <v>43</v>
      </c>
      <c r="C7" s="15">
        <v>1697</v>
      </c>
      <c r="D7" s="15">
        <v>414</v>
      </c>
      <c r="E7" s="15">
        <v>316555</v>
      </c>
      <c r="F7" s="14">
        <v>2.37</v>
      </c>
      <c r="G7" s="29">
        <v>7924</v>
      </c>
      <c r="H7" s="15">
        <f>Table2[[#This Row],[New_Followers]]-Table2[[#This Row],[Unfollows]]</f>
        <v>1283</v>
      </c>
      <c r="I7" s="42">
        <f>Table2[[#This Row],[Net_Growth]]/(Table2[[#This Row],[Total_Followers]]-Table2[[#This Row],[Net_Growth]])</f>
        <v>4.06950189043112E-3</v>
      </c>
    </row>
    <row r="8" spans="1:9" ht="14.25" customHeight="1" x14ac:dyDescent="0.3">
      <c r="A8" s="13">
        <v>45453</v>
      </c>
      <c r="B8" s="5" t="s">
        <v>14</v>
      </c>
      <c r="C8" s="15">
        <v>436</v>
      </c>
      <c r="D8" s="15">
        <v>250</v>
      </c>
      <c r="E8" s="15">
        <v>254347</v>
      </c>
      <c r="F8" s="14">
        <v>4.01</v>
      </c>
      <c r="G8" s="29">
        <v>8912</v>
      </c>
      <c r="H8" s="15">
        <f>Table2[[#This Row],[New_Followers]]-Table2[[#This Row],[Unfollows]]</f>
        <v>186</v>
      </c>
      <c r="I8" s="42">
        <f>Table2[[#This Row],[Net_Growth]]/(Table2[[#This Row],[Total_Followers]]-Table2[[#This Row],[Net_Growth]])</f>
        <v>7.3181959466637287E-4</v>
      </c>
    </row>
    <row r="9" spans="1:9" ht="14.25" customHeight="1" x14ac:dyDescent="0.3">
      <c r="A9" s="13">
        <v>45453</v>
      </c>
      <c r="B9" s="5" t="s">
        <v>27</v>
      </c>
      <c r="C9" s="15">
        <v>1197</v>
      </c>
      <c r="D9" s="15">
        <v>203</v>
      </c>
      <c r="E9" s="15">
        <v>413878</v>
      </c>
      <c r="F9" s="14">
        <v>3.16</v>
      </c>
      <c r="G9" s="29">
        <v>21205</v>
      </c>
      <c r="H9" s="15">
        <f>Table2[[#This Row],[New_Followers]]-Table2[[#This Row],[Unfollows]]</f>
        <v>994</v>
      </c>
      <c r="I9" s="42">
        <f>Table2[[#This Row],[Net_Growth]]/(Table2[[#This Row],[Total_Followers]]-Table2[[#This Row],[Net_Growth]])</f>
        <v>2.4074558471628834E-3</v>
      </c>
    </row>
    <row r="10" spans="1:9" ht="14.25" customHeight="1" x14ac:dyDescent="0.3">
      <c r="A10" s="13">
        <v>45460</v>
      </c>
      <c r="B10" s="5" t="s">
        <v>33</v>
      </c>
      <c r="C10" s="15">
        <v>1048</v>
      </c>
      <c r="D10" s="15">
        <v>155</v>
      </c>
      <c r="E10" s="15">
        <v>456946</v>
      </c>
      <c r="F10" s="14">
        <v>2.46</v>
      </c>
      <c r="G10" s="29">
        <v>11329</v>
      </c>
      <c r="H10" s="15">
        <f>Table2[[#This Row],[New_Followers]]-Table2[[#This Row],[Unfollows]]</f>
        <v>893</v>
      </c>
      <c r="I10" s="42">
        <f>Table2[[#This Row],[Net_Growth]]/(Table2[[#This Row],[Total_Followers]]-Table2[[#This Row],[Net_Growth]])</f>
        <v>1.9581057464812205E-3</v>
      </c>
    </row>
    <row r="11" spans="1:9" ht="14.25" customHeight="1" x14ac:dyDescent="0.3">
      <c r="A11" s="13">
        <v>45460</v>
      </c>
      <c r="B11" s="5" t="s">
        <v>43</v>
      </c>
      <c r="C11" s="15">
        <v>1753</v>
      </c>
      <c r="D11" s="15">
        <v>371</v>
      </c>
      <c r="E11" s="15">
        <v>169496</v>
      </c>
      <c r="F11" s="14">
        <v>8.11</v>
      </c>
      <c r="G11" s="29">
        <v>46670</v>
      </c>
      <c r="H11" s="15">
        <f>Table2[[#This Row],[New_Followers]]-Table2[[#This Row],[Unfollows]]</f>
        <v>1382</v>
      </c>
      <c r="I11" s="42">
        <f>Table2[[#This Row],[Net_Growth]]/(Table2[[#This Row],[Total_Followers]]-Table2[[#This Row],[Net_Growth]])</f>
        <v>8.2206122036237311E-3</v>
      </c>
    </row>
    <row r="12" spans="1:9" ht="14.25" customHeight="1" x14ac:dyDescent="0.3">
      <c r="A12" s="13">
        <v>45460</v>
      </c>
      <c r="B12" s="5" t="s">
        <v>14</v>
      </c>
      <c r="C12" s="15">
        <v>1335</v>
      </c>
      <c r="D12" s="15">
        <v>40</v>
      </c>
      <c r="E12" s="15">
        <v>122732</v>
      </c>
      <c r="F12" s="14">
        <v>8.19</v>
      </c>
      <c r="G12" s="29">
        <v>22482</v>
      </c>
      <c r="H12" s="15">
        <f>Table2[[#This Row],[New_Followers]]-Table2[[#This Row],[Unfollows]]</f>
        <v>1295</v>
      </c>
      <c r="I12" s="42">
        <f>Table2[[#This Row],[Net_Growth]]/(Table2[[#This Row],[Total_Followers]]-Table2[[#This Row],[Net_Growth]])</f>
        <v>1.0663965677676491E-2</v>
      </c>
    </row>
    <row r="13" spans="1:9" ht="14.25" customHeight="1" x14ac:dyDescent="0.3">
      <c r="A13" s="13">
        <v>45460</v>
      </c>
      <c r="B13" s="5" t="s">
        <v>27</v>
      </c>
      <c r="C13" s="15">
        <v>403</v>
      </c>
      <c r="D13" s="15">
        <v>66</v>
      </c>
      <c r="E13" s="15">
        <v>382851</v>
      </c>
      <c r="F13" s="14">
        <v>3.49</v>
      </c>
      <c r="G13" s="29">
        <v>24313</v>
      </c>
      <c r="H13" s="15">
        <f>Table2[[#This Row],[New_Followers]]-Table2[[#This Row],[Unfollows]]</f>
        <v>337</v>
      </c>
      <c r="I13" s="42">
        <f>Table2[[#This Row],[Net_Growth]]/(Table2[[#This Row],[Total_Followers]]-Table2[[#This Row],[Net_Growth]])</f>
        <v>8.810135053880381E-4</v>
      </c>
    </row>
    <row r="14" spans="1:9" ht="14.25" customHeight="1" x14ac:dyDescent="0.3">
      <c r="A14" s="13">
        <v>45467</v>
      </c>
      <c r="B14" s="5" t="s">
        <v>33</v>
      </c>
      <c r="C14" s="15">
        <v>911</v>
      </c>
      <c r="D14" s="15">
        <v>282</v>
      </c>
      <c r="E14" s="15">
        <v>35664</v>
      </c>
      <c r="F14" s="14">
        <v>6.92</v>
      </c>
      <c r="G14" s="29">
        <v>18050</v>
      </c>
      <c r="H14" s="15">
        <f>Table2[[#This Row],[New_Followers]]-Table2[[#This Row],[Unfollows]]</f>
        <v>629</v>
      </c>
      <c r="I14" s="42">
        <f>Table2[[#This Row],[Net_Growth]]/(Table2[[#This Row],[Total_Followers]]-Table2[[#This Row],[Net_Growth]])</f>
        <v>1.7953475096332241E-2</v>
      </c>
    </row>
    <row r="15" spans="1:9" ht="14.25" customHeight="1" x14ac:dyDescent="0.3">
      <c r="A15" s="13">
        <v>45467</v>
      </c>
      <c r="B15" s="5" t="s">
        <v>43</v>
      </c>
      <c r="C15" s="15">
        <v>1779</v>
      </c>
      <c r="D15" s="15">
        <v>109</v>
      </c>
      <c r="E15" s="15">
        <v>26295</v>
      </c>
      <c r="F15" s="14">
        <v>9.1199999999999992</v>
      </c>
      <c r="G15" s="29">
        <v>30635</v>
      </c>
      <c r="H15" s="15">
        <f>Table2[[#This Row],[New_Followers]]-Table2[[#This Row],[Unfollows]]</f>
        <v>1670</v>
      </c>
      <c r="I15" s="42">
        <f>Table2[[#This Row],[Net_Growth]]/(Table2[[#This Row],[Total_Followers]]-Table2[[#This Row],[Net_Growth]])</f>
        <v>6.7817258883248729E-2</v>
      </c>
    </row>
    <row r="16" spans="1:9" ht="14.25" customHeight="1" x14ac:dyDescent="0.3">
      <c r="A16" s="13">
        <v>45467</v>
      </c>
      <c r="B16" s="5" t="s">
        <v>14</v>
      </c>
      <c r="C16" s="15">
        <v>1238</v>
      </c>
      <c r="D16" s="15">
        <v>403</v>
      </c>
      <c r="E16" s="15">
        <v>298421</v>
      </c>
      <c r="F16" s="14">
        <v>3.5</v>
      </c>
      <c r="G16" s="29">
        <v>31280</v>
      </c>
      <c r="H16" s="15">
        <f>Table2[[#This Row],[New_Followers]]-Table2[[#This Row],[Unfollows]]</f>
        <v>835</v>
      </c>
      <c r="I16" s="42">
        <f>Table2[[#This Row],[Net_Growth]]/(Table2[[#This Row],[Total_Followers]]-Table2[[#This Row],[Net_Growth]])</f>
        <v>2.8059115684205575E-3</v>
      </c>
    </row>
    <row r="17" spans="1:9" ht="14.25" customHeight="1" x14ac:dyDescent="0.3">
      <c r="A17" s="13">
        <v>45467</v>
      </c>
      <c r="B17" s="5" t="s">
        <v>27</v>
      </c>
      <c r="C17" s="15">
        <v>308</v>
      </c>
      <c r="D17" s="15">
        <v>431</v>
      </c>
      <c r="E17" s="15">
        <v>426184</v>
      </c>
      <c r="F17" s="14">
        <v>2.62</v>
      </c>
      <c r="G17" s="29">
        <v>1783</v>
      </c>
      <c r="H17" s="15">
        <f>Table2[[#This Row],[New_Followers]]-Table2[[#This Row],[Unfollows]]</f>
        <v>-123</v>
      </c>
      <c r="I17" s="42">
        <f>Table2[[#This Row],[Net_Growth]]/(Table2[[#This Row],[Total_Followers]]-Table2[[#This Row],[Net_Growth]])</f>
        <v>-2.8852446710938363E-4</v>
      </c>
    </row>
    <row r="18" spans="1:9" ht="14.25" customHeight="1" x14ac:dyDescent="0.3">
      <c r="A18" s="13">
        <v>45474</v>
      </c>
      <c r="B18" s="5" t="s">
        <v>33</v>
      </c>
      <c r="C18" s="15">
        <v>226</v>
      </c>
      <c r="D18" s="15">
        <v>445</v>
      </c>
      <c r="E18" s="15">
        <v>419447</v>
      </c>
      <c r="F18" s="14">
        <v>9.36</v>
      </c>
      <c r="G18" s="29">
        <v>9566</v>
      </c>
      <c r="H18" s="15">
        <f>Table2[[#This Row],[New_Followers]]-Table2[[#This Row],[Unfollows]]</f>
        <v>-219</v>
      </c>
      <c r="I18" s="42">
        <f>Table2[[#This Row],[Net_Growth]]/(Table2[[#This Row],[Total_Followers]]-Table2[[#This Row],[Net_Growth]])</f>
        <v>-5.2184356130827853E-4</v>
      </c>
    </row>
    <row r="19" spans="1:9" ht="14.25" customHeight="1" x14ac:dyDescent="0.3">
      <c r="A19" s="13">
        <v>45474</v>
      </c>
      <c r="B19" s="5" t="s">
        <v>43</v>
      </c>
      <c r="C19" s="15">
        <v>505</v>
      </c>
      <c r="D19" s="15">
        <v>441</v>
      </c>
      <c r="E19" s="15">
        <v>220020</v>
      </c>
      <c r="F19" s="14">
        <v>4.4800000000000004</v>
      </c>
      <c r="G19" s="29">
        <v>42307</v>
      </c>
      <c r="H19" s="15">
        <f>Table2[[#This Row],[New_Followers]]-Table2[[#This Row],[Unfollows]]</f>
        <v>64</v>
      </c>
      <c r="I19" s="42">
        <f>Table2[[#This Row],[Net_Growth]]/(Table2[[#This Row],[Total_Followers]]-Table2[[#This Row],[Net_Growth]])</f>
        <v>2.9096728436596409E-4</v>
      </c>
    </row>
    <row r="20" spans="1:9" ht="14.25" customHeight="1" x14ac:dyDescent="0.3">
      <c r="A20" s="13">
        <v>45474</v>
      </c>
      <c r="B20" s="5" t="s">
        <v>14</v>
      </c>
      <c r="C20" s="15">
        <v>1420</v>
      </c>
      <c r="D20" s="15">
        <v>63</v>
      </c>
      <c r="E20" s="15">
        <v>315305</v>
      </c>
      <c r="F20" s="14">
        <v>6.19</v>
      </c>
      <c r="G20" s="29">
        <v>5914</v>
      </c>
      <c r="H20" s="15">
        <f>Table2[[#This Row],[New_Followers]]-Table2[[#This Row],[Unfollows]]</f>
        <v>1357</v>
      </c>
      <c r="I20" s="42">
        <f>Table2[[#This Row],[Net_Growth]]/(Table2[[#This Row],[Total_Followers]]-Table2[[#This Row],[Net_Growth]])</f>
        <v>4.3223718577598842E-3</v>
      </c>
    </row>
    <row r="21" spans="1:9" ht="14.25" customHeight="1" x14ac:dyDescent="0.3">
      <c r="A21" s="13">
        <v>45474</v>
      </c>
      <c r="B21" s="5" t="s">
        <v>27</v>
      </c>
      <c r="C21" s="15">
        <v>144</v>
      </c>
      <c r="D21" s="15">
        <v>53</v>
      </c>
      <c r="E21" s="15">
        <v>113678</v>
      </c>
      <c r="F21" s="14">
        <v>8.7200000000000006</v>
      </c>
      <c r="G21" s="29">
        <v>30060</v>
      </c>
      <c r="H21" s="15">
        <f>Table2[[#This Row],[New_Followers]]-Table2[[#This Row],[Unfollows]]</f>
        <v>91</v>
      </c>
      <c r="I21" s="42">
        <f>Table2[[#This Row],[Net_Growth]]/(Table2[[#This Row],[Total_Followers]]-Table2[[#This Row],[Net_Growth]])</f>
        <v>8.0114801869932302E-4</v>
      </c>
    </row>
    <row r="22" spans="1:9" ht="14.25" customHeight="1" x14ac:dyDescent="0.3">
      <c r="A22" s="13">
        <v>45481</v>
      </c>
      <c r="B22" s="5" t="s">
        <v>33</v>
      </c>
      <c r="C22" s="15">
        <v>1757</v>
      </c>
      <c r="D22" s="15">
        <v>85</v>
      </c>
      <c r="E22" s="15">
        <v>58223</v>
      </c>
      <c r="F22" s="14">
        <v>8.74</v>
      </c>
      <c r="G22" s="29">
        <v>22728</v>
      </c>
      <c r="H22" s="15">
        <f>Table2[[#This Row],[New_Followers]]-Table2[[#This Row],[Unfollows]]</f>
        <v>1672</v>
      </c>
      <c r="I22" s="42">
        <f>Table2[[#This Row],[Net_Growth]]/(Table2[[#This Row],[Total_Followers]]-Table2[[#This Row],[Net_Growth]])</f>
        <v>2.9566232250534917E-2</v>
      </c>
    </row>
    <row r="23" spans="1:9" ht="14.25" customHeight="1" x14ac:dyDescent="0.3">
      <c r="A23" s="13">
        <v>45481</v>
      </c>
      <c r="B23" s="5" t="s">
        <v>43</v>
      </c>
      <c r="C23" s="15">
        <v>350</v>
      </c>
      <c r="D23" s="15">
        <v>41</v>
      </c>
      <c r="E23" s="15">
        <v>251694</v>
      </c>
      <c r="F23" s="14">
        <v>1.91</v>
      </c>
      <c r="G23" s="29">
        <v>38610</v>
      </c>
      <c r="H23" s="15">
        <f>Table2[[#This Row],[New_Followers]]-Table2[[#This Row],[Unfollows]]</f>
        <v>309</v>
      </c>
      <c r="I23" s="42">
        <f>Table2[[#This Row],[Net_Growth]]/(Table2[[#This Row],[Total_Followers]]-Table2[[#This Row],[Net_Growth]])</f>
        <v>1.2291902858165761E-3</v>
      </c>
    </row>
    <row r="24" spans="1:9" ht="14.25" customHeight="1" x14ac:dyDescent="0.3">
      <c r="A24" s="13">
        <v>45481</v>
      </c>
      <c r="B24" s="5" t="s">
        <v>14</v>
      </c>
      <c r="C24" s="15">
        <v>987</v>
      </c>
      <c r="D24" s="15">
        <v>440</v>
      </c>
      <c r="E24" s="15">
        <v>389810</v>
      </c>
      <c r="F24" s="14">
        <v>4.66</v>
      </c>
      <c r="G24" s="29">
        <v>2932</v>
      </c>
      <c r="H24" s="15">
        <f>Table2[[#This Row],[New_Followers]]-Table2[[#This Row],[Unfollows]]</f>
        <v>547</v>
      </c>
      <c r="I24" s="42">
        <f>Table2[[#This Row],[Net_Growth]]/(Table2[[#This Row],[Total_Followers]]-Table2[[#This Row],[Net_Growth]])</f>
        <v>1.4052196073091972E-3</v>
      </c>
    </row>
    <row r="25" spans="1:9" ht="14.25" customHeight="1" x14ac:dyDescent="0.3">
      <c r="A25" s="13">
        <v>45481</v>
      </c>
      <c r="B25" s="5" t="s">
        <v>27</v>
      </c>
      <c r="C25" s="15">
        <v>883</v>
      </c>
      <c r="D25" s="15">
        <v>369</v>
      </c>
      <c r="E25" s="15">
        <v>233694</v>
      </c>
      <c r="F25" s="14">
        <v>2.88</v>
      </c>
      <c r="G25" s="29">
        <v>15071</v>
      </c>
      <c r="H25" s="15">
        <f>Table2[[#This Row],[New_Followers]]-Table2[[#This Row],[Unfollows]]</f>
        <v>514</v>
      </c>
      <c r="I25" s="42">
        <f>Table2[[#This Row],[Net_Growth]]/(Table2[[#This Row],[Total_Followers]]-Table2[[#This Row],[Net_Growth]])</f>
        <v>2.2043056865940474E-3</v>
      </c>
    </row>
    <row r="26" spans="1:9" ht="14.25" customHeight="1" x14ac:dyDescent="0.3">
      <c r="A26" s="13">
        <v>45488</v>
      </c>
      <c r="B26" s="5" t="s">
        <v>33</v>
      </c>
      <c r="C26" s="15">
        <v>1960</v>
      </c>
      <c r="D26" s="15">
        <v>115</v>
      </c>
      <c r="E26" s="15">
        <v>154169</v>
      </c>
      <c r="F26" s="14">
        <v>3.74</v>
      </c>
      <c r="G26" s="29">
        <v>10740</v>
      </c>
      <c r="H26" s="15">
        <f>Table2[[#This Row],[New_Followers]]-Table2[[#This Row],[Unfollows]]</f>
        <v>1845</v>
      </c>
      <c r="I26" s="42">
        <f>Table2[[#This Row],[Net_Growth]]/(Table2[[#This Row],[Total_Followers]]-Table2[[#This Row],[Net_Growth]])</f>
        <v>1.2112339486883223E-2</v>
      </c>
    </row>
    <row r="27" spans="1:9" ht="14.25" customHeight="1" x14ac:dyDescent="0.3">
      <c r="A27" s="13">
        <v>45488</v>
      </c>
      <c r="B27" s="5" t="s">
        <v>43</v>
      </c>
      <c r="C27" s="15">
        <v>170</v>
      </c>
      <c r="D27" s="15">
        <v>334</v>
      </c>
      <c r="E27" s="15">
        <v>334626</v>
      </c>
      <c r="F27" s="14">
        <v>6.44</v>
      </c>
      <c r="G27" s="29">
        <v>43420</v>
      </c>
      <c r="H27" s="15">
        <f>Table2[[#This Row],[New_Followers]]-Table2[[#This Row],[Unfollows]]</f>
        <v>-164</v>
      </c>
      <c r="I27" s="42">
        <f>Table2[[#This Row],[Net_Growth]]/(Table2[[#This Row],[Total_Followers]]-Table2[[#This Row],[Net_Growth]])</f>
        <v>-4.8985931479434872E-4</v>
      </c>
    </row>
    <row r="28" spans="1:9" ht="14.25" customHeight="1" x14ac:dyDescent="0.3">
      <c r="A28" s="13">
        <v>45488</v>
      </c>
      <c r="B28" s="5" t="s">
        <v>14</v>
      </c>
      <c r="C28" s="15">
        <v>704</v>
      </c>
      <c r="D28" s="15">
        <v>275</v>
      </c>
      <c r="E28" s="15">
        <v>226002</v>
      </c>
      <c r="F28" s="14">
        <v>8.56</v>
      </c>
      <c r="G28" s="29">
        <v>32393</v>
      </c>
      <c r="H28" s="15">
        <f>Table2[[#This Row],[New_Followers]]-Table2[[#This Row],[Unfollows]]</f>
        <v>429</v>
      </c>
      <c r="I28" s="42">
        <f>Table2[[#This Row],[Net_Growth]]/(Table2[[#This Row],[Total_Followers]]-Table2[[#This Row],[Net_Growth]])</f>
        <v>1.9018233565187323E-3</v>
      </c>
    </row>
    <row r="29" spans="1:9" ht="14.25" customHeight="1" x14ac:dyDescent="0.3">
      <c r="A29" s="13">
        <v>45488</v>
      </c>
      <c r="B29" s="5" t="s">
        <v>27</v>
      </c>
      <c r="C29" s="15">
        <v>224</v>
      </c>
      <c r="D29" s="15">
        <v>64</v>
      </c>
      <c r="E29" s="15">
        <v>156683</v>
      </c>
      <c r="F29" s="14">
        <v>4.5599999999999996</v>
      </c>
      <c r="G29" s="29">
        <v>28474</v>
      </c>
      <c r="H29" s="15">
        <f>Table2[[#This Row],[New_Followers]]-Table2[[#This Row],[Unfollows]]</f>
        <v>160</v>
      </c>
      <c r="I29" s="42">
        <f>Table2[[#This Row],[Net_Growth]]/(Table2[[#This Row],[Total_Followers]]-Table2[[#This Row],[Net_Growth]])</f>
        <v>1.0222139877206545E-3</v>
      </c>
    </row>
    <row r="30" spans="1:9" ht="14.25" customHeight="1" x14ac:dyDescent="0.3">
      <c r="A30" s="13">
        <v>45495</v>
      </c>
      <c r="B30" s="5" t="s">
        <v>33</v>
      </c>
      <c r="C30" s="15">
        <v>508</v>
      </c>
      <c r="D30" s="15">
        <v>349</v>
      </c>
      <c r="E30" s="15">
        <v>473812</v>
      </c>
      <c r="F30" s="14">
        <v>7.88</v>
      </c>
      <c r="G30" s="29">
        <v>17328</v>
      </c>
      <c r="H30" s="15">
        <f>Table2[[#This Row],[New_Followers]]-Table2[[#This Row],[Unfollows]]</f>
        <v>159</v>
      </c>
      <c r="I30" s="42">
        <f>Table2[[#This Row],[Net_Growth]]/(Table2[[#This Row],[Total_Followers]]-Table2[[#This Row],[Net_Growth]])</f>
        <v>3.3568878482771145E-4</v>
      </c>
    </row>
    <row r="31" spans="1:9" ht="14.25" customHeight="1" x14ac:dyDescent="0.3">
      <c r="A31" s="13">
        <v>45495</v>
      </c>
      <c r="B31" s="5" t="s">
        <v>43</v>
      </c>
      <c r="C31" s="15">
        <v>1391</v>
      </c>
      <c r="D31" s="15">
        <v>430</v>
      </c>
      <c r="E31" s="15">
        <v>295032</v>
      </c>
      <c r="F31" s="14">
        <v>7.86</v>
      </c>
      <c r="G31" s="29">
        <v>26067</v>
      </c>
      <c r="H31" s="15">
        <f>Table2[[#This Row],[New_Followers]]-Table2[[#This Row],[Unfollows]]</f>
        <v>961</v>
      </c>
      <c r="I31" s="42">
        <f>Table2[[#This Row],[Net_Growth]]/(Table2[[#This Row],[Total_Followers]]-Table2[[#This Row],[Net_Growth]])</f>
        <v>3.2679182918410859E-3</v>
      </c>
    </row>
    <row r="32" spans="1:9" ht="14.25" customHeight="1" x14ac:dyDescent="0.3">
      <c r="A32" s="13">
        <v>45495</v>
      </c>
      <c r="B32" s="5" t="s">
        <v>14</v>
      </c>
      <c r="C32" s="15">
        <v>1701</v>
      </c>
      <c r="D32" s="15">
        <v>385</v>
      </c>
      <c r="E32" s="15">
        <v>198278</v>
      </c>
      <c r="F32" s="14">
        <v>5.34</v>
      </c>
      <c r="G32" s="29">
        <v>32763</v>
      </c>
      <c r="H32" s="15">
        <f>Table2[[#This Row],[New_Followers]]-Table2[[#This Row],[Unfollows]]</f>
        <v>1316</v>
      </c>
      <c r="I32" s="42">
        <f>Table2[[#This Row],[Net_Growth]]/(Table2[[#This Row],[Total_Followers]]-Table2[[#This Row],[Net_Growth]])</f>
        <v>6.6814918613742752E-3</v>
      </c>
    </row>
    <row r="33" spans="1:9" ht="14.25" customHeight="1" x14ac:dyDescent="0.3">
      <c r="A33" s="13">
        <v>45495</v>
      </c>
      <c r="B33" s="5" t="s">
        <v>27</v>
      </c>
      <c r="C33" s="15">
        <v>804</v>
      </c>
      <c r="D33" s="15">
        <v>487</v>
      </c>
      <c r="E33" s="15">
        <v>306564</v>
      </c>
      <c r="F33" s="14">
        <v>5.52</v>
      </c>
      <c r="G33" s="29">
        <v>26452</v>
      </c>
      <c r="H33" s="15">
        <f>Table2[[#This Row],[New_Followers]]-Table2[[#This Row],[Unfollows]]</f>
        <v>317</v>
      </c>
      <c r="I33" s="42">
        <f>Table2[[#This Row],[Net_Growth]]/(Table2[[#This Row],[Total_Followers]]-Table2[[#This Row],[Net_Growth]])</f>
        <v>1.0351121806907496E-3</v>
      </c>
    </row>
    <row r="34" spans="1:9" ht="14.25" customHeight="1" x14ac:dyDescent="0.3">
      <c r="A34" s="13">
        <v>45502</v>
      </c>
      <c r="B34" s="5" t="s">
        <v>33</v>
      </c>
      <c r="C34" s="15">
        <v>653</v>
      </c>
      <c r="D34" s="15">
        <v>112</v>
      </c>
      <c r="E34" s="15">
        <v>23664</v>
      </c>
      <c r="F34" s="14">
        <v>4.05</v>
      </c>
      <c r="G34" s="29">
        <v>15353</v>
      </c>
      <c r="H34" s="15">
        <f>Table2[[#This Row],[New_Followers]]-Table2[[#This Row],[Unfollows]]</f>
        <v>541</v>
      </c>
      <c r="I34" s="42">
        <f>Table2[[#This Row],[Net_Growth]]/(Table2[[#This Row],[Total_Followers]]-Table2[[#This Row],[Net_Growth]])</f>
        <v>2.3396618085888509E-2</v>
      </c>
    </row>
    <row r="35" spans="1:9" ht="14.25" customHeight="1" x14ac:dyDescent="0.3">
      <c r="A35" s="13">
        <v>45502</v>
      </c>
      <c r="B35" s="5" t="s">
        <v>43</v>
      </c>
      <c r="C35" s="15">
        <v>160</v>
      </c>
      <c r="D35" s="15">
        <v>478</v>
      </c>
      <c r="E35" s="15">
        <v>435034</v>
      </c>
      <c r="F35" s="14">
        <v>7.73</v>
      </c>
      <c r="G35" s="29">
        <v>4839</v>
      </c>
      <c r="H35" s="15">
        <f>Table2[[#This Row],[New_Followers]]-Table2[[#This Row],[Unfollows]]</f>
        <v>-318</v>
      </c>
      <c r="I35" s="42">
        <f>Table2[[#This Row],[Net_Growth]]/(Table2[[#This Row],[Total_Followers]]-Table2[[#This Row],[Net_Growth]])</f>
        <v>-7.3044341130855037E-4</v>
      </c>
    </row>
    <row r="36" spans="1:9" ht="14.25" customHeight="1" x14ac:dyDescent="0.3">
      <c r="A36" s="13">
        <v>45502</v>
      </c>
      <c r="B36" s="5" t="s">
        <v>14</v>
      </c>
      <c r="C36" s="15">
        <v>1756</v>
      </c>
      <c r="D36" s="15">
        <v>261</v>
      </c>
      <c r="E36" s="15">
        <v>287574</v>
      </c>
      <c r="F36" s="14">
        <v>4.3600000000000003</v>
      </c>
      <c r="G36" s="29">
        <v>39272</v>
      </c>
      <c r="H36" s="15">
        <f>Table2[[#This Row],[New_Followers]]-Table2[[#This Row],[Unfollows]]</f>
        <v>1495</v>
      </c>
      <c r="I36" s="42">
        <f>Table2[[#This Row],[Net_Growth]]/(Table2[[#This Row],[Total_Followers]]-Table2[[#This Row],[Net_Growth]])</f>
        <v>5.2258292289891952E-3</v>
      </c>
    </row>
    <row r="37" spans="1:9" ht="14.25" customHeight="1" x14ac:dyDescent="0.3">
      <c r="A37" s="13">
        <v>45502</v>
      </c>
      <c r="B37" s="5" t="s">
        <v>27</v>
      </c>
      <c r="C37" s="15">
        <v>576</v>
      </c>
      <c r="D37" s="15">
        <v>101</v>
      </c>
      <c r="E37" s="15">
        <v>62499</v>
      </c>
      <c r="F37" s="14">
        <v>3.48</v>
      </c>
      <c r="G37" s="29">
        <v>16804</v>
      </c>
      <c r="H37" s="15">
        <f>Table2[[#This Row],[New_Followers]]-Table2[[#This Row],[Unfollows]]</f>
        <v>475</v>
      </c>
      <c r="I37" s="42">
        <f>Table2[[#This Row],[Net_Growth]]/(Table2[[#This Row],[Total_Followers]]-Table2[[#This Row],[Net_Growth]])</f>
        <v>7.6583258093641171E-3</v>
      </c>
    </row>
    <row r="38" spans="1:9" ht="14.25" customHeight="1" x14ac:dyDescent="0.3">
      <c r="A38" s="13">
        <v>45509</v>
      </c>
      <c r="B38" s="5" t="s">
        <v>33</v>
      </c>
      <c r="C38" s="15">
        <v>645</v>
      </c>
      <c r="D38" s="15">
        <v>293</v>
      </c>
      <c r="E38" s="15">
        <v>437968</v>
      </c>
      <c r="F38" s="14">
        <v>7.83</v>
      </c>
      <c r="G38" s="29">
        <v>49303</v>
      </c>
      <c r="H38" s="15">
        <f>Table2[[#This Row],[New_Followers]]-Table2[[#This Row],[Unfollows]]</f>
        <v>352</v>
      </c>
      <c r="I38" s="42">
        <f>Table2[[#This Row],[Net_Growth]]/(Table2[[#This Row],[Total_Followers]]-Table2[[#This Row],[Net_Growth]])</f>
        <v>8.0435815875105118E-4</v>
      </c>
    </row>
    <row r="39" spans="1:9" ht="14.25" customHeight="1" x14ac:dyDescent="0.3">
      <c r="A39" s="13">
        <v>45509</v>
      </c>
      <c r="B39" s="5" t="s">
        <v>43</v>
      </c>
      <c r="C39" s="15">
        <v>214</v>
      </c>
      <c r="D39" s="15">
        <v>411</v>
      </c>
      <c r="E39" s="15">
        <v>125034</v>
      </c>
      <c r="F39" s="14">
        <v>6.11</v>
      </c>
      <c r="G39" s="29">
        <v>26455</v>
      </c>
      <c r="H39" s="15">
        <f>Table2[[#This Row],[New_Followers]]-Table2[[#This Row],[Unfollows]]</f>
        <v>-197</v>
      </c>
      <c r="I39" s="42">
        <f>Table2[[#This Row],[Net_Growth]]/(Table2[[#This Row],[Total_Followers]]-Table2[[#This Row],[Net_Growth]])</f>
        <v>-1.573092924275938E-3</v>
      </c>
    </row>
    <row r="40" spans="1:9" ht="14.25" customHeight="1" x14ac:dyDescent="0.3">
      <c r="A40" s="13">
        <v>45509</v>
      </c>
      <c r="B40" s="5" t="s">
        <v>14</v>
      </c>
      <c r="C40" s="15">
        <v>826</v>
      </c>
      <c r="D40" s="15">
        <v>498</v>
      </c>
      <c r="E40" s="15">
        <v>449994</v>
      </c>
      <c r="F40" s="14">
        <v>9.43</v>
      </c>
      <c r="G40" s="29">
        <v>12384</v>
      </c>
      <c r="H40" s="15">
        <f>Table2[[#This Row],[New_Followers]]-Table2[[#This Row],[Unfollows]]</f>
        <v>328</v>
      </c>
      <c r="I40" s="42">
        <f>Table2[[#This Row],[Net_Growth]]/(Table2[[#This Row],[Total_Followers]]-Table2[[#This Row],[Net_Growth]])</f>
        <v>7.294302882583962E-4</v>
      </c>
    </row>
    <row r="41" spans="1:9" ht="14.25" customHeight="1" x14ac:dyDescent="0.3">
      <c r="A41" s="13">
        <v>45509</v>
      </c>
      <c r="B41" s="5" t="s">
        <v>27</v>
      </c>
      <c r="C41" s="15">
        <v>460</v>
      </c>
      <c r="D41" s="15">
        <v>141</v>
      </c>
      <c r="E41" s="15">
        <v>320650</v>
      </c>
      <c r="F41" s="14">
        <v>4.04</v>
      </c>
      <c r="G41" s="29">
        <v>49372</v>
      </c>
      <c r="H41" s="15">
        <f>Table2[[#This Row],[New_Followers]]-Table2[[#This Row],[Unfollows]]</f>
        <v>319</v>
      </c>
      <c r="I41" s="42">
        <f>Table2[[#This Row],[Net_Growth]]/(Table2[[#This Row],[Total_Followers]]-Table2[[#This Row],[Net_Growth]])</f>
        <v>9.9584492290786717E-4</v>
      </c>
    </row>
    <row r="42" spans="1:9" ht="14.25" customHeight="1" x14ac:dyDescent="0.3">
      <c r="A42" s="13">
        <v>45516</v>
      </c>
      <c r="B42" s="5" t="s">
        <v>33</v>
      </c>
      <c r="C42" s="15">
        <v>1528</v>
      </c>
      <c r="D42" s="15">
        <v>203</v>
      </c>
      <c r="E42" s="15">
        <v>489188</v>
      </c>
      <c r="F42" s="14">
        <v>6.23</v>
      </c>
      <c r="G42" s="29">
        <v>47101</v>
      </c>
      <c r="H42" s="15">
        <f>Table2[[#This Row],[New_Followers]]-Table2[[#This Row],[Unfollows]]</f>
        <v>1325</v>
      </c>
      <c r="I42" s="42">
        <f>Table2[[#This Row],[Net_Growth]]/(Table2[[#This Row],[Total_Followers]]-Table2[[#This Row],[Net_Growth]])</f>
        <v>2.7159263973697534E-3</v>
      </c>
    </row>
    <row r="43" spans="1:9" ht="14.25" customHeight="1" x14ac:dyDescent="0.3">
      <c r="A43" s="13">
        <v>45516</v>
      </c>
      <c r="B43" s="5" t="s">
        <v>43</v>
      </c>
      <c r="C43" s="15">
        <v>1534</v>
      </c>
      <c r="D43" s="15">
        <v>200</v>
      </c>
      <c r="E43" s="15">
        <v>307612</v>
      </c>
      <c r="F43" s="14">
        <v>6.01</v>
      </c>
      <c r="G43" s="29">
        <v>37903</v>
      </c>
      <c r="H43" s="15">
        <f>Table2[[#This Row],[New_Followers]]-Table2[[#This Row],[Unfollows]]</f>
        <v>1334</v>
      </c>
      <c r="I43" s="42">
        <f>Table2[[#This Row],[Net_Growth]]/(Table2[[#This Row],[Total_Followers]]-Table2[[#This Row],[Net_Growth]])</f>
        <v>4.3555201483619459E-3</v>
      </c>
    </row>
    <row r="44" spans="1:9" ht="14.25" customHeight="1" x14ac:dyDescent="0.3">
      <c r="A44" s="13">
        <v>45516</v>
      </c>
      <c r="B44" s="5" t="s">
        <v>14</v>
      </c>
      <c r="C44" s="15">
        <v>485</v>
      </c>
      <c r="D44" s="15">
        <v>448</v>
      </c>
      <c r="E44" s="15">
        <v>434883</v>
      </c>
      <c r="F44" s="14">
        <v>8.5500000000000007</v>
      </c>
      <c r="G44" s="29">
        <v>33258</v>
      </c>
      <c r="H44" s="15">
        <f>Table2[[#This Row],[New_Followers]]-Table2[[#This Row],[Unfollows]]</f>
        <v>37</v>
      </c>
      <c r="I44" s="42">
        <f>Table2[[#This Row],[Net_Growth]]/(Table2[[#This Row],[Total_Followers]]-Table2[[#This Row],[Net_Growth]])</f>
        <v>8.5087594228761446E-5</v>
      </c>
    </row>
    <row r="45" spans="1:9" ht="14.25" customHeight="1" x14ac:dyDescent="0.3">
      <c r="A45" s="13">
        <v>45516</v>
      </c>
      <c r="B45" s="5" t="s">
        <v>27</v>
      </c>
      <c r="C45" s="15">
        <v>1210</v>
      </c>
      <c r="D45" s="15">
        <v>178</v>
      </c>
      <c r="E45" s="15">
        <v>102042</v>
      </c>
      <c r="F45" s="14">
        <v>5.42</v>
      </c>
      <c r="G45" s="29">
        <v>6915</v>
      </c>
      <c r="H45" s="15">
        <f>Table2[[#This Row],[New_Followers]]-Table2[[#This Row],[Unfollows]]</f>
        <v>1032</v>
      </c>
      <c r="I45" s="42">
        <f>Table2[[#This Row],[Net_Growth]]/(Table2[[#This Row],[Total_Followers]]-Table2[[#This Row],[Net_Growth]])</f>
        <v>1.0216810216810217E-2</v>
      </c>
    </row>
    <row r="46" spans="1:9" ht="14.25" customHeight="1" x14ac:dyDescent="0.3">
      <c r="A46" s="13">
        <v>45523</v>
      </c>
      <c r="B46" s="5" t="s">
        <v>33</v>
      </c>
      <c r="C46" s="15">
        <v>215</v>
      </c>
      <c r="D46" s="15">
        <v>139</v>
      </c>
      <c r="E46" s="15">
        <v>325444</v>
      </c>
      <c r="F46" s="14">
        <v>3.25</v>
      </c>
      <c r="G46" s="29">
        <v>35501</v>
      </c>
      <c r="H46" s="15">
        <f>Table2[[#This Row],[New_Followers]]-Table2[[#This Row],[Unfollows]]</f>
        <v>76</v>
      </c>
      <c r="I46" s="42">
        <f>Table2[[#This Row],[Net_Growth]]/(Table2[[#This Row],[Total_Followers]]-Table2[[#This Row],[Net_Growth]])</f>
        <v>2.3358166752723071E-4</v>
      </c>
    </row>
    <row r="47" spans="1:9" ht="14.25" customHeight="1" x14ac:dyDescent="0.3">
      <c r="A47" s="13">
        <v>45523</v>
      </c>
      <c r="B47" s="5" t="s">
        <v>43</v>
      </c>
      <c r="C47" s="15">
        <v>1078</v>
      </c>
      <c r="D47" s="15">
        <v>20</v>
      </c>
      <c r="E47" s="15">
        <v>183924</v>
      </c>
      <c r="F47" s="14">
        <v>8.84</v>
      </c>
      <c r="G47" s="29">
        <v>14203</v>
      </c>
      <c r="H47" s="15">
        <f>Table2[[#This Row],[New_Followers]]-Table2[[#This Row],[Unfollows]]</f>
        <v>1058</v>
      </c>
      <c r="I47" s="42">
        <f>Table2[[#This Row],[Net_Growth]]/(Table2[[#This Row],[Total_Followers]]-Table2[[#This Row],[Net_Growth]])</f>
        <v>5.7856572572266033E-3</v>
      </c>
    </row>
    <row r="48" spans="1:9" ht="14.25" customHeight="1" x14ac:dyDescent="0.3">
      <c r="A48" s="13">
        <v>45523</v>
      </c>
      <c r="B48" s="5" t="s">
        <v>14</v>
      </c>
      <c r="C48" s="15">
        <v>1751</v>
      </c>
      <c r="D48" s="15">
        <v>86</v>
      </c>
      <c r="E48" s="15">
        <v>188655</v>
      </c>
      <c r="F48" s="14">
        <v>7.24</v>
      </c>
      <c r="G48" s="29">
        <v>22206</v>
      </c>
      <c r="H48" s="15">
        <f>Table2[[#This Row],[New_Followers]]-Table2[[#This Row],[Unfollows]]</f>
        <v>1665</v>
      </c>
      <c r="I48" s="42">
        <f>Table2[[#This Row],[Net_Growth]]/(Table2[[#This Row],[Total_Followers]]-Table2[[#This Row],[Net_Growth]])</f>
        <v>8.9042194769773791E-3</v>
      </c>
    </row>
    <row r="49" spans="1:9" ht="14.25" customHeight="1" x14ac:dyDescent="0.3">
      <c r="A49" s="13">
        <v>45523</v>
      </c>
      <c r="B49" s="5" t="s">
        <v>27</v>
      </c>
      <c r="C49" s="15">
        <v>221</v>
      </c>
      <c r="D49" s="15">
        <v>31</v>
      </c>
      <c r="E49" s="15">
        <v>87443</v>
      </c>
      <c r="F49" s="14">
        <v>6.19</v>
      </c>
      <c r="G49" s="29">
        <v>10283</v>
      </c>
      <c r="H49" s="15">
        <f>Table2[[#This Row],[New_Followers]]-Table2[[#This Row],[Unfollows]]</f>
        <v>190</v>
      </c>
      <c r="I49" s="42">
        <f>Table2[[#This Row],[Net_Growth]]/(Table2[[#This Row],[Total_Followers]]-Table2[[#This Row],[Net_Growth]])</f>
        <v>2.1775755561413363E-3</v>
      </c>
    </row>
    <row r="50" spans="1:9" ht="14.25" customHeight="1" x14ac:dyDescent="0.3">
      <c r="A50" s="13">
        <v>45530</v>
      </c>
      <c r="B50" s="5" t="s">
        <v>33</v>
      </c>
      <c r="C50" s="15">
        <v>1685</v>
      </c>
      <c r="D50" s="15">
        <v>76</v>
      </c>
      <c r="E50" s="15">
        <v>453799</v>
      </c>
      <c r="F50" s="14">
        <v>5.71</v>
      </c>
      <c r="G50" s="29">
        <v>24913</v>
      </c>
      <c r="H50" s="15">
        <f>Table2[[#This Row],[New_Followers]]-Table2[[#This Row],[Unfollows]]</f>
        <v>1609</v>
      </c>
      <c r="I50" s="42">
        <f>Table2[[#This Row],[Net_Growth]]/(Table2[[#This Row],[Total_Followers]]-Table2[[#This Row],[Net_Growth]])</f>
        <v>3.5582387934275416E-3</v>
      </c>
    </row>
    <row r="51" spans="1:9" ht="14.25" customHeight="1" x14ac:dyDescent="0.3">
      <c r="A51" s="13">
        <v>45530</v>
      </c>
      <c r="B51" s="5" t="s">
        <v>43</v>
      </c>
      <c r="C51" s="15">
        <v>248</v>
      </c>
      <c r="D51" s="15">
        <v>211</v>
      </c>
      <c r="E51" s="15">
        <v>379380</v>
      </c>
      <c r="F51" s="14">
        <v>9.0399999999999991</v>
      </c>
      <c r="G51" s="29">
        <v>26925</v>
      </c>
      <c r="H51" s="15">
        <f>Table2[[#This Row],[New_Followers]]-Table2[[#This Row],[Unfollows]]</f>
        <v>37</v>
      </c>
      <c r="I51" s="42">
        <f>Table2[[#This Row],[Net_Growth]]/(Table2[[#This Row],[Total_Followers]]-Table2[[#This Row],[Net_Growth]])</f>
        <v>9.7537057491505044E-5</v>
      </c>
    </row>
    <row r="52" spans="1:9" ht="14.25" customHeight="1" x14ac:dyDescent="0.3">
      <c r="A52" s="13">
        <v>45530</v>
      </c>
      <c r="B52" s="5" t="s">
        <v>14</v>
      </c>
      <c r="C52" s="15">
        <v>1300</v>
      </c>
      <c r="D52" s="15">
        <v>71</v>
      </c>
      <c r="E52" s="15">
        <v>186454</v>
      </c>
      <c r="F52" s="14">
        <v>3.91</v>
      </c>
      <c r="G52" s="29">
        <v>9942</v>
      </c>
      <c r="H52" s="15">
        <f>Table2[[#This Row],[New_Followers]]-Table2[[#This Row],[Unfollows]]</f>
        <v>1229</v>
      </c>
      <c r="I52" s="42">
        <f>Table2[[#This Row],[Net_Growth]]/(Table2[[#This Row],[Total_Followers]]-Table2[[#This Row],[Net_Growth]])</f>
        <v>6.6351734377108921E-3</v>
      </c>
    </row>
    <row r="53" spans="1:9" ht="14.25" customHeight="1" x14ac:dyDescent="0.3">
      <c r="A53" s="13">
        <v>45530</v>
      </c>
      <c r="B53" s="5" t="s">
        <v>27</v>
      </c>
      <c r="C53" s="15">
        <v>422</v>
      </c>
      <c r="D53" s="15">
        <v>394</v>
      </c>
      <c r="E53" s="15">
        <v>239044</v>
      </c>
      <c r="F53" s="14">
        <v>7.83</v>
      </c>
      <c r="G53" s="29">
        <v>32929</v>
      </c>
      <c r="H53" s="15">
        <f>Table2[[#This Row],[New_Followers]]-Table2[[#This Row],[Unfollows]]</f>
        <v>28</v>
      </c>
      <c r="I53" s="42">
        <f>Table2[[#This Row],[Net_Growth]]/(Table2[[#This Row],[Total_Followers]]-Table2[[#This Row],[Net_Growth]])</f>
        <v>1.1714696924055294E-4</v>
      </c>
    </row>
    <row r="54" spans="1:9" ht="14.25" customHeight="1" x14ac:dyDescent="0.3">
      <c r="A54" s="13">
        <v>45537</v>
      </c>
      <c r="B54" s="5" t="s">
        <v>33</v>
      </c>
      <c r="C54" s="15">
        <v>1429</v>
      </c>
      <c r="D54" s="15">
        <v>182</v>
      </c>
      <c r="E54" s="15">
        <v>101332</v>
      </c>
      <c r="F54" s="14">
        <v>7.16</v>
      </c>
      <c r="G54" s="29">
        <v>37829</v>
      </c>
      <c r="H54" s="15">
        <f>Table2[[#This Row],[New_Followers]]-Table2[[#This Row],[Unfollows]]</f>
        <v>1247</v>
      </c>
      <c r="I54" s="42">
        <f>Table2[[#This Row],[Net_Growth]]/(Table2[[#This Row],[Total_Followers]]-Table2[[#This Row],[Net_Growth]])</f>
        <v>1.2459409501923365E-2</v>
      </c>
    </row>
    <row r="55" spans="1:9" ht="14.25" customHeight="1" x14ac:dyDescent="0.3">
      <c r="A55" s="13">
        <v>45537</v>
      </c>
      <c r="B55" s="5" t="s">
        <v>43</v>
      </c>
      <c r="C55" s="15">
        <v>1520</v>
      </c>
      <c r="D55" s="15">
        <v>475</v>
      </c>
      <c r="E55" s="15">
        <v>496982</v>
      </c>
      <c r="F55" s="14">
        <v>6.41</v>
      </c>
      <c r="G55" s="29">
        <v>24384</v>
      </c>
      <c r="H55" s="15">
        <f>Table2[[#This Row],[New_Followers]]-Table2[[#This Row],[Unfollows]]</f>
        <v>1045</v>
      </c>
      <c r="I55" s="42">
        <f>Table2[[#This Row],[Net_Growth]]/(Table2[[#This Row],[Total_Followers]]-Table2[[#This Row],[Net_Growth]])</f>
        <v>2.1071224772501347E-3</v>
      </c>
    </row>
    <row r="56" spans="1:9" ht="14.25" customHeight="1" x14ac:dyDescent="0.3">
      <c r="A56" s="13">
        <v>45537</v>
      </c>
      <c r="B56" s="5" t="s">
        <v>14</v>
      </c>
      <c r="C56" s="15">
        <v>557</v>
      </c>
      <c r="D56" s="15">
        <v>360</v>
      </c>
      <c r="E56" s="15">
        <v>318779</v>
      </c>
      <c r="F56" s="14">
        <v>8.02</v>
      </c>
      <c r="G56" s="29">
        <v>25797</v>
      </c>
      <c r="H56" s="15">
        <f>Table2[[#This Row],[New_Followers]]-Table2[[#This Row],[Unfollows]]</f>
        <v>197</v>
      </c>
      <c r="I56" s="42">
        <f>Table2[[#This Row],[Net_Growth]]/(Table2[[#This Row],[Total_Followers]]-Table2[[#This Row],[Net_Growth]])</f>
        <v>6.1836513048445924E-4</v>
      </c>
    </row>
    <row r="57" spans="1:9" ht="14.25" customHeight="1" x14ac:dyDescent="0.3">
      <c r="A57" s="13">
        <v>45537</v>
      </c>
      <c r="B57" s="5" t="s">
        <v>27</v>
      </c>
      <c r="C57" s="15">
        <v>728</v>
      </c>
      <c r="D57" s="15">
        <v>395</v>
      </c>
      <c r="E57" s="15">
        <v>370971</v>
      </c>
      <c r="F57" s="14">
        <v>3.86</v>
      </c>
      <c r="G57" s="29">
        <v>12646</v>
      </c>
      <c r="H57" s="15">
        <f>Table2[[#This Row],[New_Followers]]-Table2[[#This Row],[Unfollows]]</f>
        <v>333</v>
      </c>
      <c r="I57" s="42">
        <f>Table2[[#This Row],[Net_Growth]]/(Table2[[#This Row],[Total_Followers]]-Table2[[#This Row],[Net_Growth]])</f>
        <v>8.9845077946675727E-4</v>
      </c>
    </row>
    <row r="58" spans="1:9" ht="14.25" customHeight="1" x14ac:dyDescent="0.3">
      <c r="A58" s="13">
        <v>45544</v>
      </c>
      <c r="B58" s="5" t="s">
        <v>33</v>
      </c>
      <c r="C58" s="15">
        <v>1592</v>
      </c>
      <c r="D58" s="15">
        <v>20</v>
      </c>
      <c r="E58" s="15">
        <v>378054</v>
      </c>
      <c r="F58" s="14">
        <v>9.09</v>
      </c>
      <c r="G58" s="29">
        <v>26663</v>
      </c>
      <c r="H58" s="15">
        <f>Table2[[#This Row],[New_Followers]]-Table2[[#This Row],[Unfollows]]</f>
        <v>1572</v>
      </c>
      <c r="I58" s="42">
        <f>Table2[[#This Row],[Net_Growth]]/(Table2[[#This Row],[Total_Followers]]-Table2[[#This Row],[Net_Growth]])</f>
        <v>4.1754984302038341E-3</v>
      </c>
    </row>
    <row r="59" spans="1:9" ht="14.25" customHeight="1" x14ac:dyDescent="0.3">
      <c r="A59" s="13">
        <v>45544</v>
      </c>
      <c r="B59" s="5" t="s">
        <v>43</v>
      </c>
      <c r="C59" s="15">
        <v>1842</v>
      </c>
      <c r="D59" s="15">
        <v>414</v>
      </c>
      <c r="E59" s="15">
        <v>307524</v>
      </c>
      <c r="F59" s="14">
        <v>1.76</v>
      </c>
      <c r="G59" s="29">
        <v>40478</v>
      </c>
      <c r="H59" s="15">
        <f>Table2[[#This Row],[New_Followers]]-Table2[[#This Row],[Unfollows]]</f>
        <v>1428</v>
      </c>
      <c r="I59" s="42">
        <f>Table2[[#This Row],[Net_Growth]]/(Table2[[#This Row],[Total_Followers]]-Table2[[#This Row],[Net_Growth]])</f>
        <v>4.6652030735455539E-3</v>
      </c>
    </row>
    <row r="60" spans="1:9" ht="14.25" customHeight="1" x14ac:dyDescent="0.3">
      <c r="A60" s="13">
        <v>45544</v>
      </c>
      <c r="B60" s="5" t="s">
        <v>14</v>
      </c>
      <c r="C60" s="15">
        <v>751</v>
      </c>
      <c r="D60" s="15">
        <v>491</v>
      </c>
      <c r="E60" s="15">
        <v>434047</v>
      </c>
      <c r="F60" s="14">
        <v>9.24</v>
      </c>
      <c r="G60" s="29">
        <v>15476</v>
      </c>
      <c r="H60" s="15">
        <f>Table2[[#This Row],[New_Followers]]-Table2[[#This Row],[Unfollows]]</f>
        <v>260</v>
      </c>
      <c r="I60" s="42">
        <f>Table2[[#This Row],[Net_Growth]]/(Table2[[#This Row],[Total_Followers]]-Table2[[#This Row],[Net_Growth]])</f>
        <v>5.9937250309483687E-4</v>
      </c>
    </row>
    <row r="61" spans="1:9" ht="14.25" customHeight="1" x14ac:dyDescent="0.3">
      <c r="A61" s="13">
        <v>45544</v>
      </c>
      <c r="B61" s="5" t="s">
        <v>27</v>
      </c>
      <c r="C61" s="15">
        <v>1409</v>
      </c>
      <c r="D61" s="15">
        <v>309</v>
      </c>
      <c r="E61" s="15">
        <v>64583</v>
      </c>
      <c r="F61" s="14">
        <v>8.99</v>
      </c>
      <c r="G61" s="29">
        <v>10217</v>
      </c>
      <c r="H61" s="15">
        <f>Table2[[#This Row],[New_Followers]]-Table2[[#This Row],[Unfollows]]</f>
        <v>1100</v>
      </c>
      <c r="I61" s="42">
        <f>Table2[[#This Row],[Net_Growth]]/(Table2[[#This Row],[Total_Followers]]-Table2[[#This Row],[Net_Growth]])</f>
        <v>1.7327473496841675E-2</v>
      </c>
    </row>
    <row r="62" spans="1:9" ht="14.25" customHeight="1" x14ac:dyDescent="0.3">
      <c r="A62" s="13">
        <v>45551</v>
      </c>
      <c r="B62" s="5" t="s">
        <v>33</v>
      </c>
      <c r="C62" s="15">
        <v>778</v>
      </c>
      <c r="D62" s="15">
        <v>401</v>
      </c>
      <c r="E62" s="15">
        <v>50793</v>
      </c>
      <c r="F62" s="14">
        <v>3.4</v>
      </c>
      <c r="G62" s="29">
        <v>21939</v>
      </c>
      <c r="H62" s="15">
        <f>Table2[[#This Row],[New_Followers]]-Table2[[#This Row],[Unfollows]]</f>
        <v>377</v>
      </c>
      <c r="I62" s="42">
        <f>Table2[[#This Row],[Net_Growth]]/(Table2[[#This Row],[Total_Followers]]-Table2[[#This Row],[Net_Growth]])</f>
        <v>7.4777848302126308E-3</v>
      </c>
    </row>
    <row r="63" spans="1:9" ht="14.25" customHeight="1" x14ac:dyDescent="0.3">
      <c r="A63" s="13">
        <v>45551</v>
      </c>
      <c r="B63" s="5" t="s">
        <v>43</v>
      </c>
      <c r="C63" s="15">
        <v>443</v>
      </c>
      <c r="D63" s="15">
        <v>345</v>
      </c>
      <c r="E63" s="15">
        <v>474162</v>
      </c>
      <c r="F63" s="14">
        <v>9.1999999999999993</v>
      </c>
      <c r="G63" s="29">
        <v>47462</v>
      </c>
      <c r="H63" s="15">
        <f>Table2[[#This Row],[New_Followers]]-Table2[[#This Row],[Unfollows]]</f>
        <v>98</v>
      </c>
      <c r="I63" s="42">
        <f>Table2[[#This Row],[Net_Growth]]/(Table2[[#This Row],[Total_Followers]]-Table2[[#This Row],[Net_Growth]])</f>
        <v>2.0672314286678591E-4</v>
      </c>
    </row>
    <row r="64" spans="1:9" ht="14.25" customHeight="1" x14ac:dyDescent="0.3">
      <c r="A64" s="13">
        <v>45551</v>
      </c>
      <c r="B64" s="5" t="s">
        <v>14</v>
      </c>
      <c r="C64" s="15">
        <v>1472</v>
      </c>
      <c r="D64" s="15">
        <v>347</v>
      </c>
      <c r="E64" s="15">
        <v>392355</v>
      </c>
      <c r="F64" s="14">
        <v>8.59</v>
      </c>
      <c r="G64" s="29">
        <v>30270</v>
      </c>
      <c r="H64" s="15">
        <f>Table2[[#This Row],[New_Followers]]-Table2[[#This Row],[Unfollows]]</f>
        <v>1125</v>
      </c>
      <c r="I64" s="42">
        <f>Table2[[#This Row],[Net_Growth]]/(Table2[[#This Row],[Total_Followers]]-Table2[[#This Row],[Net_Growth]])</f>
        <v>2.8755463538072232E-3</v>
      </c>
    </row>
    <row r="65" spans="1:9" ht="14.25" customHeight="1" x14ac:dyDescent="0.3">
      <c r="A65" s="13">
        <v>45551</v>
      </c>
      <c r="B65" s="5" t="s">
        <v>27</v>
      </c>
      <c r="C65" s="15">
        <v>123</v>
      </c>
      <c r="D65" s="15">
        <v>155</v>
      </c>
      <c r="E65" s="15">
        <v>119934</v>
      </c>
      <c r="F65" s="14">
        <v>3.5</v>
      </c>
      <c r="G65" s="29">
        <v>5442</v>
      </c>
      <c r="H65" s="15">
        <f>Table2[[#This Row],[New_Followers]]-Table2[[#This Row],[Unfollows]]</f>
        <v>-32</v>
      </c>
      <c r="I65" s="42">
        <f>Table2[[#This Row],[Net_Growth]]/(Table2[[#This Row],[Total_Followers]]-Table2[[#This Row],[Net_Growth]])</f>
        <v>-2.6674224363569678E-4</v>
      </c>
    </row>
    <row r="66" spans="1:9" ht="14.25" customHeight="1" x14ac:dyDescent="0.3">
      <c r="A66" s="13">
        <v>45558</v>
      </c>
      <c r="B66" s="5" t="s">
        <v>33</v>
      </c>
      <c r="C66" s="15">
        <v>817</v>
      </c>
      <c r="D66" s="15">
        <v>151</v>
      </c>
      <c r="E66" s="15">
        <v>422625</v>
      </c>
      <c r="F66" s="14">
        <v>2.36</v>
      </c>
      <c r="G66" s="29">
        <v>1083</v>
      </c>
      <c r="H66" s="15">
        <f>Table2[[#This Row],[New_Followers]]-Table2[[#This Row],[Unfollows]]</f>
        <v>666</v>
      </c>
      <c r="I66" s="42">
        <f>Table2[[#This Row],[Net_Growth]]/(Table2[[#This Row],[Total_Followers]]-Table2[[#This Row],[Net_Growth]])</f>
        <v>1.5783523991667436E-3</v>
      </c>
    </row>
    <row r="67" spans="1:9" ht="14.25" customHeight="1" x14ac:dyDescent="0.3">
      <c r="A67" s="13">
        <v>45558</v>
      </c>
      <c r="B67" s="5" t="s">
        <v>43</v>
      </c>
      <c r="C67" s="15">
        <v>198</v>
      </c>
      <c r="D67" s="15">
        <v>217</v>
      </c>
      <c r="E67" s="15">
        <v>239753</v>
      </c>
      <c r="F67" s="14">
        <v>7.36</v>
      </c>
      <c r="G67" s="29">
        <v>11901</v>
      </c>
      <c r="H67" s="15">
        <f>Table2[[#This Row],[New_Followers]]-Table2[[#This Row],[Unfollows]]</f>
        <v>-19</v>
      </c>
      <c r="I67" s="42">
        <f>Table2[[#This Row],[Net_Growth]]/(Table2[[#This Row],[Total_Followers]]-Table2[[#This Row],[Net_Growth]])</f>
        <v>-7.9241946515856736E-5</v>
      </c>
    </row>
    <row r="68" spans="1:9" ht="14.25" customHeight="1" x14ac:dyDescent="0.3">
      <c r="A68" s="13">
        <v>45558</v>
      </c>
      <c r="B68" s="5" t="s">
        <v>14</v>
      </c>
      <c r="C68" s="15">
        <v>1911</v>
      </c>
      <c r="D68" s="15">
        <v>231</v>
      </c>
      <c r="E68" s="15">
        <v>268516</v>
      </c>
      <c r="F68" s="14">
        <v>8.5500000000000007</v>
      </c>
      <c r="G68" s="29">
        <v>24018</v>
      </c>
      <c r="H68" s="15">
        <f>Table2[[#This Row],[New_Followers]]-Table2[[#This Row],[Unfollows]]</f>
        <v>1680</v>
      </c>
      <c r="I68" s="42">
        <f>Table2[[#This Row],[Net_Growth]]/(Table2[[#This Row],[Total_Followers]]-Table2[[#This Row],[Net_Growth]])</f>
        <v>6.2960020387054219E-3</v>
      </c>
    </row>
    <row r="69" spans="1:9" ht="14.25" customHeight="1" x14ac:dyDescent="0.3">
      <c r="A69" s="13">
        <v>45558</v>
      </c>
      <c r="B69" s="5" t="s">
        <v>27</v>
      </c>
      <c r="C69" s="15">
        <v>1218</v>
      </c>
      <c r="D69" s="15">
        <v>212</v>
      </c>
      <c r="E69" s="15">
        <v>63177</v>
      </c>
      <c r="F69" s="14">
        <v>8.1300000000000008</v>
      </c>
      <c r="G69" s="29">
        <v>38883</v>
      </c>
      <c r="H69" s="15">
        <f>Table2[[#This Row],[New_Followers]]-Table2[[#This Row],[Unfollows]]</f>
        <v>1006</v>
      </c>
      <c r="I69" s="42">
        <f>Table2[[#This Row],[Net_Growth]]/(Table2[[#This Row],[Total_Followers]]-Table2[[#This Row],[Net_Growth]])</f>
        <v>1.6181177719515528E-2</v>
      </c>
    </row>
    <row r="70" spans="1:9" ht="14.25" customHeight="1" x14ac:dyDescent="0.3">
      <c r="A70" s="13">
        <v>45565</v>
      </c>
      <c r="B70" s="5" t="s">
        <v>33</v>
      </c>
      <c r="C70" s="15">
        <v>1433</v>
      </c>
      <c r="D70" s="15">
        <v>408</v>
      </c>
      <c r="E70" s="15">
        <v>370269</v>
      </c>
      <c r="F70" s="14">
        <v>3.3</v>
      </c>
      <c r="G70" s="29">
        <v>30575</v>
      </c>
      <c r="H70" s="15">
        <f>Table2[[#This Row],[New_Followers]]-Table2[[#This Row],[Unfollows]]</f>
        <v>1025</v>
      </c>
      <c r="I70" s="42">
        <f>Table2[[#This Row],[Net_Growth]]/(Table2[[#This Row],[Total_Followers]]-Table2[[#This Row],[Net_Growth]])</f>
        <v>2.7759421954046647E-3</v>
      </c>
    </row>
    <row r="71" spans="1:9" ht="14.25" customHeight="1" x14ac:dyDescent="0.3">
      <c r="A71" s="13">
        <v>45565</v>
      </c>
      <c r="B71" s="5" t="s">
        <v>43</v>
      </c>
      <c r="C71" s="15">
        <v>250</v>
      </c>
      <c r="D71" s="15">
        <v>429</v>
      </c>
      <c r="E71" s="15">
        <v>453423</v>
      </c>
      <c r="F71" s="14">
        <v>1.77</v>
      </c>
      <c r="G71" s="29">
        <v>2315</v>
      </c>
      <c r="H71" s="15">
        <f>Table2[[#This Row],[New_Followers]]-Table2[[#This Row],[Unfollows]]</f>
        <v>-179</v>
      </c>
      <c r="I71" s="42">
        <f>Table2[[#This Row],[Net_Growth]]/(Table2[[#This Row],[Total_Followers]]-Table2[[#This Row],[Net_Growth]])</f>
        <v>-3.9461907134448259E-4</v>
      </c>
    </row>
    <row r="72" spans="1:9" ht="14.25" customHeight="1" x14ac:dyDescent="0.3">
      <c r="A72" s="13">
        <v>45565</v>
      </c>
      <c r="B72" s="5" t="s">
        <v>14</v>
      </c>
      <c r="C72" s="15">
        <v>752</v>
      </c>
      <c r="D72" s="15">
        <v>153</v>
      </c>
      <c r="E72" s="15">
        <v>64906</v>
      </c>
      <c r="F72" s="14">
        <v>2.09</v>
      </c>
      <c r="G72" s="29">
        <v>12148</v>
      </c>
      <c r="H72" s="15">
        <f>Table2[[#This Row],[New_Followers]]-Table2[[#This Row],[Unfollows]]</f>
        <v>599</v>
      </c>
      <c r="I72" s="42">
        <f>Table2[[#This Row],[Net_Growth]]/(Table2[[#This Row],[Total_Followers]]-Table2[[#This Row],[Net_Growth]])</f>
        <v>9.3146935792370964E-3</v>
      </c>
    </row>
    <row r="73" spans="1:9" ht="14.25" customHeight="1" x14ac:dyDescent="0.3">
      <c r="A73" s="13">
        <v>45565</v>
      </c>
      <c r="B73" s="5" t="s">
        <v>27</v>
      </c>
      <c r="C73" s="15">
        <v>1918</v>
      </c>
      <c r="D73" s="15">
        <v>212</v>
      </c>
      <c r="E73" s="15">
        <v>94360</v>
      </c>
      <c r="F73" s="14">
        <v>7.36</v>
      </c>
      <c r="G73" s="29">
        <v>36851</v>
      </c>
      <c r="H73" s="15">
        <f>Table2[[#This Row],[New_Followers]]-Table2[[#This Row],[Unfollows]]</f>
        <v>1706</v>
      </c>
      <c r="I73" s="42">
        <f>Table2[[#This Row],[Net_Growth]]/(Table2[[#This Row],[Total_Followers]]-Table2[[#This Row],[Net_Growth]])</f>
        <v>1.8412588771126989E-2</v>
      </c>
    </row>
    <row r="74" spans="1:9" ht="14.25" customHeight="1" x14ac:dyDescent="0.3">
      <c r="A74" s="13">
        <v>45572</v>
      </c>
      <c r="B74" s="5" t="s">
        <v>33</v>
      </c>
      <c r="C74" s="15">
        <v>1939</v>
      </c>
      <c r="D74" s="15">
        <v>67</v>
      </c>
      <c r="E74" s="15">
        <v>187183</v>
      </c>
      <c r="F74" s="14">
        <v>6.25</v>
      </c>
      <c r="G74" s="29">
        <v>41215</v>
      </c>
      <c r="H74" s="15">
        <f>Table2[[#This Row],[New_Followers]]-Table2[[#This Row],[Unfollows]]</f>
        <v>1872</v>
      </c>
      <c r="I74" s="42">
        <f>Table2[[#This Row],[Net_Growth]]/(Table2[[#This Row],[Total_Followers]]-Table2[[#This Row],[Net_Growth]])</f>
        <v>1.0101936744176006E-2</v>
      </c>
    </row>
    <row r="75" spans="1:9" ht="14.25" customHeight="1" x14ac:dyDescent="0.3">
      <c r="A75" s="13">
        <v>45572</v>
      </c>
      <c r="B75" s="5" t="s">
        <v>43</v>
      </c>
      <c r="C75" s="15">
        <v>1929</v>
      </c>
      <c r="D75" s="15">
        <v>267</v>
      </c>
      <c r="E75" s="15">
        <v>379363</v>
      </c>
      <c r="F75" s="14">
        <v>1.75</v>
      </c>
      <c r="G75" s="29">
        <v>43836</v>
      </c>
      <c r="H75" s="15">
        <f>Table2[[#This Row],[New_Followers]]-Table2[[#This Row],[Unfollows]]</f>
        <v>1662</v>
      </c>
      <c r="I75" s="42">
        <f>Table2[[#This Row],[Net_Growth]]/(Table2[[#This Row],[Total_Followers]]-Table2[[#This Row],[Net_Growth]])</f>
        <v>4.400306062202642E-3</v>
      </c>
    </row>
    <row r="76" spans="1:9" ht="14.25" customHeight="1" x14ac:dyDescent="0.3">
      <c r="A76" s="13">
        <v>45572</v>
      </c>
      <c r="B76" s="5" t="s">
        <v>14</v>
      </c>
      <c r="C76" s="15">
        <v>437</v>
      </c>
      <c r="D76" s="15">
        <v>330</v>
      </c>
      <c r="E76" s="15">
        <v>476486</v>
      </c>
      <c r="F76" s="14">
        <v>4.97</v>
      </c>
      <c r="G76" s="29">
        <v>4509</v>
      </c>
      <c r="H76" s="15">
        <f>Table2[[#This Row],[New_Followers]]-Table2[[#This Row],[Unfollows]]</f>
        <v>107</v>
      </c>
      <c r="I76" s="42">
        <f>Table2[[#This Row],[Net_Growth]]/(Table2[[#This Row],[Total_Followers]]-Table2[[#This Row],[Net_Growth]])</f>
        <v>2.2461107647482362E-4</v>
      </c>
    </row>
    <row r="77" spans="1:9" ht="14.25" customHeight="1" x14ac:dyDescent="0.3">
      <c r="A77" s="13">
        <v>45572</v>
      </c>
      <c r="B77" s="5" t="s">
        <v>27</v>
      </c>
      <c r="C77" s="15">
        <v>307</v>
      </c>
      <c r="D77" s="15">
        <v>189</v>
      </c>
      <c r="E77" s="15">
        <v>117767</v>
      </c>
      <c r="F77" s="14">
        <v>9.3000000000000007</v>
      </c>
      <c r="G77" s="29">
        <v>27822</v>
      </c>
      <c r="H77" s="15">
        <f>Table2[[#This Row],[New_Followers]]-Table2[[#This Row],[Unfollows]]</f>
        <v>118</v>
      </c>
      <c r="I77" s="42">
        <f>Table2[[#This Row],[Net_Growth]]/(Table2[[#This Row],[Total_Followers]]-Table2[[#This Row],[Net_Growth]])</f>
        <v>1.0029834507730621E-3</v>
      </c>
    </row>
    <row r="78" spans="1:9" ht="14.25" customHeight="1" x14ac:dyDescent="0.3">
      <c r="A78" s="13">
        <v>45579</v>
      </c>
      <c r="B78" s="5" t="s">
        <v>33</v>
      </c>
      <c r="C78" s="15">
        <v>1527</v>
      </c>
      <c r="D78" s="15">
        <v>303</v>
      </c>
      <c r="E78" s="15">
        <v>388555</v>
      </c>
      <c r="F78" s="14">
        <v>8.9</v>
      </c>
      <c r="G78" s="29">
        <v>36397</v>
      </c>
      <c r="H78" s="15">
        <f>Table2[[#This Row],[New_Followers]]-Table2[[#This Row],[Unfollows]]</f>
        <v>1224</v>
      </c>
      <c r="I78" s="42">
        <f>Table2[[#This Row],[Net_Growth]]/(Table2[[#This Row],[Total_Followers]]-Table2[[#This Row],[Net_Growth]])</f>
        <v>3.1600878834898319E-3</v>
      </c>
    </row>
    <row r="79" spans="1:9" ht="14.25" customHeight="1" x14ac:dyDescent="0.3">
      <c r="A79" s="13">
        <v>45579</v>
      </c>
      <c r="B79" s="5" t="s">
        <v>43</v>
      </c>
      <c r="C79" s="15">
        <v>643</v>
      </c>
      <c r="D79" s="15">
        <v>358</v>
      </c>
      <c r="E79" s="15">
        <v>157599</v>
      </c>
      <c r="F79" s="14">
        <v>3.88</v>
      </c>
      <c r="G79" s="29">
        <v>7285</v>
      </c>
      <c r="H79" s="15">
        <f>Table2[[#This Row],[New_Followers]]-Table2[[#This Row],[Unfollows]]</f>
        <v>285</v>
      </c>
      <c r="I79" s="42">
        <f>Table2[[#This Row],[Net_Growth]]/(Table2[[#This Row],[Total_Followers]]-Table2[[#This Row],[Net_Growth]])</f>
        <v>1.8116632976086045E-3</v>
      </c>
    </row>
    <row r="80" spans="1:9" ht="14.25" customHeight="1" x14ac:dyDescent="0.3">
      <c r="A80" s="13">
        <v>45579</v>
      </c>
      <c r="B80" s="5" t="s">
        <v>14</v>
      </c>
      <c r="C80" s="15">
        <v>201</v>
      </c>
      <c r="D80" s="15">
        <v>221</v>
      </c>
      <c r="E80" s="15">
        <v>309772</v>
      </c>
      <c r="F80" s="14">
        <v>5.9</v>
      </c>
      <c r="G80" s="29">
        <v>33174</v>
      </c>
      <c r="H80" s="15">
        <f>Table2[[#This Row],[New_Followers]]-Table2[[#This Row],[Unfollows]]</f>
        <v>-20</v>
      </c>
      <c r="I80" s="42">
        <f>Table2[[#This Row],[Net_Growth]]/(Table2[[#This Row],[Total_Followers]]-Table2[[#This Row],[Net_Growth]])</f>
        <v>-6.45594463381882E-5</v>
      </c>
    </row>
    <row r="81" spans="1:9" ht="14.25" customHeight="1" x14ac:dyDescent="0.3">
      <c r="A81" s="13">
        <v>45579</v>
      </c>
      <c r="B81" s="5" t="s">
        <v>27</v>
      </c>
      <c r="C81" s="15">
        <v>414</v>
      </c>
      <c r="D81" s="15">
        <v>47</v>
      </c>
      <c r="E81" s="15">
        <v>199178</v>
      </c>
      <c r="F81" s="14">
        <v>1.53</v>
      </c>
      <c r="G81" s="29">
        <v>6742</v>
      </c>
      <c r="H81" s="15">
        <f>Table2[[#This Row],[New_Followers]]-Table2[[#This Row],[Unfollows]]</f>
        <v>367</v>
      </c>
      <c r="I81" s="42">
        <f>Table2[[#This Row],[Net_Growth]]/(Table2[[#This Row],[Total_Followers]]-Table2[[#This Row],[Net_Growth]])</f>
        <v>1.8459743173164463E-3</v>
      </c>
    </row>
    <row r="82" spans="1:9" ht="14.25" customHeight="1" x14ac:dyDescent="0.3">
      <c r="A82" s="13">
        <v>45586</v>
      </c>
      <c r="B82" s="5" t="s">
        <v>33</v>
      </c>
      <c r="C82" s="15">
        <v>703</v>
      </c>
      <c r="D82" s="15">
        <v>441</v>
      </c>
      <c r="E82" s="15">
        <v>357089</v>
      </c>
      <c r="F82" s="14">
        <v>6.5</v>
      </c>
      <c r="G82" s="29">
        <v>32478</v>
      </c>
      <c r="H82" s="15">
        <f>Table2[[#This Row],[New_Followers]]-Table2[[#This Row],[Unfollows]]</f>
        <v>262</v>
      </c>
      <c r="I82" s="42">
        <f>Table2[[#This Row],[Net_Growth]]/(Table2[[#This Row],[Total_Followers]]-Table2[[#This Row],[Net_Growth]])</f>
        <v>7.3424937014295445E-4</v>
      </c>
    </row>
    <row r="83" spans="1:9" ht="14.25" customHeight="1" x14ac:dyDescent="0.3">
      <c r="A83" s="13">
        <v>45586</v>
      </c>
      <c r="B83" s="5" t="s">
        <v>43</v>
      </c>
      <c r="C83" s="15">
        <v>508</v>
      </c>
      <c r="D83" s="15">
        <v>69</v>
      </c>
      <c r="E83" s="15">
        <v>23492</v>
      </c>
      <c r="F83" s="14">
        <v>3.16</v>
      </c>
      <c r="G83" s="29">
        <v>42824</v>
      </c>
      <c r="H83" s="15">
        <f>Table2[[#This Row],[New_Followers]]-Table2[[#This Row],[Unfollows]]</f>
        <v>439</v>
      </c>
      <c r="I83" s="42">
        <f>Table2[[#This Row],[Net_Growth]]/(Table2[[#This Row],[Total_Followers]]-Table2[[#This Row],[Net_Growth]])</f>
        <v>1.904307465405804E-2</v>
      </c>
    </row>
    <row r="84" spans="1:9" ht="14.25" customHeight="1" x14ac:dyDescent="0.3">
      <c r="A84" s="13">
        <v>45586</v>
      </c>
      <c r="B84" s="5" t="s">
        <v>14</v>
      </c>
      <c r="C84" s="15">
        <v>697</v>
      </c>
      <c r="D84" s="15">
        <v>61</v>
      </c>
      <c r="E84" s="15">
        <v>258287</v>
      </c>
      <c r="F84" s="14">
        <v>8.25</v>
      </c>
      <c r="G84" s="29">
        <v>21208</v>
      </c>
      <c r="H84" s="15">
        <f>Table2[[#This Row],[New_Followers]]-Table2[[#This Row],[Unfollows]]</f>
        <v>636</v>
      </c>
      <c r="I84" s="42">
        <f>Table2[[#This Row],[Net_Growth]]/(Table2[[#This Row],[Total_Followers]]-Table2[[#This Row],[Net_Growth]])</f>
        <v>2.4684553912074862E-3</v>
      </c>
    </row>
    <row r="85" spans="1:9" ht="14.25" customHeight="1" x14ac:dyDescent="0.3">
      <c r="A85" s="13">
        <v>45586</v>
      </c>
      <c r="B85" s="5" t="s">
        <v>27</v>
      </c>
      <c r="C85" s="15">
        <v>1707</v>
      </c>
      <c r="D85" s="15">
        <v>223</v>
      </c>
      <c r="E85" s="15">
        <v>256910</v>
      </c>
      <c r="F85" s="14">
        <v>5.41</v>
      </c>
      <c r="G85" s="29">
        <v>44321</v>
      </c>
      <c r="H85" s="15">
        <f>Table2[[#This Row],[New_Followers]]-Table2[[#This Row],[Unfollows]]</f>
        <v>1484</v>
      </c>
      <c r="I85" s="42">
        <f>Table2[[#This Row],[Net_Growth]]/(Table2[[#This Row],[Total_Followers]]-Table2[[#This Row],[Net_Growth]])</f>
        <v>5.8099018893926222E-3</v>
      </c>
    </row>
    <row r="86" spans="1:9" ht="14.25" customHeight="1" x14ac:dyDescent="0.3">
      <c r="A86" s="13">
        <v>45593</v>
      </c>
      <c r="B86" s="5" t="s">
        <v>33</v>
      </c>
      <c r="C86" s="15">
        <v>642</v>
      </c>
      <c r="D86" s="15">
        <v>66</v>
      </c>
      <c r="E86" s="15">
        <v>346522</v>
      </c>
      <c r="F86" s="14">
        <v>5.85</v>
      </c>
      <c r="G86" s="29">
        <v>13116</v>
      </c>
      <c r="H86" s="15">
        <f>Table2[[#This Row],[New_Followers]]-Table2[[#This Row],[Unfollows]]</f>
        <v>576</v>
      </c>
      <c r="I86" s="42">
        <f>Table2[[#This Row],[Net_Growth]]/(Table2[[#This Row],[Total_Followers]]-Table2[[#This Row],[Net_Growth]])</f>
        <v>1.6649997398437907E-3</v>
      </c>
    </row>
    <row r="87" spans="1:9" ht="14.25" customHeight="1" x14ac:dyDescent="0.3">
      <c r="A87" s="13">
        <v>45593</v>
      </c>
      <c r="B87" s="5" t="s">
        <v>43</v>
      </c>
      <c r="C87" s="15">
        <v>859</v>
      </c>
      <c r="D87" s="15">
        <v>473</v>
      </c>
      <c r="E87" s="15">
        <v>209987</v>
      </c>
      <c r="F87" s="14">
        <v>4.46</v>
      </c>
      <c r="G87" s="29">
        <v>30214</v>
      </c>
      <c r="H87" s="15">
        <f>Table2[[#This Row],[New_Followers]]-Table2[[#This Row],[Unfollows]]</f>
        <v>386</v>
      </c>
      <c r="I87" s="42">
        <f>Table2[[#This Row],[Net_Growth]]/(Table2[[#This Row],[Total_Followers]]-Table2[[#This Row],[Net_Growth]])</f>
        <v>1.8415942672029236E-3</v>
      </c>
    </row>
    <row r="88" spans="1:9" ht="14.25" customHeight="1" x14ac:dyDescent="0.3">
      <c r="A88" s="13">
        <v>45593</v>
      </c>
      <c r="B88" s="5" t="s">
        <v>14</v>
      </c>
      <c r="C88" s="15">
        <v>191</v>
      </c>
      <c r="D88" s="15">
        <v>154</v>
      </c>
      <c r="E88" s="15">
        <v>240550</v>
      </c>
      <c r="F88" s="14">
        <v>5.22</v>
      </c>
      <c r="G88" s="29">
        <v>15827</v>
      </c>
      <c r="H88" s="15">
        <f>Table2[[#This Row],[New_Followers]]-Table2[[#This Row],[Unfollows]]</f>
        <v>37</v>
      </c>
      <c r="I88" s="42">
        <f>Table2[[#This Row],[Net_Growth]]/(Table2[[#This Row],[Total_Followers]]-Table2[[#This Row],[Net_Growth]])</f>
        <v>1.538378382873275E-4</v>
      </c>
    </row>
    <row r="89" spans="1:9" ht="14.25" customHeight="1" x14ac:dyDescent="0.3">
      <c r="A89" s="13">
        <v>45593</v>
      </c>
      <c r="B89" s="5" t="s">
        <v>27</v>
      </c>
      <c r="C89" s="15">
        <v>1814</v>
      </c>
      <c r="D89" s="15">
        <v>157</v>
      </c>
      <c r="E89" s="15">
        <v>305827</v>
      </c>
      <c r="F89" s="14">
        <v>1.99</v>
      </c>
      <c r="G89" s="29">
        <v>46643</v>
      </c>
      <c r="H89" s="15">
        <f>Table2[[#This Row],[New_Followers]]-Table2[[#This Row],[Unfollows]]</f>
        <v>1657</v>
      </c>
      <c r="I89" s="42">
        <f>Table2[[#This Row],[Net_Growth]]/(Table2[[#This Row],[Total_Followers]]-Table2[[#This Row],[Net_Growth]])</f>
        <v>5.4476115330242955E-3</v>
      </c>
    </row>
    <row r="90" spans="1:9" ht="14.25" customHeight="1" x14ac:dyDescent="0.3">
      <c r="A90" s="13">
        <v>45600</v>
      </c>
      <c r="B90" s="5" t="s">
        <v>33</v>
      </c>
      <c r="C90" s="15">
        <v>1466</v>
      </c>
      <c r="D90" s="15">
        <v>69</v>
      </c>
      <c r="E90" s="15">
        <v>54935</v>
      </c>
      <c r="F90" s="14">
        <v>6.85</v>
      </c>
      <c r="G90" s="29">
        <v>36484</v>
      </c>
      <c r="H90" s="15">
        <f>Table2[[#This Row],[New_Followers]]-Table2[[#This Row],[Unfollows]]</f>
        <v>1397</v>
      </c>
      <c r="I90" s="42">
        <f>Table2[[#This Row],[Net_Growth]]/(Table2[[#This Row],[Total_Followers]]-Table2[[#This Row],[Net_Growth]])</f>
        <v>2.609361574956106E-2</v>
      </c>
    </row>
    <row r="91" spans="1:9" ht="14.25" customHeight="1" x14ac:dyDescent="0.3">
      <c r="A91" s="13">
        <v>45600</v>
      </c>
      <c r="B91" s="5" t="s">
        <v>43</v>
      </c>
      <c r="C91" s="15">
        <v>947</v>
      </c>
      <c r="D91" s="15">
        <v>407</v>
      </c>
      <c r="E91" s="15">
        <v>319186</v>
      </c>
      <c r="F91" s="14">
        <v>3.32</v>
      </c>
      <c r="G91" s="29">
        <v>4996</v>
      </c>
      <c r="H91" s="15">
        <f>Table2[[#This Row],[New_Followers]]-Table2[[#This Row],[Unfollows]]</f>
        <v>540</v>
      </c>
      <c r="I91" s="42">
        <f>Table2[[#This Row],[Net_Growth]]/(Table2[[#This Row],[Total_Followers]]-Table2[[#This Row],[Net_Growth]])</f>
        <v>1.6946705748699183E-3</v>
      </c>
    </row>
    <row r="92" spans="1:9" ht="14.25" customHeight="1" x14ac:dyDescent="0.3">
      <c r="A92" s="13">
        <v>45600</v>
      </c>
      <c r="B92" s="5" t="s">
        <v>14</v>
      </c>
      <c r="C92" s="15">
        <v>1821</v>
      </c>
      <c r="D92" s="15">
        <v>218</v>
      </c>
      <c r="E92" s="15">
        <v>439080</v>
      </c>
      <c r="F92" s="14">
        <v>5.68</v>
      </c>
      <c r="G92" s="29">
        <v>36095</v>
      </c>
      <c r="H92" s="15">
        <f>Table2[[#This Row],[New_Followers]]-Table2[[#This Row],[Unfollows]]</f>
        <v>1603</v>
      </c>
      <c r="I92" s="42">
        <f>Table2[[#This Row],[Net_Growth]]/(Table2[[#This Row],[Total_Followers]]-Table2[[#This Row],[Net_Growth]])</f>
        <v>3.6641926318412166E-3</v>
      </c>
    </row>
    <row r="93" spans="1:9" ht="14.25" customHeight="1" x14ac:dyDescent="0.3">
      <c r="A93" s="13">
        <v>45600</v>
      </c>
      <c r="B93" s="5" t="s">
        <v>27</v>
      </c>
      <c r="C93" s="15">
        <v>1507</v>
      </c>
      <c r="D93" s="15">
        <v>463</v>
      </c>
      <c r="E93" s="15">
        <v>258944</v>
      </c>
      <c r="F93" s="14">
        <v>6.08</v>
      </c>
      <c r="G93" s="29">
        <v>16443</v>
      </c>
      <c r="H93" s="15">
        <f>Table2[[#This Row],[New_Followers]]-Table2[[#This Row],[Unfollows]]</f>
        <v>1044</v>
      </c>
      <c r="I93" s="42">
        <f>Table2[[#This Row],[Net_Growth]]/(Table2[[#This Row],[Total_Followers]]-Table2[[#This Row],[Net_Growth]])</f>
        <v>4.0480806514152775E-3</v>
      </c>
    </row>
    <row r="94" spans="1:9" ht="14.25" customHeight="1" x14ac:dyDescent="0.3">
      <c r="A94" s="13">
        <v>45607</v>
      </c>
      <c r="B94" s="5" t="s">
        <v>33</v>
      </c>
      <c r="C94" s="15">
        <v>1075</v>
      </c>
      <c r="D94" s="15">
        <v>173</v>
      </c>
      <c r="E94" s="15">
        <v>51395</v>
      </c>
      <c r="F94" s="14">
        <v>4.66</v>
      </c>
      <c r="G94" s="29">
        <v>47812</v>
      </c>
      <c r="H94" s="15">
        <f>Table2[[#This Row],[New_Followers]]-Table2[[#This Row],[Unfollows]]</f>
        <v>902</v>
      </c>
      <c r="I94" s="42">
        <f>Table2[[#This Row],[Net_Growth]]/(Table2[[#This Row],[Total_Followers]]-Table2[[#This Row],[Net_Growth]])</f>
        <v>1.7863862317548967E-2</v>
      </c>
    </row>
    <row r="95" spans="1:9" ht="14.25" customHeight="1" x14ac:dyDescent="0.3">
      <c r="A95" s="13">
        <v>45607</v>
      </c>
      <c r="B95" s="5" t="s">
        <v>43</v>
      </c>
      <c r="C95" s="15">
        <v>171</v>
      </c>
      <c r="D95" s="15">
        <v>277</v>
      </c>
      <c r="E95" s="15">
        <v>309483</v>
      </c>
      <c r="F95" s="14">
        <v>8.6999999999999993</v>
      </c>
      <c r="G95" s="29">
        <v>38452</v>
      </c>
      <c r="H95" s="15">
        <f>Table2[[#This Row],[New_Followers]]-Table2[[#This Row],[Unfollows]]</f>
        <v>-106</v>
      </c>
      <c r="I95" s="42">
        <f>Table2[[#This Row],[Net_Growth]]/(Table2[[#This Row],[Total_Followers]]-Table2[[#This Row],[Net_Growth]])</f>
        <v>-3.4238942598089728E-4</v>
      </c>
    </row>
    <row r="96" spans="1:9" ht="14.25" customHeight="1" x14ac:dyDescent="0.3">
      <c r="A96" s="13">
        <v>45607</v>
      </c>
      <c r="B96" s="5" t="s">
        <v>14</v>
      </c>
      <c r="C96" s="15">
        <v>1487</v>
      </c>
      <c r="D96" s="15">
        <v>337</v>
      </c>
      <c r="E96" s="15">
        <v>87305</v>
      </c>
      <c r="F96" s="14">
        <v>2.46</v>
      </c>
      <c r="G96" s="29">
        <v>30428</v>
      </c>
      <c r="H96" s="15">
        <f>Table2[[#This Row],[New_Followers]]-Table2[[#This Row],[Unfollows]]</f>
        <v>1150</v>
      </c>
      <c r="I96" s="42">
        <f>Table2[[#This Row],[Net_Growth]]/(Table2[[#This Row],[Total_Followers]]-Table2[[#This Row],[Net_Growth]])</f>
        <v>1.3348035517381463E-2</v>
      </c>
    </row>
    <row r="97" spans="1:9" ht="14.25" customHeight="1" x14ac:dyDescent="0.3">
      <c r="A97" s="13">
        <v>45607</v>
      </c>
      <c r="B97" s="5" t="s">
        <v>27</v>
      </c>
      <c r="C97" s="15">
        <v>454</v>
      </c>
      <c r="D97" s="15">
        <v>105</v>
      </c>
      <c r="E97" s="15">
        <v>121091</v>
      </c>
      <c r="F97" s="14">
        <v>7.97</v>
      </c>
      <c r="G97" s="29">
        <v>9269</v>
      </c>
      <c r="H97" s="15">
        <f>Table2[[#This Row],[New_Followers]]-Table2[[#This Row],[Unfollows]]</f>
        <v>349</v>
      </c>
      <c r="I97" s="42">
        <f>Table2[[#This Row],[Net_Growth]]/(Table2[[#This Row],[Total_Followers]]-Table2[[#This Row],[Net_Growth]])</f>
        <v>2.8904606516373756E-3</v>
      </c>
    </row>
    <row r="98" spans="1:9" ht="14.25" customHeight="1" x14ac:dyDescent="0.3">
      <c r="A98" s="13">
        <v>45614</v>
      </c>
      <c r="B98" s="5" t="s">
        <v>33</v>
      </c>
      <c r="C98" s="15">
        <v>187</v>
      </c>
      <c r="D98" s="15">
        <v>236</v>
      </c>
      <c r="E98" s="15">
        <v>51087</v>
      </c>
      <c r="F98" s="14">
        <v>9.41</v>
      </c>
      <c r="G98" s="29">
        <v>29533</v>
      </c>
      <c r="H98" s="15">
        <f>Table2[[#This Row],[New_Followers]]-Table2[[#This Row],[Unfollows]]</f>
        <v>-49</v>
      </c>
      <c r="I98" s="42">
        <f>Table2[[#This Row],[Net_Growth]]/(Table2[[#This Row],[Total_Followers]]-Table2[[#This Row],[Net_Growth]])</f>
        <v>-9.5822903629536917E-4</v>
      </c>
    </row>
    <row r="99" spans="1:9" ht="14.25" customHeight="1" x14ac:dyDescent="0.3">
      <c r="A99" s="13">
        <v>45614</v>
      </c>
      <c r="B99" s="5" t="s">
        <v>43</v>
      </c>
      <c r="C99" s="15">
        <v>513</v>
      </c>
      <c r="D99" s="15">
        <v>441</v>
      </c>
      <c r="E99" s="15">
        <v>338847</v>
      </c>
      <c r="F99" s="14">
        <v>2.68</v>
      </c>
      <c r="G99" s="29">
        <v>39997</v>
      </c>
      <c r="H99" s="15">
        <f>Table2[[#This Row],[New_Followers]]-Table2[[#This Row],[Unfollows]]</f>
        <v>72</v>
      </c>
      <c r="I99" s="42">
        <f>Table2[[#This Row],[Net_Growth]]/(Table2[[#This Row],[Total_Followers]]-Table2[[#This Row],[Net_Growth]])</f>
        <v>2.1253044055789241E-4</v>
      </c>
    </row>
    <row r="100" spans="1:9" ht="14.25" customHeight="1" x14ac:dyDescent="0.3">
      <c r="A100" s="13">
        <v>45614</v>
      </c>
      <c r="B100" s="5" t="s">
        <v>14</v>
      </c>
      <c r="C100" s="15">
        <v>628</v>
      </c>
      <c r="D100" s="15">
        <v>183</v>
      </c>
      <c r="E100" s="15">
        <v>487523</v>
      </c>
      <c r="F100" s="14">
        <v>7.32</v>
      </c>
      <c r="G100" s="29">
        <v>5391</v>
      </c>
      <c r="H100" s="15">
        <f>Table2[[#This Row],[New_Followers]]-Table2[[#This Row],[Unfollows]]</f>
        <v>445</v>
      </c>
      <c r="I100" s="42">
        <f>Table2[[#This Row],[Net_Growth]]/(Table2[[#This Row],[Total_Followers]]-Table2[[#This Row],[Net_Growth]])</f>
        <v>9.1361137230587303E-4</v>
      </c>
    </row>
    <row r="101" spans="1:9" ht="14.25" customHeight="1" x14ac:dyDescent="0.3">
      <c r="A101" s="13">
        <v>45614</v>
      </c>
      <c r="B101" s="5" t="s">
        <v>27</v>
      </c>
      <c r="C101" s="15">
        <v>278</v>
      </c>
      <c r="D101" s="15">
        <v>218</v>
      </c>
      <c r="E101" s="15">
        <v>301695</v>
      </c>
      <c r="F101" s="14">
        <v>4.68</v>
      </c>
      <c r="G101" s="29">
        <v>22373</v>
      </c>
      <c r="H101" s="15">
        <f>Table2[[#This Row],[New_Followers]]-Table2[[#This Row],[Unfollows]]</f>
        <v>60</v>
      </c>
      <c r="I101" s="42">
        <f>Table2[[#This Row],[Net_Growth]]/(Table2[[#This Row],[Total_Followers]]-Table2[[#This Row],[Net_Growth]])</f>
        <v>1.9891590829976627E-4</v>
      </c>
    </row>
    <row r="102" spans="1:9" ht="14.25" customHeight="1" x14ac:dyDescent="0.3">
      <c r="A102" s="13">
        <v>45621</v>
      </c>
      <c r="B102" s="5" t="s">
        <v>33</v>
      </c>
      <c r="C102" s="15">
        <v>1854</v>
      </c>
      <c r="D102" s="15">
        <v>161</v>
      </c>
      <c r="E102" s="15">
        <v>282466</v>
      </c>
      <c r="F102" s="14">
        <v>5.17</v>
      </c>
      <c r="G102" s="29">
        <v>1810</v>
      </c>
      <c r="H102" s="15">
        <f>Table2[[#This Row],[New_Followers]]-Table2[[#This Row],[Unfollows]]</f>
        <v>1693</v>
      </c>
      <c r="I102" s="42">
        <f>Table2[[#This Row],[Net_Growth]]/(Table2[[#This Row],[Total_Followers]]-Table2[[#This Row],[Net_Growth]])</f>
        <v>6.0297820659393885E-3</v>
      </c>
    </row>
    <row r="103" spans="1:9" ht="14.25" customHeight="1" x14ac:dyDescent="0.3">
      <c r="A103" s="13">
        <v>45621</v>
      </c>
      <c r="B103" s="5" t="s">
        <v>43</v>
      </c>
      <c r="C103" s="15">
        <v>1710</v>
      </c>
      <c r="D103" s="15">
        <v>378</v>
      </c>
      <c r="E103" s="15">
        <v>336661</v>
      </c>
      <c r="F103" s="14">
        <v>6.2</v>
      </c>
      <c r="G103" s="29">
        <v>28498</v>
      </c>
      <c r="H103" s="15">
        <f>Table2[[#This Row],[New_Followers]]-Table2[[#This Row],[Unfollows]]</f>
        <v>1332</v>
      </c>
      <c r="I103" s="42">
        <f>Table2[[#This Row],[Net_Growth]]/(Table2[[#This Row],[Total_Followers]]-Table2[[#This Row],[Net_Growth]])</f>
        <v>3.9722183288650849E-3</v>
      </c>
    </row>
    <row r="104" spans="1:9" ht="14.25" customHeight="1" x14ac:dyDescent="0.3">
      <c r="A104" s="13">
        <v>45621</v>
      </c>
      <c r="B104" s="5" t="s">
        <v>14</v>
      </c>
      <c r="C104" s="15">
        <v>330</v>
      </c>
      <c r="D104" s="15">
        <v>232</v>
      </c>
      <c r="E104" s="15">
        <v>88455</v>
      </c>
      <c r="F104" s="14">
        <v>2.69</v>
      </c>
      <c r="G104" s="29">
        <v>39530</v>
      </c>
      <c r="H104" s="15">
        <f>Table2[[#This Row],[New_Followers]]-Table2[[#This Row],[Unfollows]]</f>
        <v>98</v>
      </c>
      <c r="I104" s="42">
        <f>Table2[[#This Row],[Net_Growth]]/(Table2[[#This Row],[Total_Followers]]-Table2[[#This Row],[Net_Growth]])</f>
        <v>1.1091367973109091E-3</v>
      </c>
    </row>
    <row r="105" spans="1:9" ht="14.25" customHeight="1" x14ac:dyDescent="0.3">
      <c r="A105" s="13">
        <v>45621</v>
      </c>
      <c r="B105" s="5" t="s">
        <v>27</v>
      </c>
      <c r="C105" s="15">
        <v>1293</v>
      </c>
      <c r="D105" s="15">
        <v>408</v>
      </c>
      <c r="E105" s="15">
        <v>62535</v>
      </c>
      <c r="F105" s="14">
        <v>8.9</v>
      </c>
      <c r="G105" s="29">
        <v>37876</v>
      </c>
      <c r="H105" s="15">
        <f>Table2[[#This Row],[New_Followers]]-Table2[[#This Row],[Unfollows]]</f>
        <v>885</v>
      </c>
      <c r="I105" s="42">
        <f>Table2[[#This Row],[Net_Growth]]/(Table2[[#This Row],[Total_Followers]]-Table2[[#This Row],[Net_Growth]])</f>
        <v>1.4355231143552312E-2</v>
      </c>
    </row>
    <row r="106" spans="1:9" ht="14.25" customHeight="1" x14ac:dyDescent="0.3">
      <c r="A106" s="13">
        <v>45628</v>
      </c>
      <c r="B106" s="5" t="s">
        <v>33</v>
      </c>
      <c r="C106" s="15">
        <v>1696</v>
      </c>
      <c r="D106" s="15">
        <v>71</v>
      </c>
      <c r="E106" s="15">
        <v>421957</v>
      </c>
      <c r="F106" s="14">
        <v>3.79</v>
      </c>
      <c r="G106" s="29">
        <v>36103</v>
      </c>
      <c r="H106" s="15">
        <f>Table2[[#This Row],[New_Followers]]-Table2[[#This Row],[Unfollows]]</f>
        <v>1625</v>
      </c>
      <c r="I106" s="42">
        <f>Table2[[#This Row],[Net_Growth]]/(Table2[[#This Row],[Total_Followers]]-Table2[[#This Row],[Net_Growth]])</f>
        <v>3.8659916446999038E-3</v>
      </c>
    </row>
    <row r="107" spans="1:9" ht="14.25" customHeight="1" x14ac:dyDescent="0.3">
      <c r="A107" s="13">
        <v>45628</v>
      </c>
      <c r="B107" s="5" t="s">
        <v>43</v>
      </c>
      <c r="C107" s="15">
        <v>1902</v>
      </c>
      <c r="D107" s="15">
        <v>196</v>
      </c>
      <c r="E107" s="15">
        <v>470269</v>
      </c>
      <c r="F107" s="14">
        <v>4.79</v>
      </c>
      <c r="G107" s="29">
        <v>26103</v>
      </c>
      <c r="H107" s="15">
        <f>Table2[[#This Row],[New_Followers]]-Table2[[#This Row],[Unfollows]]</f>
        <v>1706</v>
      </c>
      <c r="I107" s="42">
        <f>Table2[[#This Row],[Net_Growth]]/(Table2[[#This Row],[Total_Followers]]-Table2[[#This Row],[Net_Growth]])</f>
        <v>3.6409191506798447E-3</v>
      </c>
    </row>
    <row r="108" spans="1:9" ht="14.25" customHeight="1" x14ac:dyDescent="0.3">
      <c r="A108" s="13">
        <v>45628</v>
      </c>
      <c r="B108" s="5" t="s">
        <v>14</v>
      </c>
      <c r="C108" s="15">
        <v>1441</v>
      </c>
      <c r="D108" s="15">
        <v>268</v>
      </c>
      <c r="E108" s="15">
        <v>309904</v>
      </c>
      <c r="F108" s="14">
        <v>6.37</v>
      </c>
      <c r="G108" s="29">
        <v>3455</v>
      </c>
      <c r="H108" s="15">
        <f>Table2[[#This Row],[New_Followers]]-Table2[[#This Row],[Unfollows]]</f>
        <v>1173</v>
      </c>
      <c r="I108" s="42">
        <f>Table2[[#This Row],[Net_Growth]]/(Table2[[#This Row],[Total_Followers]]-Table2[[#This Row],[Net_Growth]])</f>
        <v>3.7994240941142936E-3</v>
      </c>
    </row>
    <row r="109" spans="1:9" ht="14.25" customHeight="1" x14ac:dyDescent="0.3">
      <c r="A109" s="13">
        <v>45628</v>
      </c>
      <c r="B109" s="5" t="s">
        <v>27</v>
      </c>
      <c r="C109" s="15">
        <v>452</v>
      </c>
      <c r="D109" s="15">
        <v>161</v>
      </c>
      <c r="E109" s="15">
        <v>221274</v>
      </c>
      <c r="F109" s="14">
        <v>2.65</v>
      </c>
      <c r="G109" s="29">
        <v>40888</v>
      </c>
      <c r="H109" s="15">
        <f>Table2[[#This Row],[New_Followers]]-Table2[[#This Row],[Unfollows]]</f>
        <v>291</v>
      </c>
      <c r="I109" s="42">
        <f>Table2[[#This Row],[Net_Growth]]/(Table2[[#This Row],[Total_Followers]]-Table2[[#This Row],[Net_Growth]])</f>
        <v>1.3168433770923554E-3</v>
      </c>
    </row>
    <row r="110" spans="1:9" ht="14.25" customHeight="1" x14ac:dyDescent="0.3">
      <c r="A110" s="13">
        <v>45635</v>
      </c>
      <c r="B110" s="5" t="s">
        <v>33</v>
      </c>
      <c r="C110" s="15">
        <v>1494</v>
      </c>
      <c r="D110" s="15">
        <v>375</v>
      </c>
      <c r="E110" s="15">
        <v>220616</v>
      </c>
      <c r="F110" s="14">
        <v>1.81</v>
      </c>
      <c r="G110" s="29">
        <v>22724</v>
      </c>
      <c r="H110" s="15">
        <f>Table2[[#This Row],[New_Followers]]-Table2[[#This Row],[Unfollows]]</f>
        <v>1119</v>
      </c>
      <c r="I110" s="42">
        <f>Table2[[#This Row],[Net_Growth]]/(Table2[[#This Row],[Total_Followers]]-Table2[[#This Row],[Net_Growth]])</f>
        <v>5.0980195629097436E-3</v>
      </c>
    </row>
    <row r="111" spans="1:9" ht="14.25" customHeight="1" x14ac:dyDescent="0.3">
      <c r="A111" s="13">
        <v>45635</v>
      </c>
      <c r="B111" s="5" t="s">
        <v>43</v>
      </c>
      <c r="C111" s="15">
        <v>1514</v>
      </c>
      <c r="D111" s="15">
        <v>141</v>
      </c>
      <c r="E111" s="15">
        <v>35842</v>
      </c>
      <c r="F111" s="14">
        <v>7.47</v>
      </c>
      <c r="G111" s="29">
        <v>18601</v>
      </c>
      <c r="H111" s="15">
        <f>Table2[[#This Row],[New_Followers]]-Table2[[#This Row],[Unfollows]]</f>
        <v>1373</v>
      </c>
      <c r="I111" s="42">
        <f>Table2[[#This Row],[Net_Growth]]/(Table2[[#This Row],[Total_Followers]]-Table2[[#This Row],[Net_Growth]])</f>
        <v>3.9832893324436451E-2</v>
      </c>
    </row>
    <row r="112" spans="1:9" ht="14.25" customHeight="1" x14ac:dyDescent="0.3">
      <c r="A112" s="13">
        <v>45635</v>
      </c>
      <c r="B112" s="5" t="s">
        <v>14</v>
      </c>
      <c r="C112" s="15">
        <v>1937</v>
      </c>
      <c r="D112" s="15">
        <v>210</v>
      </c>
      <c r="E112" s="15">
        <v>20607</v>
      </c>
      <c r="F112" s="14">
        <v>4.2</v>
      </c>
      <c r="G112" s="29">
        <v>20861</v>
      </c>
      <c r="H112" s="15">
        <f>Table2[[#This Row],[New_Followers]]-Table2[[#This Row],[Unfollows]]</f>
        <v>1727</v>
      </c>
      <c r="I112" s="42">
        <f>Table2[[#This Row],[Net_Growth]]/(Table2[[#This Row],[Total_Followers]]-Table2[[#This Row],[Net_Growth]])</f>
        <v>9.1472457627118642E-2</v>
      </c>
    </row>
    <row r="113" spans="1:9" ht="14.25" customHeight="1" x14ac:dyDescent="0.3">
      <c r="A113" s="13">
        <v>45635</v>
      </c>
      <c r="B113" s="5" t="s">
        <v>27</v>
      </c>
      <c r="C113" s="15">
        <v>736</v>
      </c>
      <c r="D113" s="15">
        <v>163</v>
      </c>
      <c r="E113" s="15">
        <v>451894</v>
      </c>
      <c r="F113" s="14">
        <v>5.43</v>
      </c>
      <c r="G113" s="29">
        <v>46625</v>
      </c>
      <c r="H113" s="15">
        <f>Table2[[#This Row],[New_Followers]]-Table2[[#This Row],[Unfollows]]</f>
        <v>573</v>
      </c>
      <c r="I113" s="42">
        <f>Table2[[#This Row],[Net_Growth]]/(Table2[[#This Row],[Total_Followers]]-Table2[[#This Row],[Net_Growth]])</f>
        <v>1.2696063334079292E-3</v>
      </c>
    </row>
    <row r="114" spans="1:9" ht="14.25" customHeight="1" x14ac:dyDescent="0.3">
      <c r="A114" s="13">
        <v>45642</v>
      </c>
      <c r="B114" s="5" t="s">
        <v>33</v>
      </c>
      <c r="C114" s="15">
        <v>1502</v>
      </c>
      <c r="D114" s="15">
        <v>70</v>
      </c>
      <c r="E114" s="15">
        <v>465553</v>
      </c>
      <c r="F114" s="14">
        <v>3.32</v>
      </c>
      <c r="G114" s="29">
        <v>20692</v>
      </c>
      <c r="H114" s="15">
        <f>Table2[[#This Row],[New_Followers]]-Table2[[#This Row],[Unfollows]]</f>
        <v>1432</v>
      </c>
      <c r="I114" s="42">
        <f>Table2[[#This Row],[Net_Growth]]/(Table2[[#This Row],[Total_Followers]]-Table2[[#This Row],[Net_Growth]])</f>
        <v>3.0854022981076056E-3</v>
      </c>
    </row>
    <row r="115" spans="1:9" ht="14.25" customHeight="1" x14ac:dyDescent="0.3">
      <c r="A115" s="13">
        <v>45642</v>
      </c>
      <c r="B115" s="5" t="s">
        <v>43</v>
      </c>
      <c r="C115" s="15">
        <v>1623</v>
      </c>
      <c r="D115" s="15">
        <v>246</v>
      </c>
      <c r="E115" s="15">
        <v>415815</v>
      </c>
      <c r="F115" s="14">
        <v>8.11</v>
      </c>
      <c r="G115" s="29">
        <v>18656</v>
      </c>
      <c r="H115" s="15">
        <f>Table2[[#This Row],[New_Followers]]-Table2[[#This Row],[Unfollows]]</f>
        <v>1377</v>
      </c>
      <c r="I115" s="42">
        <f>Table2[[#This Row],[Net_Growth]]/(Table2[[#This Row],[Total_Followers]]-Table2[[#This Row],[Net_Growth]])</f>
        <v>3.3225717718935038E-3</v>
      </c>
    </row>
    <row r="116" spans="1:9" ht="14.25" customHeight="1" x14ac:dyDescent="0.3">
      <c r="A116" s="13">
        <v>45642</v>
      </c>
      <c r="B116" s="5" t="s">
        <v>14</v>
      </c>
      <c r="C116" s="15">
        <v>1592</v>
      </c>
      <c r="D116" s="15">
        <v>233</v>
      </c>
      <c r="E116" s="15">
        <v>327183</v>
      </c>
      <c r="F116" s="14">
        <v>6.66</v>
      </c>
      <c r="G116" s="29">
        <v>13316</v>
      </c>
      <c r="H116" s="15">
        <f>Table2[[#This Row],[New_Followers]]-Table2[[#This Row],[Unfollows]]</f>
        <v>1359</v>
      </c>
      <c r="I116" s="42">
        <f>Table2[[#This Row],[Net_Growth]]/(Table2[[#This Row],[Total_Followers]]-Table2[[#This Row],[Net_Growth]])</f>
        <v>4.1709634649381259E-3</v>
      </c>
    </row>
    <row r="117" spans="1:9" ht="14.25" customHeight="1" x14ac:dyDescent="0.3">
      <c r="A117" s="13">
        <v>45642</v>
      </c>
      <c r="B117" s="5" t="s">
        <v>27</v>
      </c>
      <c r="C117" s="15">
        <v>1004</v>
      </c>
      <c r="D117" s="15">
        <v>128</v>
      </c>
      <c r="E117" s="15">
        <v>488901</v>
      </c>
      <c r="F117" s="14">
        <v>8.09</v>
      </c>
      <c r="G117" s="29">
        <v>49558</v>
      </c>
      <c r="H117" s="15">
        <f>Table2[[#This Row],[New_Followers]]-Table2[[#This Row],[Unfollows]]</f>
        <v>876</v>
      </c>
      <c r="I117" s="42">
        <f>Table2[[#This Row],[Net_Growth]]/(Table2[[#This Row],[Total_Followers]]-Table2[[#This Row],[Net_Growth]])</f>
        <v>1.7949900107576456E-3</v>
      </c>
    </row>
    <row r="118" spans="1:9" ht="14.25" customHeight="1" x14ac:dyDescent="0.3">
      <c r="A118" s="13">
        <v>45649</v>
      </c>
      <c r="B118" s="5" t="s">
        <v>33</v>
      </c>
      <c r="C118" s="15">
        <v>1092</v>
      </c>
      <c r="D118" s="15">
        <v>408</v>
      </c>
      <c r="E118" s="15">
        <v>280795</v>
      </c>
      <c r="F118" s="14">
        <v>8.44</v>
      </c>
      <c r="G118" s="29">
        <v>4683</v>
      </c>
      <c r="H118" s="15">
        <f>Table2[[#This Row],[New_Followers]]-Table2[[#This Row],[Unfollows]]</f>
        <v>684</v>
      </c>
      <c r="I118" s="42">
        <f>Table2[[#This Row],[Net_Growth]]/(Table2[[#This Row],[Total_Followers]]-Table2[[#This Row],[Net_Growth]])</f>
        <v>2.4418891082463737E-3</v>
      </c>
    </row>
    <row r="119" spans="1:9" ht="14.25" customHeight="1" x14ac:dyDescent="0.3">
      <c r="A119" s="13">
        <v>45649</v>
      </c>
      <c r="B119" s="5" t="s">
        <v>43</v>
      </c>
      <c r="C119" s="15">
        <v>1155</v>
      </c>
      <c r="D119" s="15">
        <v>425</v>
      </c>
      <c r="E119" s="15">
        <v>93347</v>
      </c>
      <c r="F119" s="14">
        <v>2.02</v>
      </c>
      <c r="G119" s="29">
        <v>47502</v>
      </c>
      <c r="H119" s="15">
        <f>Table2[[#This Row],[New_Followers]]-Table2[[#This Row],[Unfollows]]</f>
        <v>730</v>
      </c>
      <c r="I119" s="42">
        <f>Table2[[#This Row],[Net_Growth]]/(Table2[[#This Row],[Total_Followers]]-Table2[[#This Row],[Net_Growth]])</f>
        <v>7.8819223252750582E-3</v>
      </c>
    </row>
    <row r="120" spans="1:9" ht="14.25" customHeight="1" x14ac:dyDescent="0.3">
      <c r="A120" s="13">
        <v>45649</v>
      </c>
      <c r="B120" s="5" t="s">
        <v>14</v>
      </c>
      <c r="C120" s="15">
        <v>1137</v>
      </c>
      <c r="D120" s="15">
        <v>226</v>
      </c>
      <c r="E120" s="15">
        <v>81119</v>
      </c>
      <c r="F120" s="14">
        <v>7.74</v>
      </c>
      <c r="G120" s="29">
        <v>35359</v>
      </c>
      <c r="H120" s="15">
        <f>Table2[[#This Row],[New_Followers]]-Table2[[#This Row],[Unfollows]]</f>
        <v>911</v>
      </c>
      <c r="I120" s="42">
        <f>Table2[[#This Row],[Net_Growth]]/(Table2[[#This Row],[Total_Followers]]-Table2[[#This Row],[Net_Growth]])</f>
        <v>1.1357969279872333E-2</v>
      </c>
    </row>
    <row r="121" spans="1:9" ht="14.25" customHeight="1" x14ac:dyDescent="0.3">
      <c r="A121" s="13">
        <v>45649</v>
      </c>
      <c r="B121" s="5" t="s">
        <v>27</v>
      </c>
      <c r="C121" s="15">
        <v>1900</v>
      </c>
      <c r="D121" s="15">
        <v>311</v>
      </c>
      <c r="E121" s="15">
        <v>25177</v>
      </c>
      <c r="F121" s="14">
        <v>2.89</v>
      </c>
      <c r="G121" s="29">
        <v>14154</v>
      </c>
      <c r="H121" s="15">
        <f>Table2[[#This Row],[New_Followers]]-Table2[[#This Row],[Unfollows]]</f>
        <v>1589</v>
      </c>
      <c r="I121" s="42">
        <f>Table2[[#This Row],[Net_Growth]]/(Table2[[#This Row],[Total_Followers]]-Table2[[#This Row],[Net_Growth]])</f>
        <v>6.7364761743259283E-2</v>
      </c>
    </row>
    <row r="122" spans="1:9" ht="14.25" customHeight="1" x14ac:dyDescent="0.3">
      <c r="A122" s="13">
        <v>45656</v>
      </c>
      <c r="B122" s="5" t="s">
        <v>33</v>
      </c>
      <c r="C122" s="15">
        <v>1814</v>
      </c>
      <c r="D122" s="15">
        <v>49</v>
      </c>
      <c r="E122" s="15">
        <v>140804</v>
      </c>
      <c r="F122" s="14">
        <v>1.76</v>
      </c>
      <c r="G122" s="29">
        <v>4313</v>
      </c>
      <c r="H122" s="15">
        <f>Table2[[#This Row],[New_Followers]]-Table2[[#This Row],[Unfollows]]</f>
        <v>1765</v>
      </c>
      <c r="I122" s="42">
        <f>Table2[[#This Row],[Net_Growth]]/(Table2[[#This Row],[Total_Followers]]-Table2[[#This Row],[Net_Growth]])</f>
        <v>1.2694280022152058E-2</v>
      </c>
    </row>
    <row r="123" spans="1:9" ht="14.25" customHeight="1" x14ac:dyDescent="0.3">
      <c r="A123" s="13">
        <v>45656</v>
      </c>
      <c r="B123" s="5" t="s">
        <v>43</v>
      </c>
      <c r="C123" s="15">
        <v>1980</v>
      </c>
      <c r="D123" s="15">
        <v>204</v>
      </c>
      <c r="E123" s="15">
        <v>379431</v>
      </c>
      <c r="F123" s="14">
        <v>3.09</v>
      </c>
      <c r="G123" s="29">
        <v>25140</v>
      </c>
      <c r="H123" s="15">
        <f>Table2[[#This Row],[New_Followers]]-Table2[[#This Row],[Unfollows]]</f>
        <v>1776</v>
      </c>
      <c r="I123" s="42">
        <f>Table2[[#This Row],[Net_Growth]]/(Table2[[#This Row],[Total_Followers]]-Table2[[#This Row],[Net_Growth]])</f>
        <v>4.7027048496643764E-3</v>
      </c>
    </row>
    <row r="124" spans="1:9" ht="14.25" customHeight="1" x14ac:dyDescent="0.3">
      <c r="A124" s="13">
        <v>45656</v>
      </c>
      <c r="B124" s="5" t="s">
        <v>14</v>
      </c>
      <c r="C124" s="15">
        <v>1786</v>
      </c>
      <c r="D124" s="15">
        <v>257</v>
      </c>
      <c r="E124" s="15">
        <v>274831</v>
      </c>
      <c r="F124" s="14">
        <v>4.68</v>
      </c>
      <c r="G124" s="29">
        <v>9118</v>
      </c>
      <c r="H124" s="15">
        <f>Table2[[#This Row],[New_Followers]]-Table2[[#This Row],[Unfollows]]</f>
        <v>1529</v>
      </c>
      <c r="I124" s="42">
        <f>Table2[[#This Row],[Net_Growth]]/(Table2[[#This Row],[Total_Followers]]-Table2[[#This Row],[Net_Growth]])</f>
        <v>5.5945437647730353E-3</v>
      </c>
    </row>
    <row r="125" spans="1:9" ht="14.25" customHeight="1" x14ac:dyDescent="0.3">
      <c r="A125" s="13">
        <v>45656</v>
      </c>
      <c r="B125" s="5" t="s">
        <v>27</v>
      </c>
      <c r="C125" s="15">
        <v>1495</v>
      </c>
      <c r="D125" s="15">
        <v>35</v>
      </c>
      <c r="E125" s="15">
        <v>136845</v>
      </c>
      <c r="F125" s="14">
        <v>4.4800000000000004</v>
      </c>
      <c r="G125" s="29">
        <v>39931</v>
      </c>
      <c r="H125" s="15">
        <f>Table2[[#This Row],[New_Followers]]-Table2[[#This Row],[Unfollows]]</f>
        <v>1460</v>
      </c>
      <c r="I125" s="42">
        <f>Table2[[#This Row],[Net_Growth]]/(Table2[[#This Row],[Total_Followers]]-Table2[[#This Row],[Net_Growth]])</f>
        <v>1.0784060272556044E-2</v>
      </c>
    </row>
    <row r="126" spans="1:9" ht="14.25" customHeight="1" x14ac:dyDescent="0.3">
      <c r="A126" s="13">
        <v>45663</v>
      </c>
      <c r="B126" s="5" t="s">
        <v>33</v>
      </c>
      <c r="C126" s="15">
        <v>1013</v>
      </c>
      <c r="D126" s="15">
        <v>110</v>
      </c>
      <c r="E126" s="15">
        <v>466382</v>
      </c>
      <c r="F126" s="14">
        <v>5.3</v>
      </c>
      <c r="G126" s="29">
        <v>37132</v>
      </c>
      <c r="H126" s="15">
        <f>Table2[[#This Row],[New_Followers]]-Table2[[#This Row],[Unfollows]]</f>
        <v>903</v>
      </c>
      <c r="I126" s="42">
        <f>Table2[[#This Row],[Net_Growth]]/(Table2[[#This Row],[Total_Followers]]-Table2[[#This Row],[Net_Growth]])</f>
        <v>1.9399371400213544E-3</v>
      </c>
    </row>
    <row r="127" spans="1:9" ht="14.25" customHeight="1" x14ac:dyDescent="0.3">
      <c r="A127" s="13">
        <v>45663</v>
      </c>
      <c r="B127" s="5" t="s">
        <v>43</v>
      </c>
      <c r="C127" s="15">
        <v>816</v>
      </c>
      <c r="D127" s="15">
        <v>196</v>
      </c>
      <c r="E127" s="15">
        <v>95728</v>
      </c>
      <c r="F127" s="14">
        <v>8.1999999999999993</v>
      </c>
      <c r="G127" s="29">
        <v>17951</v>
      </c>
      <c r="H127" s="15">
        <f>Table2[[#This Row],[New_Followers]]-Table2[[#This Row],[Unfollows]]</f>
        <v>620</v>
      </c>
      <c r="I127" s="42">
        <f>Table2[[#This Row],[Net_Growth]]/(Table2[[#This Row],[Total_Followers]]-Table2[[#This Row],[Net_Growth]])</f>
        <v>6.51890482398957E-3</v>
      </c>
    </row>
    <row r="128" spans="1:9" ht="14.25" customHeight="1" x14ac:dyDescent="0.3">
      <c r="A128" s="13">
        <v>45663</v>
      </c>
      <c r="B128" s="5" t="s">
        <v>14</v>
      </c>
      <c r="C128" s="15">
        <v>1633</v>
      </c>
      <c r="D128" s="15">
        <v>445</v>
      </c>
      <c r="E128" s="15">
        <v>371156</v>
      </c>
      <c r="F128" s="14">
        <v>2.2200000000000002</v>
      </c>
      <c r="G128" s="29">
        <v>2798</v>
      </c>
      <c r="H128" s="15">
        <f>Table2[[#This Row],[New_Followers]]-Table2[[#This Row],[Unfollows]]</f>
        <v>1188</v>
      </c>
      <c r="I128" s="42">
        <f>Table2[[#This Row],[Net_Growth]]/(Table2[[#This Row],[Total_Followers]]-Table2[[#This Row],[Net_Growth]])</f>
        <v>3.2110885265752712E-3</v>
      </c>
    </row>
    <row r="129" spans="1:9" ht="14.25" customHeight="1" x14ac:dyDescent="0.3">
      <c r="A129" s="13">
        <v>45663</v>
      </c>
      <c r="B129" s="5" t="s">
        <v>27</v>
      </c>
      <c r="C129" s="15">
        <v>891</v>
      </c>
      <c r="D129" s="15">
        <v>45</v>
      </c>
      <c r="E129" s="15">
        <v>95410</v>
      </c>
      <c r="F129" s="14">
        <v>8.33</v>
      </c>
      <c r="G129" s="29">
        <v>15045</v>
      </c>
      <c r="H129" s="15">
        <f>Table2[[#This Row],[New_Followers]]-Table2[[#This Row],[Unfollows]]</f>
        <v>846</v>
      </c>
      <c r="I129" s="42">
        <f>Table2[[#This Row],[Net_Growth]]/(Table2[[#This Row],[Total_Followers]]-Table2[[#This Row],[Net_Growth]])</f>
        <v>8.9463220675944331E-3</v>
      </c>
    </row>
    <row r="130" spans="1:9" ht="14.25" customHeight="1" x14ac:dyDescent="0.3">
      <c r="A130" s="13">
        <v>45670</v>
      </c>
      <c r="B130" s="5" t="s">
        <v>33</v>
      </c>
      <c r="C130" s="15">
        <v>1855</v>
      </c>
      <c r="D130" s="15">
        <v>133</v>
      </c>
      <c r="E130" s="15">
        <v>349413</v>
      </c>
      <c r="F130" s="14">
        <v>3.3</v>
      </c>
      <c r="G130" s="29">
        <v>14548</v>
      </c>
      <c r="H130" s="15">
        <f>Table2[[#This Row],[New_Followers]]-Table2[[#This Row],[Unfollows]]</f>
        <v>1722</v>
      </c>
      <c r="I130" s="42">
        <f>Table2[[#This Row],[Net_Growth]]/(Table2[[#This Row],[Total_Followers]]-Table2[[#This Row],[Net_Growth]])</f>
        <v>4.9526734945684533E-3</v>
      </c>
    </row>
    <row r="131" spans="1:9" ht="14.25" customHeight="1" x14ac:dyDescent="0.3">
      <c r="A131" s="13">
        <v>45670</v>
      </c>
      <c r="B131" s="5" t="s">
        <v>43</v>
      </c>
      <c r="C131" s="15">
        <v>651</v>
      </c>
      <c r="D131" s="15">
        <v>353</v>
      </c>
      <c r="E131" s="15">
        <v>224699</v>
      </c>
      <c r="F131" s="14">
        <v>5.61</v>
      </c>
      <c r="G131" s="29">
        <v>45708</v>
      </c>
      <c r="H131" s="15">
        <f>Table2[[#This Row],[New_Followers]]-Table2[[#This Row],[Unfollows]]</f>
        <v>298</v>
      </c>
      <c r="I131" s="42">
        <f>Table2[[#This Row],[Net_Growth]]/(Table2[[#This Row],[Total_Followers]]-Table2[[#This Row],[Net_Growth]])</f>
        <v>1.3279798218368011E-3</v>
      </c>
    </row>
    <row r="132" spans="1:9" ht="14.25" customHeight="1" x14ac:dyDescent="0.3">
      <c r="A132" s="13">
        <v>45670</v>
      </c>
      <c r="B132" s="5" t="s">
        <v>14</v>
      </c>
      <c r="C132" s="15">
        <v>118</v>
      </c>
      <c r="D132" s="15">
        <v>262</v>
      </c>
      <c r="E132" s="15">
        <v>487896</v>
      </c>
      <c r="F132" s="14">
        <v>2.56</v>
      </c>
      <c r="G132" s="29">
        <v>12350</v>
      </c>
      <c r="H132" s="15">
        <f>Table2[[#This Row],[New_Followers]]-Table2[[#This Row],[Unfollows]]</f>
        <v>-144</v>
      </c>
      <c r="I132" s="42">
        <f>Table2[[#This Row],[Net_Growth]]/(Table2[[#This Row],[Total_Followers]]-Table2[[#This Row],[Net_Growth]])</f>
        <v>-2.9505778214900419E-4</v>
      </c>
    </row>
    <row r="133" spans="1:9" ht="14.25" customHeight="1" x14ac:dyDescent="0.3">
      <c r="A133" s="13">
        <v>45670</v>
      </c>
      <c r="B133" s="5" t="s">
        <v>27</v>
      </c>
      <c r="C133" s="15">
        <v>1331</v>
      </c>
      <c r="D133" s="15">
        <v>430</v>
      </c>
      <c r="E133" s="15">
        <v>14437</v>
      </c>
      <c r="F133" s="14">
        <v>3.29</v>
      </c>
      <c r="G133" s="29">
        <v>40868</v>
      </c>
      <c r="H133" s="15">
        <f>Table2[[#This Row],[New_Followers]]-Table2[[#This Row],[Unfollows]]</f>
        <v>901</v>
      </c>
      <c r="I133" s="42">
        <f>Table2[[#This Row],[Net_Growth]]/(Table2[[#This Row],[Total_Followers]]-Table2[[#This Row],[Net_Growth]])</f>
        <v>6.6563238770685582E-2</v>
      </c>
    </row>
    <row r="134" spans="1:9" ht="14.25" customHeight="1" x14ac:dyDescent="0.3">
      <c r="A134" s="13">
        <v>45677</v>
      </c>
      <c r="B134" s="5" t="s">
        <v>33</v>
      </c>
      <c r="C134" s="15">
        <v>1748</v>
      </c>
      <c r="D134" s="15">
        <v>176</v>
      </c>
      <c r="E134" s="15">
        <v>383681</v>
      </c>
      <c r="F134" s="14">
        <v>9.24</v>
      </c>
      <c r="G134" s="29">
        <v>43122</v>
      </c>
      <c r="H134" s="15">
        <f>Table2[[#This Row],[New_Followers]]-Table2[[#This Row],[Unfollows]]</f>
        <v>1572</v>
      </c>
      <c r="I134" s="42">
        <f>Table2[[#This Row],[Net_Growth]]/(Table2[[#This Row],[Total_Followers]]-Table2[[#This Row],[Net_Growth]])</f>
        <v>4.1140093533520543E-3</v>
      </c>
    </row>
    <row r="135" spans="1:9" ht="14.25" customHeight="1" x14ac:dyDescent="0.3">
      <c r="A135" s="13">
        <v>45677</v>
      </c>
      <c r="B135" s="5" t="s">
        <v>43</v>
      </c>
      <c r="C135" s="15">
        <v>663</v>
      </c>
      <c r="D135" s="15">
        <v>236</v>
      </c>
      <c r="E135" s="15">
        <v>479490</v>
      </c>
      <c r="F135" s="14">
        <v>4.51</v>
      </c>
      <c r="G135" s="29">
        <v>23853</v>
      </c>
      <c r="H135" s="15">
        <f>Table2[[#This Row],[New_Followers]]-Table2[[#This Row],[Unfollows]]</f>
        <v>427</v>
      </c>
      <c r="I135" s="42">
        <f>Table2[[#This Row],[Net_Growth]]/(Table2[[#This Row],[Total_Followers]]-Table2[[#This Row],[Net_Growth]])</f>
        <v>8.9132327063455119E-4</v>
      </c>
    </row>
    <row r="136" spans="1:9" ht="14.25" customHeight="1" x14ac:dyDescent="0.3">
      <c r="A136" s="13">
        <v>45677</v>
      </c>
      <c r="B136" s="5" t="s">
        <v>14</v>
      </c>
      <c r="C136" s="15">
        <v>1040</v>
      </c>
      <c r="D136" s="15">
        <v>149</v>
      </c>
      <c r="E136" s="15">
        <v>124404</v>
      </c>
      <c r="F136" s="14">
        <v>5.23</v>
      </c>
      <c r="G136" s="29">
        <v>45380</v>
      </c>
      <c r="H136" s="15">
        <f>Table2[[#This Row],[New_Followers]]-Table2[[#This Row],[Unfollows]]</f>
        <v>891</v>
      </c>
      <c r="I136" s="42">
        <f>Table2[[#This Row],[Net_Growth]]/(Table2[[#This Row],[Total_Followers]]-Table2[[#This Row],[Net_Growth]])</f>
        <v>7.2138155497801851E-3</v>
      </c>
    </row>
    <row r="137" spans="1:9" ht="14.25" customHeight="1" x14ac:dyDescent="0.3">
      <c r="A137" s="13">
        <v>45677</v>
      </c>
      <c r="B137" s="5" t="s">
        <v>27</v>
      </c>
      <c r="C137" s="15">
        <v>1166</v>
      </c>
      <c r="D137" s="15">
        <v>442</v>
      </c>
      <c r="E137" s="15">
        <v>336949</v>
      </c>
      <c r="F137" s="14">
        <v>4.68</v>
      </c>
      <c r="G137" s="29">
        <v>7705</v>
      </c>
      <c r="H137" s="15">
        <f>Table2[[#This Row],[New_Followers]]-Table2[[#This Row],[Unfollows]]</f>
        <v>724</v>
      </c>
      <c r="I137" s="42">
        <f>Table2[[#This Row],[Net_Growth]]/(Table2[[#This Row],[Total_Followers]]-Table2[[#This Row],[Net_Growth]])</f>
        <v>2.1533199494386201E-3</v>
      </c>
    </row>
    <row r="138" spans="1:9" ht="14.25" customHeight="1" x14ac:dyDescent="0.3">
      <c r="A138" s="13">
        <v>45684</v>
      </c>
      <c r="B138" s="5" t="s">
        <v>33</v>
      </c>
      <c r="C138" s="15">
        <v>115</v>
      </c>
      <c r="D138" s="15">
        <v>281</v>
      </c>
      <c r="E138" s="15">
        <v>357265</v>
      </c>
      <c r="F138" s="14">
        <v>9.23</v>
      </c>
      <c r="G138" s="29">
        <v>25525</v>
      </c>
      <c r="H138" s="15">
        <f>Table2[[#This Row],[New_Followers]]-Table2[[#This Row],[Unfollows]]</f>
        <v>-166</v>
      </c>
      <c r="I138" s="42">
        <f>Table2[[#This Row],[Net_Growth]]/(Table2[[#This Row],[Total_Followers]]-Table2[[#This Row],[Net_Growth]])</f>
        <v>-4.6442530166661538E-4</v>
      </c>
    </row>
    <row r="139" spans="1:9" ht="14.25" customHeight="1" x14ac:dyDescent="0.3">
      <c r="A139" s="13">
        <v>45684</v>
      </c>
      <c r="B139" s="5" t="s">
        <v>43</v>
      </c>
      <c r="C139" s="15">
        <v>1249</v>
      </c>
      <c r="D139" s="15">
        <v>351</v>
      </c>
      <c r="E139" s="15">
        <v>321307</v>
      </c>
      <c r="F139" s="14">
        <v>6.37</v>
      </c>
      <c r="G139" s="29">
        <v>20560</v>
      </c>
      <c r="H139" s="15">
        <f>Table2[[#This Row],[New_Followers]]-Table2[[#This Row],[Unfollows]]</f>
        <v>898</v>
      </c>
      <c r="I139" s="42">
        <f>Table2[[#This Row],[Net_Growth]]/(Table2[[#This Row],[Total_Followers]]-Table2[[#This Row],[Net_Growth]])</f>
        <v>2.8026678401667868E-3</v>
      </c>
    </row>
    <row r="140" spans="1:9" ht="14.25" customHeight="1" x14ac:dyDescent="0.3">
      <c r="A140" s="13">
        <v>45684</v>
      </c>
      <c r="B140" s="5" t="s">
        <v>14</v>
      </c>
      <c r="C140" s="15">
        <v>1501</v>
      </c>
      <c r="D140" s="15">
        <v>75</v>
      </c>
      <c r="E140" s="15">
        <v>262569</v>
      </c>
      <c r="F140" s="14">
        <v>2.0099999999999998</v>
      </c>
      <c r="G140" s="29">
        <v>19119</v>
      </c>
      <c r="H140" s="15">
        <f>Table2[[#This Row],[New_Followers]]-Table2[[#This Row],[Unfollows]]</f>
        <v>1426</v>
      </c>
      <c r="I140" s="42">
        <f>Table2[[#This Row],[Net_Growth]]/(Table2[[#This Row],[Total_Followers]]-Table2[[#This Row],[Net_Growth]])</f>
        <v>5.4606097042616498E-3</v>
      </c>
    </row>
    <row r="141" spans="1:9" ht="14.25" customHeight="1" x14ac:dyDescent="0.3">
      <c r="A141" s="13">
        <v>45684</v>
      </c>
      <c r="B141" s="5" t="s">
        <v>27</v>
      </c>
      <c r="C141" s="15">
        <v>1411</v>
      </c>
      <c r="D141" s="15">
        <v>186</v>
      </c>
      <c r="E141" s="15">
        <v>461669</v>
      </c>
      <c r="F141" s="14">
        <v>3.72</v>
      </c>
      <c r="G141" s="29">
        <v>43999</v>
      </c>
      <c r="H141" s="15">
        <f>Table2[[#This Row],[New_Followers]]-Table2[[#This Row],[Unfollows]]</f>
        <v>1225</v>
      </c>
      <c r="I141" s="42">
        <f>Table2[[#This Row],[Net_Growth]]/(Table2[[#This Row],[Total_Followers]]-Table2[[#This Row],[Net_Growth]])</f>
        <v>2.660475540999557E-3</v>
      </c>
    </row>
    <row r="142" spans="1:9" ht="14.25" customHeight="1" x14ac:dyDescent="0.3">
      <c r="A142" s="13">
        <v>45691</v>
      </c>
      <c r="B142" s="5" t="s">
        <v>33</v>
      </c>
      <c r="C142" s="15">
        <v>1556</v>
      </c>
      <c r="D142" s="15">
        <v>476</v>
      </c>
      <c r="E142" s="15">
        <v>351556</v>
      </c>
      <c r="F142" s="14">
        <v>3.89</v>
      </c>
      <c r="G142" s="29">
        <v>10825</v>
      </c>
      <c r="H142" s="15">
        <f>Table2[[#This Row],[New_Followers]]-Table2[[#This Row],[Unfollows]]</f>
        <v>1080</v>
      </c>
      <c r="I142" s="42">
        <f>Table2[[#This Row],[Net_Growth]]/(Table2[[#This Row],[Total_Followers]]-Table2[[#This Row],[Net_Growth]])</f>
        <v>3.0815234138714207E-3</v>
      </c>
    </row>
    <row r="143" spans="1:9" ht="14.25" customHeight="1" x14ac:dyDescent="0.3">
      <c r="A143" s="13">
        <v>45691</v>
      </c>
      <c r="B143" s="5" t="s">
        <v>43</v>
      </c>
      <c r="C143" s="15">
        <v>1159</v>
      </c>
      <c r="D143" s="15">
        <v>411</v>
      </c>
      <c r="E143" s="15">
        <v>135987</v>
      </c>
      <c r="F143" s="14">
        <v>8.6999999999999993</v>
      </c>
      <c r="G143" s="29">
        <v>40323</v>
      </c>
      <c r="H143" s="15">
        <f>Table2[[#This Row],[New_Followers]]-Table2[[#This Row],[Unfollows]]</f>
        <v>748</v>
      </c>
      <c r="I143" s="42">
        <f>Table2[[#This Row],[Net_Growth]]/(Table2[[#This Row],[Total_Followers]]-Table2[[#This Row],[Net_Growth]])</f>
        <v>5.5309489126657251E-3</v>
      </c>
    </row>
    <row r="144" spans="1:9" ht="14.25" customHeight="1" x14ac:dyDescent="0.3">
      <c r="A144" s="13">
        <v>45691</v>
      </c>
      <c r="B144" s="5" t="s">
        <v>14</v>
      </c>
      <c r="C144" s="15">
        <v>927</v>
      </c>
      <c r="D144" s="15">
        <v>358</v>
      </c>
      <c r="E144" s="15">
        <v>177554</v>
      </c>
      <c r="F144" s="14">
        <v>6.95</v>
      </c>
      <c r="G144" s="29">
        <v>48270</v>
      </c>
      <c r="H144" s="15">
        <f>Table2[[#This Row],[New_Followers]]-Table2[[#This Row],[Unfollows]]</f>
        <v>569</v>
      </c>
      <c r="I144" s="42">
        <f>Table2[[#This Row],[Net_Growth]]/(Table2[[#This Row],[Total_Followers]]-Table2[[#This Row],[Net_Growth]])</f>
        <v>3.2149617199197672E-3</v>
      </c>
    </row>
    <row r="145" spans="1:9" ht="14.25" customHeight="1" x14ac:dyDescent="0.3">
      <c r="A145" s="13">
        <v>45691</v>
      </c>
      <c r="B145" s="5" t="s">
        <v>27</v>
      </c>
      <c r="C145" s="15">
        <v>152</v>
      </c>
      <c r="D145" s="15">
        <v>355</v>
      </c>
      <c r="E145" s="15">
        <v>270766</v>
      </c>
      <c r="F145" s="14">
        <v>9.48</v>
      </c>
      <c r="G145" s="29">
        <v>18001</v>
      </c>
      <c r="H145" s="15">
        <f>Table2[[#This Row],[New_Followers]]-Table2[[#This Row],[Unfollows]]</f>
        <v>-203</v>
      </c>
      <c r="I145" s="42">
        <f>Table2[[#This Row],[Net_Growth]]/(Table2[[#This Row],[Total_Followers]]-Table2[[#This Row],[Net_Growth]])</f>
        <v>-7.4916318840900623E-4</v>
      </c>
    </row>
    <row r="146" spans="1:9" ht="14.25" customHeight="1" x14ac:dyDescent="0.3">
      <c r="A146" s="13">
        <v>45698</v>
      </c>
      <c r="B146" s="5" t="s">
        <v>33</v>
      </c>
      <c r="C146" s="15">
        <v>1957</v>
      </c>
      <c r="D146" s="15">
        <v>234</v>
      </c>
      <c r="E146" s="15">
        <v>222126</v>
      </c>
      <c r="F146" s="14">
        <v>4.6100000000000003</v>
      </c>
      <c r="G146" s="29">
        <v>3314</v>
      </c>
      <c r="H146" s="15">
        <f>Table2[[#This Row],[New_Followers]]-Table2[[#This Row],[Unfollows]]</f>
        <v>1723</v>
      </c>
      <c r="I146" s="42">
        <f>Table2[[#This Row],[Net_Growth]]/(Table2[[#This Row],[Total_Followers]]-Table2[[#This Row],[Net_Growth]])</f>
        <v>7.8174979469426455E-3</v>
      </c>
    </row>
    <row r="147" spans="1:9" ht="14.25" customHeight="1" x14ac:dyDescent="0.3">
      <c r="A147" s="13">
        <v>45698</v>
      </c>
      <c r="B147" s="5" t="s">
        <v>43</v>
      </c>
      <c r="C147" s="15">
        <v>1294</v>
      </c>
      <c r="D147" s="15">
        <v>382</v>
      </c>
      <c r="E147" s="15">
        <v>309914</v>
      </c>
      <c r="F147" s="14">
        <v>8.0299999999999994</v>
      </c>
      <c r="G147" s="29">
        <v>23489</v>
      </c>
      <c r="H147" s="15">
        <f>Table2[[#This Row],[New_Followers]]-Table2[[#This Row],[Unfollows]]</f>
        <v>912</v>
      </c>
      <c r="I147" s="42">
        <f>Table2[[#This Row],[Net_Growth]]/(Table2[[#This Row],[Total_Followers]]-Table2[[#This Row],[Net_Growth]])</f>
        <v>2.951437207526165E-3</v>
      </c>
    </row>
    <row r="148" spans="1:9" ht="14.25" customHeight="1" x14ac:dyDescent="0.3">
      <c r="A148" s="13">
        <v>45698</v>
      </c>
      <c r="B148" s="5" t="s">
        <v>14</v>
      </c>
      <c r="C148" s="15">
        <v>1587</v>
      </c>
      <c r="D148" s="15">
        <v>385</v>
      </c>
      <c r="E148" s="15">
        <v>126582</v>
      </c>
      <c r="F148" s="14">
        <v>6.99</v>
      </c>
      <c r="G148" s="29">
        <v>42832</v>
      </c>
      <c r="H148" s="15">
        <f>Table2[[#This Row],[New_Followers]]-Table2[[#This Row],[Unfollows]]</f>
        <v>1202</v>
      </c>
      <c r="I148" s="42">
        <f>Table2[[#This Row],[Net_Growth]]/(Table2[[#This Row],[Total_Followers]]-Table2[[#This Row],[Net_Growth]])</f>
        <v>9.5868559578880207E-3</v>
      </c>
    </row>
    <row r="149" spans="1:9" ht="14.25" customHeight="1" x14ac:dyDescent="0.3">
      <c r="A149" s="13">
        <v>45698</v>
      </c>
      <c r="B149" s="5" t="s">
        <v>27</v>
      </c>
      <c r="C149" s="15">
        <v>1707</v>
      </c>
      <c r="D149" s="15">
        <v>263</v>
      </c>
      <c r="E149" s="15">
        <v>485280</v>
      </c>
      <c r="F149" s="14">
        <v>9.0299999999999994</v>
      </c>
      <c r="G149" s="29">
        <v>24494</v>
      </c>
      <c r="H149" s="15">
        <f>Table2[[#This Row],[New_Followers]]-Table2[[#This Row],[Unfollows]]</f>
        <v>1444</v>
      </c>
      <c r="I149" s="42">
        <f>Table2[[#This Row],[Net_Growth]]/(Table2[[#This Row],[Total_Followers]]-Table2[[#This Row],[Net_Growth]])</f>
        <v>2.9844823452574837E-3</v>
      </c>
    </row>
    <row r="150" spans="1:9" ht="14.25" customHeight="1" x14ac:dyDescent="0.3">
      <c r="A150" s="13">
        <v>45705</v>
      </c>
      <c r="B150" s="5" t="s">
        <v>33</v>
      </c>
      <c r="C150" s="15">
        <v>1138</v>
      </c>
      <c r="D150" s="15">
        <v>173</v>
      </c>
      <c r="E150" s="15">
        <v>453243</v>
      </c>
      <c r="F150" s="14">
        <v>2.86</v>
      </c>
      <c r="G150" s="29">
        <v>44097</v>
      </c>
      <c r="H150" s="15">
        <f>Table2[[#This Row],[New_Followers]]-Table2[[#This Row],[Unfollows]]</f>
        <v>965</v>
      </c>
      <c r="I150" s="42">
        <f>Table2[[#This Row],[Net_Growth]]/(Table2[[#This Row],[Total_Followers]]-Table2[[#This Row],[Net_Growth]])</f>
        <v>2.1336434670711376E-3</v>
      </c>
    </row>
    <row r="151" spans="1:9" ht="14.25" customHeight="1" x14ac:dyDescent="0.3">
      <c r="A151" s="13">
        <v>45705</v>
      </c>
      <c r="B151" s="5" t="s">
        <v>43</v>
      </c>
      <c r="C151" s="15">
        <v>1895</v>
      </c>
      <c r="D151" s="15">
        <v>305</v>
      </c>
      <c r="E151" s="15">
        <v>104967</v>
      </c>
      <c r="F151" s="14">
        <v>3.85</v>
      </c>
      <c r="G151" s="29">
        <v>31853</v>
      </c>
      <c r="H151" s="15">
        <f>Table2[[#This Row],[New_Followers]]-Table2[[#This Row],[Unfollows]]</f>
        <v>1590</v>
      </c>
      <c r="I151" s="42">
        <f>Table2[[#This Row],[Net_Growth]]/(Table2[[#This Row],[Total_Followers]]-Table2[[#This Row],[Net_Growth]])</f>
        <v>1.5380597231492498E-2</v>
      </c>
    </row>
    <row r="152" spans="1:9" ht="14.25" customHeight="1" x14ac:dyDescent="0.3">
      <c r="A152" s="13">
        <v>45705</v>
      </c>
      <c r="B152" s="5" t="s">
        <v>14</v>
      </c>
      <c r="C152" s="15">
        <v>362</v>
      </c>
      <c r="D152" s="15">
        <v>399</v>
      </c>
      <c r="E152" s="15">
        <v>145608</v>
      </c>
      <c r="F152" s="14">
        <v>7.3</v>
      </c>
      <c r="G152" s="29">
        <v>37636</v>
      </c>
      <c r="H152" s="15">
        <f>Table2[[#This Row],[New_Followers]]-Table2[[#This Row],[Unfollows]]</f>
        <v>-37</v>
      </c>
      <c r="I152" s="42">
        <f>Table2[[#This Row],[Net_Growth]]/(Table2[[#This Row],[Total_Followers]]-Table2[[#This Row],[Net_Growth]])</f>
        <v>-2.5404236328057951E-4</v>
      </c>
    </row>
    <row r="153" spans="1:9" ht="14.25" customHeight="1" x14ac:dyDescent="0.3">
      <c r="A153" s="13">
        <v>45705</v>
      </c>
      <c r="B153" s="5" t="s">
        <v>27</v>
      </c>
      <c r="C153" s="15">
        <v>1662</v>
      </c>
      <c r="D153" s="15">
        <v>487</v>
      </c>
      <c r="E153" s="15">
        <v>105980</v>
      </c>
      <c r="F153" s="14">
        <v>9.08</v>
      </c>
      <c r="G153" s="29">
        <v>22996</v>
      </c>
      <c r="H153" s="15">
        <f>Table2[[#This Row],[New_Followers]]-Table2[[#This Row],[Unfollows]]</f>
        <v>1175</v>
      </c>
      <c r="I153" s="42">
        <f>Table2[[#This Row],[Net_Growth]]/(Table2[[#This Row],[Total_Followers]]-Table2[[#This Row],[Net_Growth]])</f>
        <v>1.1211297170936501E-2</v>
      </c>
    </row>
    <row r="154" spans="1:9" ht="14.25" customHeight="1" x14ac:dyDescent="0.3">
      <c r="A154" s="13">
        <v>45712</v>
      </c>
      <c r="B154" s="5" t="s">
        <v>33</v>
      </c>
      <c r="C154" s="15">
        <v>1440</v>
      </c>
      <c r="D154" s="15">
        <v>65</v>
      </c>
      <c r="E154" s="15">
        <v>126524</v>
      </c>
      <c r="F154" s="14">
        <v>4.34</v>
      </c>
      <c r="G154" s="29">
        <v>49772</v>
      </c>
      <c r="H154" s="15">
        <f>Table2[[#This Row],[New_Followers]]-Table2[[#This Row],[Unfollows]]</f>
        <v>1375</v>
      </c>
      <c r="I154" s="42">
        <f>Table2[[#This Row],[Net_Growth]]/(Table2[[#This Row],[Total_Followers]]-Table2[[#This Row],[Net_Growth]])</f>
        <v>1.0986903610895812E-2</v>
      </c>
    </row>
    <row r="155" spans="1:9" ht="14.25" customHeight="1" x14ac:dyDescent="0.3">
      <c r="A155" s="13">
        <v>45712</v>
      </c>
      <c r="B155" s="5" t="s">
        <v>43</v>
      </c>
      <c r="C155" s="15">
        <v>1884</v>
      </c>
      <c r="D155" s="15">
        <v>177</v>
      </c>
      <c r="E155" s="15">
        <v>230448</v>
      </c>
      <c r="F155" s="14">
        <v>7.8</v>
      </c>
      <c r="G155" s="29">
        <v>22713</v>
      </c>
      <c r="H155" s="15">
        <f>Table2[[#This Row],[New_Followers]]-Table2[[#This Row],[Unfollows]]</f>
        <v>1707</v>
      </c>
      <c r="I155" s="42">
        <f>Table2[[#This Row],[Net_Growth]]/(Table2[[#This Row],[Total_Followers]]-Table2[[#This Row],[Net_Growth]])</f>
        <v>7.4625886920141118E-3</v>
      </c>
    </row>
    <row r="156" spans="1:9" ht="14.25" customHeight="1" x14ac:dyDescent="0.3">
      <c r="A156" s="13">
        <v>45712</v>
      </c>
      <c r="B156" s="5" t="s">
        <v>14</v>
      </c>
      <c r="C156" s="15">
        <v>861</v>
      </c>
      <c r="D156" s="15">
        <v>153</v>
      </c>
      <c r="E156" s="15">
        <v>317007</v>
      </c>
      <c r="F156" s="14">
        <v>3.85</v>
      </c>
      <c r="G156" s="29">
        <v>8718</v>
      </c>
      <c r="H156" s="15">
        <f>Table2[[#This Row],[New_Followers]]-Table2[[#This Row],[Unfollows]]</f>
        <v>708</v>
      </c>
      <c r="I156" s="42">
        <f>Table2[[#This Row],[Net_Growth]]/(Table2[[#This Row],[Total_Followers]]-Table2[[#This Row],[Net_Growth]])</f>
        <v>2.2383883603805262E-3</v>
      </c>
    </row>
    <row r="157" spans="1:9" ht="14.25" customHeight="1" x14ac:dyDescent="0.3">
      <c r="A157" s="13">
        <v>45712</v>
      </c>
      <c r="B157" s="5" t="s">
        <v>27</v>
      </c>
      <c r="C157" s="15">
        <v>1063</v>
      </c>
      <c r="D157" s="15">
        <v>47</v>
      </c>
      <c r="E157" s="15">
        <v>464239</v>
      </c>
      <c r="F157" s="14">
        <v>6.58</v>
      </c>
      <c r="G157" s="29">
        <v>39031</v>
      </c>
      <c r="H157" s="15">
        <f>Table2[[#This Row],[New_Followers]]-Table2[[#This Row],[Unfollows]]</f>
        <v>1016</v>
      </c>
      <c r="I157" s="42">
        <f>Table2[[#This Row],[Net_Growth]]/(Table2[[#This Row],[Total_Followers]]-Table2[[#This Row],[Net_Growth]])</f>
        <v>2.1933280515000334E-3</v>
      </c>
    </row>
    <row r="158" spans="1:9" ht="14.25" customHeight="1" x14ac:dyDescent="0.3">
      <c r="A158" s="13">
        <v>45719</v>
      </c>
      <c r="B158" s="5" t="s">
        <v>33</v>
      </c>
      <c r="C158" s="15">
        <v>1371</v>
      </c>
      <c r="D158" s="15">
        <v>56</v>
      </c>
      <c r="E158" s="15">
        <v>257579</v>
      </c>
      <c r="F158" s="14">
        <v>8.6199999999999992</v>
      </c>
      <c r="G158" s="29">
        <v>33799</v>
      </c>
      <c r="H158" s="15">
        <f>Table2[[#This Row],[New_Followers]]-Table2[[#This Row],[Unfollows]]</f>
        <v>1315</v>
      </c>
      <c r="I158" s="42">
        <f>Table2[[#This Row],[Net_Growth]]/(Table2[[#This Row],[Total_Followers]]-Table2[[#This Row],[Net_Growth]])</f>
        <v>5.1314269659413726E-3</v>
      </c>
    </row>
    <row r="159" spans="1:9" ht="14.25" customHeight="1" x14ac:dyDescent="0.3">
      <c r="A159" s="13">
        <v>45719</v>
      </c>
      <c r="B159" s="5" t="s">
        <v>43</v>
      </c>
      <c r="C159" s="15">
        <v>345</v>
      </c>
      <c r="D159" s="15">
        <v>464</v>
      </c>
      <c r="E159" s="15">
        <v>366881</v>
      </c>
      <c r="F159" s="14">
        <v>4.55</v>
      </c>
      <c r="G159" s="29">
        <v>20553</v>
      </c>
      <c r="H159" s="15">
        <f>Table2[[#This Row],[New_Followers]]-Table2[[#This Row],[Unfollows]]</f>
        <v>-119</v>
      </c>
      <c r="I159" s="42">
        <f>Table2[[#This Row],[Net_Growth]]/(Table2[[#This Row],[Total_Followers]]-Table2[[#This Row],[Net_Growth]])</f>
        <v>-3.242506811989101E-4</v>
      </c>
    </row>
    <row r="160" spans="1:9" ht="14.25" customHeight="1" x14ac:dyDescent="0.3">
      <c r="A160" s="13">
        <v>45719</v>
      </c>
      <c r="B160" s="5" t="s">
        <v>14</v>
      </c>
      <c r="C160" s="15">
        <v>946</v>
      </c>
      <c r="D160" s="15">
        <v>47</v>
      </c>
      <c r="E160" s="15">
        <v>466575</v>
      </c>
      <c r="F160" s="14">
        <v>8.33</v>
      </c>
      <c r="G160" s="29">
        <v>10002</v>
      </c>
      <c r="H160" s="15">
        <f>Table2[[#This Row],[New_Followers]]-Table2[[#This Row],[Unfollows]]</f>
        <v>899</v>
      </c>
      <c r="I160" s="42">
        <f>Table2[[#This Row],[Net_Growth]]/(Table2[[#This Row],[Total_Followers]]-Table2[[#This Row],[Net_Growth]])</f>
        <v>1.9305268040440133E-3</v>
      </c>
    </row>
    <row r="161" spans="1:9" ht="14.25" customHeight="1" x14ac:dyDescent="0.3">
      <c r="A161" s="13">
        <v>45719</v>
      </c>
      <c r="B161" s="5" t="s">
        <v>27</v>
      </c>
      <c r="C161" s="15">
        <v>510</v>
      </c>
      <c r="D161" s="15">
        <v>195</v>
      </c>
      <c r="E161" s="15">
        <v>224534</v>
      </c>
      <c r="F161" s="14">
        <v>9.4</v>
      </c>
      <c r="G161" s="29">
        <v>30987</v>
      </c>
      <c r="H161" s="15">
        <f>Table2[[#This Row],[New_Followers]]-Table2[[#This Row],[Unfollows]]</f>
        <v>315</v>
      </c>
      <c r="I161" s="42">
        <f>Table2[[#This Row],[Net_Growth]]/(Table2[[#This Row],[Total_Followers]]-Table2[[#This Row],[Net_Growth]])</f>
        <v>1.4048764823676851E-3</v>
      </c>
    </row>
    <row r="162" spans="1:9" ht="14.25" customHeight="1" x14ac:dyDescent="0.3">
      <c r="A162" s="13">
        <v>45726</v>
      </c>
      <c r="B162" s="5" t="s">
        <v>33</v>
      </c>
      <c r="C162" s="15">
        <v>393</v>
      </c>
      <c r="D162" s="15">
        <v>181</v>
      </c>
      <c r="E162" s="15">
        <v>462142</v>
      </c>
      <c r="F162" s="14">
        <v>7.23</v>
      </c>
      <c r="G162" s="29">
        <v>6296</v>
      </c>
      <c r="H162" s="15">
        <f>Table2[[#This Row],[New_Followers]]-Table2[[#This Row],[Unfollows]]</f>
        <v>212</v>
      </c>
      <c r="I162" s="42">
        <f>Table2[[#This Row],[Net_Growth]]/(Table2[[#This Row],[Total_Followers]]-Table2[[#This Row],[Net_Growth]])</f>
        <v>4.5894399584352609E-4</v>
      </c>
    </row>
    <row r="163" spans="1:9" ht="14.25" customHeight="1" x14ac:dyDescent="0.3">
      <c r="A163" s="13">
        <v>45726</v>
      </c>
      <c r="B163" s="5" t="s">
        <v>43</v>
      </c>
      <c r="C163" s="15">
        <v>1098</v>
      </c>
      <c r="D163" s="15">
        <v>190</v>
      </c>
      <c r="E163" s="15">
        <v>340842</v>
      </c>
      <c r="F163" s="14">
        <v>9.39</v>
      </c>
      <c r="G163" s="29">
        <v>21539</v>
      </c>
      <c r="H163" s="15">
        <f>Table2[[#This Row],[New_Followers]]-Table2[[#This Row],[Unfollows]]</f>
        <v>908</v>
      </c>
      <c r="I163" s="42">
        <f>Table2[[#This Row],[Net_Growth]]/(Table2[[#This Row],[Total_Followers]]-Table2[[#This Row],[Net_Growth]])</f>
        <v>2.6711067442503544E-3</v>
      </c>
    </row>
    <row r="164" spans="1:9" ht="14.25" customHeight="1" x14ac:dyDescent="0.3">
      <c r="A164" s="13">
        <v>45726</v>
      </c>
      <c r="B164" s="5" t="s">
        <v>14</v>
      </c>
      <c r="C164" s="15">
        <v>1399</v>
      </c>
      <c r="D164" s="15">
        <v>49</v>
      </c>
      <c r="E164" s="15">
        <v>12471</v>
      </c>
      <c r="F164" s="14">
        <v>5.12</v>
      </c>
      <c r="G164" s="29">
        <v>14722</v>
      </c>
      <c r="H164" s="15">
        <f>Table2[[#This Row],[New_Followers]]-Table2[[#This Row],[Unfollows]]</f>
        <v>1350</v>
      </c>
      <c r="I164" s="42">
        <f>Table2[[#This Row],[Net_Growth]]/(Table2[[#This Row],[Total_Followers]]-Table2[[#This Row],[Net_Growth]])</f>
        <v>0.12139196115457243</v>
      </c>
    </row>
    <row r="165" spans="1:9" ht="14.25" customHeight="1" x14ac:dyDescent="0.3">
      <c r="A165" s="13">
        <v>45726</v>
      </c>
      <c r="B165" s="5" t="s">
        <v>27</v>
      </c>
      <c r="C165" s="15">
        <v>1658</v>
      </c>
      <c r="D165" s="15">
        <v>416</v>
      </c>
      <c r="E165" s="15">
        <v>98397</v>
      </c>
      <c r="F165" s="14">
        <v>6.11</v>
      </c>
      <c r="G165" s="29">
        <v>11383</v>
      </c>
      <c r="H165" s="15">
        <f>Table2[[#This Row],[New_Followers]]-Table2[[#This Row],[Unfollows]]</f>
        <v>1242</v>
      </c>
      <c r="I165" s="42">
        <f>Table2[[#This Row],[Net_Growth]]/(Table2[[#This Row],[Total_Followers]]-Table2[[#This Row],[Net_Growth]])</f>
        <v>1.2783696155627605E-2</v>
      </c>
    </row>
    <row r="166" spans="1:9" ht="14.25" customHeight="1" x14ac:dyDescent="0.3">
      <c r="A166" s="13">
        <v>45733</v>
      </c>
      <c r="B166" s="5" t="s">
        <v>33</v>
      </c>
      <c r="C166" s="15">
        <v>1102</v>
      </c>
      <c r="D166" s="15">
        <v>422</v>
      </c>
      <c r="E166" s="15">
        <v>410330</v>
      </c>
      <c r="F166" s="14">
        <v>7.74</v>
      </c>
      <c r="G166" s="29">
        <v>9480</v>
      </c>
      <c r="H166" s="15">
        <f>Table2[[#This Row],[New_Followers]]-Table2[[#This Row],[Unfollows]]</f>
        <v>680</v>
      </c>
      <c r="I166" s="42">
        <f>Table2[[#This Row],[Net_Growth]]/(Table2[[#This Row],[Total_Followers]]-Table2[[#This Row],[Net_Growth]])</f>
        <v>1.6599536189430002E-3</v>
      </c>
    </row>
    <row r="167" spans="1:9" ht="14.25" customHeight="1" x14ac:dyDescent="0.3">
      <c r="A167" s="13">
        <v>45733</v>
      </c>
      <c r="B167" s="5" t="s">
        <v>43</v>
      </c>
      <c r="C167" s="15">
        <v>1358</v>
      </c>
      <c r="D167" s="15">
        <v>242</v>
      </c>
      <c r="E167" s="15">
        <v>342129</v>
      </c>
      <c r="F167" s="14">
        <v>4.9400000000000004</v>
      </c>
      <c r="G167" s="29">
        <v>29116</v>
      </c>
      <c r="H167" s="15">
        <f>Table2[[#This Row],[New_Followers]]-Table2[[#This Row],[Unfollows]]</f>
        <v>1116</v>
      </c>
      <c r="I167" s="42">
        <f>Table2[[#This Row],[Net_Growth]]/(Table2[[#This Row],[Total_Followers]]-Table2[[#This Row],[Net_Growth]])</f>
        <v>3.2726025107547218E-3</v>
      </c>
    </row>
    <row r="168" spans="1:9" ht="14.25" customHeight="1" x14ac:dyDescent="0.3">
      <c r="A168" s="13">
        <v>45733</v>
      </c>
      <c r="B168" s="5" t="s">
        <v>14</v>
      </c>
      <c r="C168" s="15">
        <v>1077</v>
      </c>
      <c r="D168" s="15">
        <v>216</v>
      </c>
      <c r="E168" s="15">
        <v>12447</v>
      </c>
      <c r="F168" s="14">
        <v>1.8</v>
      </c>
      <c r="G168" s="29">
        <v>14068</v>
      </c>
      <c r="H168" s="15">
        <f>Table2[[#This Row],[New_Followers]]-Table2[[#This Row],[Unfollows]]</f>
        <v>861</v>
      </c>
      <c r="I168" s="42">
        <f>Table2[[#This Row],[Net_Growth]]/(Table2[[#This Row],[Total_Followers]]-Table2[[#This Row],[Net_Growth]])</f>
        <v>7.4313827032625582E-2</v>
      </c>
    </row>
    <row r="169" spans="1:9" ht="14.25" customHeight="1" x14ac:dyDescent="0.3">
      <c r="A169" s="13">
        <v>45733</v>
      </c>
      <c r="B169" s="5" t="s">
        <v>27</v>
      </c>
      <c r="C169" s="15">
        <v>1596</v>
      </c>
      <c r="D169" s="15">
        <v>211</v>
      </c>
      <c r="E169" s="15">
        <v>17380</v>
      </c>
      <c r="F169" s="14">
        <v>8.64</v>
      </c>
      <c r="G169" s="29">
        <v>35801</v>
      </c>
      <c r="H169" s="15">
        <f>Table2[[#This Row],[New_Followers]]-Table2[[#This Row],[Unfollows]]</f>
        <v>1385</v>
      </c>
      <c r="I169" s="42">
        <f>Table2[[#This Row],[Net_Growth]]/(Table2[[#This Row],[Total_Followers]]-Table2[[#This Row],[Net_Growth]])</f>
        <v>8.6589559237261637E-2</v>
      </c>
    </row>
    <row r="170" spans="1:9" ht="14.25" customHeight="1" x14ac:dyDescent="0.3">
      <c r="A170" s="13">
        <v>45740</v>
      </c>
      <c r="B170" s="5" t="s">
        <v>33</v>
      </c>
      <c r="C170" s="15">
        <v>490</v>
      </c>
      <c r="D170" s="15">
        <v>29</v>
      </c>
      <c r="E170" s="15">
        <v>364810</v>
      </c>
      <c r="F170" s="14">
        <v>1.53</v>
      </c>
      <c r="G170" s="29">
        <v>49077</v>
      </c>
      <c r="H170" s="15">
        <f>Table2[[#This Row],[New_Followers]]-Table2[[#This Row],[Unfollows]]</f>
        <v>461</v>
      </c>
      <c r="I170" s="42">
        <f>Table2[[#This Row],[Net_Growth]]/(Table2[[#This Row],[Total_Followers]]-Table2[[#This Row],[Net_Growth]])</f>
        <v>1.2652703863603304E-3</v>
      </c>
    </row>
    <row r="171" spans="1:9" ht="14.25" customHeight="1" x14ac:dyDescent="0.3">
      <c r="A171" s="13">
        <v>45740</v>
      </c>
      <c r="B171" s="5" t="s">
        <v>43</v>
      </c>
      <c r="C171" s="15">
        <v>609</v>
      </c>
      <c r="D171" s="15">
        <v>135</v>
      </c>
      <c r="E171" s="15">
        <v>373606</v>
      </c>
      <c r="F171" s="14">
        <v>8.52</v>
      </c>
      <c r="G171" s="29">
        <v>21453</v>
      </c>
      <c r="H171" s="15">
        <f>Table2[[#This Row],[New_Followers]]-Table2[[#This Row],[Unfollows]]</f>
        <v>474</v>
      </c>
      <c r="I171" s="42">
        <f>Table2[[#This Row],[Net_Growth]]/(Table2[[#This Row],[Total_Followers]]-Table2[[#This Row],[Net_Growth]])</f>
        <v>1.2703279268462635E-3</v>
      </c>
    </row>
    <row r="172" spans="1:9" ht="14.25" customHeight="1" x14ac:dyDescent="0.3">
      <c r="A172" s="13">
        <v>45740</v>
      </c>
      <c r="B172" s="5" t="s">
        <v>14</v>
      </c>
      <c r="C172" s="15">
        <v>364</v>
      </c>
      <c r="D172" s="15">
        <v>72</v>
      </c>
      <c r="E172" s="15">
        <v>211090</v>
      </c>
      <c r="F172" s="14">
        <v>5.53</v>
      </c>
      <c r="G172" s="29">
        <v>21061</v>
      </c>
      <c r="H172" s="15">
        <f>Table2[[#This Row],[New_Followers]]-Table2[[#This Row],[Unfollows]]</f>
        <v>292</v>
      </c>
      <c r="I172" s="42">
        <f>Table2[[#This Row],[Net_Growth]]/(Table2[[#This Row],[Total_Followers]]-Table2[[#This Row],[Net_Growth]])</f>
        <v>1.3852123834191975E-3</v>
      </c>
    </row>
    <row r="173" spans="1:9" ht="14.25" customHeight="1" x14ac:dyDescent="0.3">
      <c r="A173" s="13">
        <v>45740</v>
      </c>
      <c r="B173" s="5" t="s">
        <v>27</v>
      </c>
      <c r="C173" s="15">
        <v>442</v>
      </c>
      <c r="D173" s="15">
        <v>53</v>
      </c>
      <c r="E173" s="15">
        <v>441931</v>
      </c>
      <c r="F173" s="14">
        <v>1.87</v>
      </c>
      <c r="G173" s="29">
        <v>20059</v>
      </c>
      <c r="H173" s="15">
        <f>Table2[[#This Row],[New_Followers]]-Table2[[#This Row],[Unfollows]]</f>
        <v>389</v>
      </c>
      <c r="I173" s="42">
        <f>Table2[[#This Row],[Net_Growth]]/(Table2[[#This Row],[Total_Followers]]-Table2[[#This Row],[Net_Growth]])</f>
        <v>8.8100339265573832E-4</v>
      </c>
    </row>
    <row r="174" spans="1:9" ht="14.25" customHeight="1" x14ac:dyDescent="0.3">
      <c r="A174" s="13">
        <v>45747</v>
      </c>
      <c r="B174" s="5" t="s">
        <v>33</v>
      </c>
      <c r="C174" s="15">
        <v>1033</v>
      </c>
      <c r="D174" s="15">
        <v>392</v>
      </c>
      <c r="E174" s="15">
        <v>282780</v>
      </c>
      <c r="F174" s="14">
        <v>6.27</v>
      </c>
      <c r="G174" s="29">
        <v>23140</v>
      </c>
      <c r="H174" s="15">
        <f>Table2[[#This Row],[New_Followers]]-Table2[[#This Row],[Unfollows]]</f>
        <v>641</v>
      </c>
      <c r="I174" s="42">
        <f>Table2[[#This Row],[Net_Growth]]/(Table2[[#This Row],[Total_Followers]]-Table2[[#This Row],[Net_Growth]])</f>
        <v>2.2719297934705941E-3</v>
      </c>
    </row>
    <row r="175" spans="1:9" ht="14.25" customHeight="1" x14ac:dyDescent="0.3">
      <c r="A175" s="13">
        <v>45747</v>
      </c>
      <c r="B175" s="5" t="s">
        <v>43</v>
      </c>
      <c r="C175" s="15">
        <v>988</v>
      </c>
      <c r="D175" s="15">
        <v>474</v>
      </c>
      <c r="E175" s="15">
        <v>370070</v>
      </c>
      <c r="F175" s="14">
        <v>9.4600000000000009</v>
      </c>
      <c r="G175" s="29">
        <v>23461</v>
      </c>
      <c r="H175" s="15">
        <f>Table2[[#This Row],[New_Followers]]-Table2[[#This Row],[Unfollows]]</f>
        <v>514</v>
      </c>
      <c r="I175" s="42">
        <f>Table2[[#This Row],[Net_Growth]]/(Table2[[#This Row],[Total_Followers]]-Table2[[#This Row],[Net_Growth]])</f>
        <v>1.3908582190520517E-3</v>
      </c>
    </row>
    <row r="176" spans="1:9" ht="14.25" customHeight="1" x14ac:dyDescent="0.3">
      <c r="A176" s="13">
        <v>45747</v>
      </c>
      <c r="B176" s="5" t="s">
        <v>14</v>
      </c>
      <c r="C176" s="15">
        <v>1946</v>
      </c>
      <c r="D176" s="15">
        <v>270</v>
      </c>
      <c r="E176" s="15">
        <v>198350</v>
      </c>
      <c r="F176" s="14">
        <v>7.5</v>
      </c>
      <c r="G176" s="29">
        <v>11805</v>
      </c>
      <c r="H176" s="15">
        <f>Table2[[#This Row],[New_Followers]]-Table2[[#This Row],[Unfollows]]</f>
        <v>1676</v>
      </c>
      <c r="I176" s="42">
        <f>Table2[[#This Row],[Net_Growth]]/(Table2[[#This Row],[Total_Followers]]-Table2[[#This Row],[Net_Growth]])</f>
        <v>8.5217161393981913E-3</v>
      </c>
    </row>
    <row r="177" spans="1:9" ht="14.25" customHeight="1" x14ac:dyDescent="0.3">
      <c r="A177" s="13">
        <v>45747</v>
      </c>
      <c r="B177" s="5" t="s">
        <v>27</v>
      </c>
      <c r="C177" s="15">
        <v>1957</v>
      </c>
      <c r="D177" s="15">
        <v>490</v>
      </c>
      <c r="E177" s="15">
        <v>435726</v>
      </c>
      <c r="F177" s="14">
        <v>4.7300000000000004</v>
      </c>
      <c r="G177" s="29">
        <v>15969</v>
      </c>
      <c r="H177" s="15">
        <f>Table2[[#This Row],[New_Followers]]-Table2[[#This Row],[Unfollows]]</f>
        <v>1467</v>
      </c>
      <c r="I177" s="42">
        <f>Table2[[#This Row],[Net_Growth]]/(Table2[[#This Row],[Total_Followers]]-Table2[[#This Row],[Net_Growth]])</f>
        <v>3.3781683281175518E-3</v>
      </c>
    </row>
    <row r="178" spans="1:9" ht="14.25" customHeight="1" x14ac:dyDescent="0.3">
      <c r="A178" s="13">
        <v>45754</v>
      </c>
      <c r="B178" s="5" t="s">
        <v>33</v>
      </c>
      <c r="C178" s="15">
        <v>559</v>
      </c>
      <c r="D178" s="15">
        <v>392</v>
      </c>
      <c r="E178" s="15">
        <v>78789</v>
      </c>
      <c r="F178" s="14">
        <v>3.19</v>
      </c>
      <c r="G178" s="29">
        <v>2436</v>
      </c>
      <c r="H178" s="15">
        <f>Table2[[#This Row],[New_Followers]]-Table2[[#This Row],[Unfollows]]</f>
        <v>167</v>
      </c>
      <c r="I178" s="42">
        <f>Table2[[#This Row],[Net_Growth]]/(Table2[[#This Row],[Total_Followers]]-Table2[[#This Row],[Net_Growth]])</f>
        <v>2.1240874055607844E-3</v>
      </c>
    </row>
    <row r="179" spans="1:9" ht="14.25" customHeight="1" x14ac:dyDescent="0.3">
      <c r="A179" s="13">
        <v>45754</v>
      </c>
      <c r="B179" s="5" t="s">
        <v>43</v>
      </c>
      <c r="C179" s="15">
        <v>1307</v>
      </c>
      <c r="D179" s="15">
        <v>278</v>
      </c>
      <c r="E179" s="15">
        <v>98596</v>
      </c>
      <c r="F179" s="14">
        <v>2.4900000000000002</v>
      </c>
      <c r="G179" s="29">
        <v>47603</v>
      </c>
      <c r="H179" s="15">
        <f>Table2[[#This Row],[New_Followers]]-Table2[[#This Row],[Unfollows]]</f>
        <v>1029</v>
      </c>
      <c r="I179" s="42">
        <f>Table2[[#This Row],[Net_Growth]]/(Table2[[#This Row],[Total_Followers]]-Table2[[#This Row],[Net_Growth]])</f>
        <v>1.0546598747527339E-2</v>
      </c>
    </row>
    <row r="180" spans="1:9" ht="14.25" customHeight="1" x14ac:dyDescent="0.3">
      <c r="A180" s="13">
        <v>45754</v>
      </c>
      <c r="B180" s="5" t="s">
        <v>14</v>
      </c>
      <c r="C180" s="15">
        <v>1432</v>
      </c>
      <c r="D180" s="15">
        <v>425</v>
      </c>
      <c r="E180" s="15">
        <v>29589</v>
      </c>
      <c r="F180" s="14">
        <v>4.5</v>
      </c>
      <c r="G180" s="29">
        <v>42964</v>
      </c>
      <c r="H180" s="15">
        <f>Table2[[#This Row],[New_Followers]]-Table2[[#This Row],[Unfollows]]</f>
        <v>1007</v>
      </c>
      <c r="I180" s="42">
        <f>Table2[[#This Row],[Net_Growth]]/(Table2[[#This Row],[Total_Followers]]-Table2[[#This Row],[Net_Growth]])</f>
        <v>3.5231964173255893E-2</v>
      </c>
    </row>
    <row r="181" spans="1:9" ht="14.25" customHeight="1" x14ac:dyDescent="0.3">
      <c r="A181" s="13">
        <v>45754</v>
      </c>
      <c r="B181" s="5" t="s">
        <v>27</v>
      </c>
      <c r="C181" s="15">
        <v>623</v>
      </c>
      <c r="D181" s="15">
        <v>414</v>
      </c>
      <c r="E181" s="15">
        <v>290354</v>
      </c>
      <c r="F181" s="14">
        <v>6.49</v>
      </c>
      <c r="G181" s="29">
        <v>39923</v>
      </c>
      <c r="H181" s="15">
        <f>Table2[[#This Row],[New_Followers]]-Table2[[#This Row],[Unfollows]]</f>
        <v>209</v>
      </c>
      <c r="I181" s="42">
        <f>Table2[[#This Row],[Net_Growth]]/(Table2[[#This Row],[Total_Followers]]-Table2[[#This Row],[Net_Growth]])</f>
        <v>7.2032949042720017E-4</v>
      </c>
    </row>
    <row r="182" spans="1:9" ht="14.25" customHeight="1" x14ac:dyDescent="0.3">
      <c r="A182" s="13">
        <v>45761</v>
      </c>
      <c r="B182" s="5" t="s">
        <v>33</v>
      </c>
      <c r="C182" s="15">
        <v>198</v>
      </c>
      <c r="D182" s="15">
        <v>358</v>
      </c>
      <c r="E182" s="15">
        <v>66682</v>
      </c>
      <c r="F182" s="14">
        <v>6.73</v>
      </c>
      <c r="G182" s="29">
        <v>2293</v>
      </c>
      <c r="H182" s="15">
        <f>Table2[[#This Row],[New_Followers]]-Table2[[#This Row],[Unfollows]]</f>
        <v>-160</v>
      </c>
      <c r="I182" s="42">
        <f>Table2[[#This Row],[Net_Growth]]/(Table2[[#This Row],[Total_Followers]]-Table2[[#This Row],[Net_Growth]])</f>
        <v>-2.3937045570150504E-3</v>
      </c>
    </row>
    <row r="183" spans="1:9" ht="14.25" customHeight="1" x14ac:dyDescent="0.3">
      <c r="A183" s="13">
        <v>45761</v>
      </c>
      <c r="B183" s="5" t="s">
        <v>43</v>
      </c>
      <c r="C183" s="15">
        <v>198</v>
      </c>
      <c r="D183" s="15">
        <v>373</v>
      </c>
      <c r="E183" s="15">
        <v>70707</v>
      </c>
      <c r="F183" s="14">
        <v>4.83</v>
      </c>
      <c r="G183" s="29">
        <v>25920</v>
      </c>
      <c r="H183" s="15">
        <f>Table2[[#This Row],[New_Followers]]-Table2[[#This Row],[Unfollows]]</f>
        <v>-175</v>
      </c>
      <c r="I183" s="42">
        <f>Table2[[#This Row],[Net_Growth]]/(Table2[[#This Row],[Total_Followers]]-Table2[[#This Row],[Net_Growth]])</f>
        <v>-2.4688919612877742E-3</v>
      </c>
    </row>
    <row r="184" spans="1:9" ht="14.25" customHeight="1" x14ac:dyDescent="0.3">
      <c r="A184" s="13">
        <v>45761</v>
      </c>
      <c r="B184" s="5" t="s">
        <v>14</v>
      </c>
      <c r="C184" s="15">
        <v>353</v>
      </c>
      <c r="D184" s="15">
        <v>300</v>
      </c>
      <c r="E184" s="15">
        <v>142507</v>
      </c>
      <c r="F184" s="14">
        <v>5.3</v>
      </c>
      <c r="G184" s="29">
        <v>11035</v>
      </c>
      <c r="H184" s="15">
        <f>Table2[[#This Row],[New_Followers]]-Table2[[#This Row],[Unfollows]]</f>
        <v>53</v>
      </c>
      <c r="I184" s="42">
        <f>Table2[[#This Row],[Net_Growth]]/(Table2[[#This Row],[Total_Followers]]-Table2[[#This Row],[Net_Growth]])</f>
        <v>3.7204992488803405E-4</v>
      </c>
    </row>
    <row r="185" spans="1:9" ht="14.25" customHeight="1" x14ac:dyDescent="0.3">
      <c r="A185" s="13">
        <v>45761</v>
      </c>
      <c r="B185" s="5" t="s">
        <v>27</v>
      </c>
      <c r="C185" s="15">
        <v>520</v>
      </c>
      <c r="D185" s="15">
        <v>375</v>
      </c>
      <c r="E185" s="15">
        <v>369525</v>
      </c>
      <c r="F185" s="14">
        <v>6.54</v>
      </c>
      <c r="G185" s="29">
        <v>20733</v>
      </c>
      <c r="H185" s="15">
        <f>Table2[[#This Row],[New_Followers]]-Table2[[#This Row],[Unfollows]]</f>
        <v>145</v>
      </c>
      <c r="I185" s="42">
        <f>Table2[[#This Row],[Net_Growth]]/(Table2[[#This Row],[Total_Followers]]-Table2[[#This Row],[Net_Growth]])</f>
        <v>3.9254967783854025E-4</v>
      </c>
    </row>
    <row r="186" spans="1:9" ht="14.25" customHeight="1" x14ac:dyDescent="0.3">
      <c r="A186" s="13">
        <v>45768</v>
      </c>
      <c r="B186" s="5" t="s">
        <v>33</v>
      </c>
      <c r="C186" s="15">
        <v>961</v>
      </c>
      <c r="D186" s="15">
        <v>358</v>
      </c>
      <c r="E186" s="15">
        <v>62942</v>
      </c>
      <c r="F186" s="14">
        <v>6.8</v>
      </c>
      <c r="G186" s="29">
        <v>18693</v>
      </c>
      <c r="H186" s="15">
        <f>Table2[[#This Row],[New_Followers]]-Table2[[#This Row],[Unfollows]]</f>
        <v>603</v>
      </c>
      <c r="I186" s="42">
        <f>Table2[[#This Row],[Net_Growth]]/(Table2[[#This Row],[Total_Followers]]-Table2[[#This Row],[Net_Growth]])</f>
        <v>9.6729174353133666E-3</v>
      </c>
    </row>
    <row r="187" spans="1:9" ht="14.25" customHeight="1" x14ac:dyDescent="0.3">
      <c r="A187" s="13">
        <v>45768</v>
      </c>
      <c r="B187" s="5" t="s">
        <v>43</v>
      </c>
      <c r="C187" s="15">
        <v>1375</v>
      </c>
      <c r="D187" s="15">
        <v>330</v>
      </c>
      <c r="E187" s="15">
        <v>377382</v>
      </c>
      <c r="F187" s="14">
        <v>2.6</v>
      </c>
      <c r="G187" s="29">
        <v>7875</v>
      </c>
      <c r="H187" s="15">
        <f>Table2[[#This Row],[New_Followers]]-Table2[[#This Row],[Unfollows]]</f>
        <v>1045</v>
      </c>
      <c r="I187" s="42">
        <f>Table2[[#This Row],[Net_Growth]]/(Table2[[#This Row],[Total_Followers]]-Table2[[#This Row],[Net_Growth]])</f>
        <v>2.7767665682619565E-3</v>
      </c>
    </row>
    <row r="188" spans="1:9" ht="14.25" customHeight="1" x14ac:dyDescent="0.3">
      <c r="A188" s="13">
        <v>45768</v>
      </c>
      <c r="B188" s="5" t="s">
        <v>14</v>
      </c>
      <c r="C188" s="15">
        <v>1147</v>
      </c>
      <c r="D188" s="15">
        <v>388</v>
      </c>
      <c r="E188" s="15">
        <v>333851</v>
      </c>
      <c r="F188" s="14">
        <v>2.44</v>
      </c>
      <c r="G188" s="29">
        <v>8471</v>
      </c>
      <c r="H188" s="15">
        <f>Table2[[#This Row],[New_Followers]]-Table2[[#This Row],[Unfollows]]</f>
        <v>759</v>
      </c>
      <c r="I188" s="42">
        <f>Table2[[#This Row],[Net_Growth]]/(Table2[[#This Row],[Total_Followers]]-Table2[[#This Row],[Net_Growth]])</f>
        <v>2.2786497424135072E-3</v>
      </c>
    </row>
    <row r="189" spans="1:9" ht="14.25" customHeight="1" x14ac:dyDescent="0.3">
      <c r="A189" s="13">
        <v>45768</v>
      </c>
      <c r="B189" s="5" t="s">
        <v>27</v>
      </c>
      <c r="C189" s="15">
        <v>1707</v>
      </c>
      <c r="D189" s="15">
        <v>74</v>
      </c>
      <c r="E189" s="15">
        <v>270958</v>
      </c>
      <c r="F189" s="14">
        <v>3.09</v>
      </c>
      <c r="G189" s="29">
        <v>14090</v>
      </c>
      <c r="H189" s="15">
        <f>Table2[[#This Row],[New_Followers]]-Table2[[#This Row],[Unfollows]]</f>
        <v>1633</v>
      </c>
      <c r="I189" s="42">
        <f>Table2[[#This Row],[Net_Growth]]/(Table2[[#This Row],[Total_Followers]]-Table2[[#This Row],[Net_Growth]])</f>
        <v>6.0633064141836068E-3</v>
      </c>
    </row>
    <row r="190" spans="1:9" ht="14.25" customHeight="1" x14ac:dyDescent="0.3">
      <c r="A190" s="13">
        <v>45775</v>
      </c>
      <c r="B190" s="5" t="s">
        <v>33</v>
      </c>
      <c r="C190" s="15">
        <v>1693</v>
      </c>
      <c r="D190" s="15">
        <v>154</v>
      </c>
      <c r="E190" s="15">
        <v>445944</v>
      </c>
      <c r="F190" s="14">
        <v>5.69</v>
      </c>
      <c r="G190" s="29">
        <v>14216</v>
      </c>
      <c r="H190" s="15">
        <f>Table2[[#This Row],[New_Followers]]-Table2[[#This Row],[Unfollows]]</f>
        <v>1539</v>
      </c>
      <c r="I190" s="42">
        <f>Table2[[#This Row],[Net_Growth]]/(Table2[[#This Row],[Total_Followers]]-Table2[[#This Row],[Net_Growth]])</f>
        <v>3.4630573463394878E-3</v>
      </c>
    </row>
    <row r="191" spans="1:9" ht="14.25" customHeight="1" x14ac:dyDescent="0.3">
      <c r="A191" s="13">
        <v>45775</v>
      </c>
      <c r="B191" s="5" t="s">
        <v>43</v>
      </c>
      <c r="C191" s="15">
        <v>833</v>
      </c>
      <c r="D191" s="15">
        <v>380</v>
      </c>
      <c r="E191" s="15">
        <v>224830</v>
      </c>
      <c r="F191" s="14">
        <v>3.86</v>
      </c>
      <c r="G191" s="29">
        <v>3582</v>
      </c>
      <c r="H191" s="15">
        <f>Table2[[#This Row],[New_Followers]]-Table2[[#This Row],[Unfollows]]</f>
        <v>453</v>
      </c>
      <c r="I191" s="42">
        <f>Table2[[#This Row],[Net_Growth]]/(Table2[[#This Row],[Total_Followers]]-Table2[[#This Row],[Net_Growth]])</f>
        <v>2.0189235082027123E-3</v>
      </c>
    </row>
    <row r="192" spans="1:9" ht="14.25" customHeight="1" x14ac:dyDescent="0.3">
      <c r="A192" s="13">
        <v>45775</v>
      </c>
      <c r="B192" s="5" t="s">
        <v>14</v>
      </c>
      <c r="C192" s="15">
        <v>1222</v>
      </c>
      <c r="D192" s="15">
        <v>274</v>
      </c>
      <c r="E192" s="15">
        <v>487289</v>
      </c>
      <c r="F192" s="14">
        <v>3.16</v>
      </c>
      <c r="G192" s="29">
        <v>32500</v>
      </c>
      <c r="H192" s="15">
        <f>Table2[[#This Row],[New_Followers]]-Table2[[#This Row],[Unfollows]]</f>
        <v>948</v>
      </c>
      <c r="I192" s="42">
        <f>Table2[[#This Row],[Net_Growth]]/(Table2[[#This Row],[Total_Followers]]-Table2[[#This Row],[Net_Growth]])</f>
        <v>1.9492496005888871E-3</v>
      </c>
    </row>
    <row r="193" spans="1:9" ht="14.25" customHeight="1" x14ac:dyDescent="0.3">
      <c r="A193" s="13">
        <v>45775</v>
      </c>
      <c r="B193" s="5" t="s">
        <v>27</v>
      </c>
      <c r="C193" s="15">
        <v>777</v>
      </c>
      <c r="D193" s="15">
        <v>140</v>
      </c>
      <c r="E193" s="15">
        <v>11435</v>
      </c>
      <c r="F193" s="14">
        <v>1.6</v>
      </c>
      <c r="G193" s="29">
        <v>6832</v>
      </c>
      <c r="H193" s="15">
        <f>Table2[[#This Row],[New_Followers]]-Table2[[#This Row],[Unfollows]]</f>
        <v>637</v>
      </c>
      <c r="I193" s="42">
        <f>Table2[[#This Row],[Net_Growth]]/(Table2[[#This Row],[Total_Followers]]-Table2[[#This Row],[Net_Growth]])</f>
        <v>5.8992406001111317E-2</v>
      </c>
    </row>
    <row r="194" spans="1:9" ht="14.25" customHeight="1" x14ac:dyDescent="0.3">
      <c r="A194" s="13">
        <v>45782</v>
      </c>
      <c r="B194" s="5" t="s">
        <v>33</v>
      </c>
      <c r="C194" s="15">
        <v>1957</v>
      </c>
      <c r="D194" s="15">
        <v>76</v>
      </c>
      <c r="E194" s="15">
        <v>447902</v>
      </c>
      <c r="F194" s="14">
        <v>6.09</v>
      </c>
      <c r="G194" s="29">
        <v>33381</v>
      </c>
      <c r="H194" s="15">
        <f>Table2[[#This Row],[New_Followers]]-Table2[[#This Row],[Unfollows]]</f>
        <v>1881</v>
      </c>
      <c r="I194" s="42">
        <f>Table2[[#This Row],[Net_Growth]]/(Table2[[#This Row],[Total_Followers]]-Table2[[#This Row],[Net_Growth]])</f>
        <v>4.2172902172767646E-3</v>
      </c>
    </row>
    <row r="195" spans="1:9" ht="14.25" customHeight="1" x14ac:dyDescent="0.3">
      <c r="A195" s="13">
        <v>45782</v>
      </c>
      <c r="B195" s="5" t="s">
        <v>43</v>
      </c>
      <c r="C195" s="15">
        <v>405</v>
      </c>
      <c r="D195" s="15">
        <v>66</v>
      </c>
      <c r="E195" s="15">
        <v>418696</v>
      </c>
      <c r="F195" s="14">
        <v>5.59</v>
      </c>
      <c r="G195" s="29">
        <v>48419</v>
      </c>
      <c r="H195" s="15">
        <f>Table2[[#This Row],[New_Followers]]-Table2[[#This Row],[Unfollows]]</f>
        <v>339</v>
      </c>
      <c r="I195" s="42">
        <f>Table2[[#This Row],[Net_Growth]]/(Table2[[#This Row],[Total_Followers]]-Table2[[#This Row],[Net_Growth]])</f>
        <v>8.1031272334393834E-4</v>
      </c>
    </row>
    <row r="196" spans="1:9" ht="14.25" customHeight="1" x14ac:dyDescent="0.3">
      <c r="A196" s="13">
        <v>45782</v>
      </c>
      <c r="B196" s="5" t="s">
        <v>14</v>
      </c>
      <c r="C196" s="15">
        <v>1581</v>
      </c>
      <c r="D196" s="15">
        <v>71</v>
      </c>
      <c r="E196" s="15">
        <v>484364</v>
      </c>
      <c r="F196" s="14">
        <v>3.55</v>
      </c>
      <c r="G196" s="29">
        <v>16149</v>
      </c>
      <c r="H196" s="15">
        <f>Table2[[#This Row],[New_Followers]]-Table2[[#This Row],[Unfollows]]</f>
        <v>1510</v>
      </c>
      <c r="I196" s="42">
        <f>Table2[[#This Row],[Net_Growth]]/(Table2[[#This Row],[Total_Followers]]-Table2[[#This Row],[Net_Growth]])</f>
        <v>3.1272392897231877E-3</v>
      </c>
    </row>
    <row r="197" spans="1:9" ht="14.25" customHeight="1" x14ac:dyDescent="0.3">
      <c r="A197" s="13">
        <v>45782</v>
      </c>
      <c r="B197" s="5" t="s">
        <v>27</v>
      </c>
      <c r="C197" s="15">
        <v>1035</v>
      </c>
      <c r="D197" s="15">
        <v>171</v>
      </c>
      <c r="E197" s="15">
        <v>148477</v>
      </c>
      <c r="F197" s="14">
        <v>5.21</v>
      </c>
      <c r="G197" s="29">
        <v>7541</v>
      </c>
      <c r="H197" s="15">
        <f>Table2[[#This Row],[New_Followers]]-Table2[[#This Row],[Unfollows]]</f>
        <v>864</v>
      </c>
      <c r="I197" s="42">
        <f>Table2[[#This Row],[Net_Growth]]/(Table2[[#This Row],[Total_Followers]]-Table2[[#This Row],[Net_Growth]])</f>
        <v>5.8531430158590371E-3</v>
      </c>
    </row>
    <row r="198" spans="1:9" ht="14.25" customHeight="1" x14ac:dyDescent="0.3">
      <c r="A198" s="13">
        <v>45789</v>
      </c>
      <c r="B198" s="5" t="s">
        <v>33</v>
      </c>
      <c r="C198" s="15">
        <v>1765</v>
      </c>
      <c r="D198" s="15">
        <v>109</v>
      </c>
      <c r="E198" s="15">
        <v>468301</v>
      </c>
      <c r="F198" s="14">
        <v>1.82</v>
      </c>
      <c r="G198" s="29">
        <v>20042</v>
      </c>
      <c r="H198" s="15">
        <f>Table2[[#This Row],[New_Followers]]-Table2[[#This Row],[Unfollows]]</f>
        <v>1656</v>
      </c>
      <c r="I198" s="42">
        <f>Table2[[#This Row],[Net_Growth]]/(Table2[[#This Row],[Total_Followers]]-Table2[[#This Row],[Net_Growth]])</f>
        <v>3.5487361913231685E-3</v>
      </c>
    </row>
    <row r="199" spans="1:9" ht="14.25" customHeight="1" x14ac:dyDescent="0.3">
      <c r="A199" s="13">
        <v>45789</v>
      </c>
      <c r="B199" s="5" t="s">
        <v>43</v>
      </c>
      <c r="C199" s="15">
        <v>837</v>
      </c>
      <c r="D199" s="15">
        <v>430</v>
      </c>
      <c r="E199" s="15">
        <v>364820</v>
      </c>
      <c r="F199" s="14">
        <v>4</v>
      </c>
      <c r="G199" s="29">
        <v>49400</v>
      </c>
      <c r="H199" s="15">
        <f>Table2[[#This Row],[New_Followers]]-Table2[[#This Row],[Unfollows]]</f>
        <v>407</v>
      </c>
      <c r="I199" s="42">
        <f>Table2[[#This Row],[Net_Growth]]/(Table2[[#This Row],[Total_Followers]]-Table2[[#This Row],[Net_Growth]])</f>
        <v>1.1168646563102854E-3</v>
      </c>
    </row>
    <row r="200" spans="1:9" ht="14.25" customHeight="1" x14ac:dyDescent="0.3">
      <c r="A200" s="13">
        <v>45789</v>
      </c>
      <c r="B200" s="5" t="s">
        <v>14</v>
      </c>
      <c r="C200" s="15">
        <v>337</v>
      </c>
      <c r="D200" s="15">
        <v>68</v>
      </c>
      <c r="E200" s="15">
        <v>456298</v>
      </c>
      <c r="F200" s="14">
        <v>7.57</v>
      </c>
      <c r="G200" s="29">
        <v>4007</v>
      </c>
      <c r="H200" s="15">
        <f>Table2[[#This Row],[New_Followers]]-Table2[[#This Row],[Unfollows]]</f>
        <v>269</v>
      </c>
      <c r="I200" s="42">
        <f>Table2[[#This Row],[Net_Growth]]/(Table2[[#This Row],[Total_Followers]]-Table2[[#This Row],[Net_Growth]])</f>
        <v>5.8987476673632601E-4</v>
      </c>
    </row>
    <row r="201" spans="1:9" ht="14.25" customHeight="1" x14ac:dyDescent="0.3">
      <c r="A201" s="13">
        <v>45789</v>
      </c>
      <c r="B201" s="5" t="s">
        <v>27</v>
      </c>
      <c r="C201" s="15">
        <v>119</v>
      </c>
      <c r="D201" s="15">
        <v>456</v>
      </c>
      <c r="E201" s="15">
        <v>82558</v>
      </c>
      <c r="F201" s="14">
        <v>6.81</v>
      </c>
      <c r="G201" s="29">
        <v>12174</v>
      </c>
      <c r="H201" s="15">
        <f>Table2[[#This Row],[New_Followers]]-Table2[[#This Row],[Unfollows]]</f>
        <v>-337</v>
      </c>
      <c r="I201" s="42">
        <f>Table2[[#This Row],[Net_Growth]]/(Table2[[#This Row],[Total_Followers]]-Table2[[#This Row],[Net_Growth]])</f>
        <v>-4.0653839194161288E-3</v>
      </c>
    </row>
    <row r="202" spans="1:9" ht="14.25" customHeight="1" x14ac:dyDescent="0.3"/>
    <row r="203" spans="1:9" ht="14.25" customHeight="1" x14ac:dyDescent="0.3"/>
    <row r="204" spans="1:9" ht="14.25" customHeight="1" x14ac:dyDescent="0.3"/>
    <row r="205" spans="1:9" ht="14.25" customHeight="1" x14ac:dyDescent="0.3"/>
    <row r="206" spans="1:9" ht="14.25" customHeight="1" x14ac:dyDescent="0.3"/>
    <row r="207" spans="1:9" ht="14.25" customHeight="1" x14ac:dyDescent="0.3"/>
    <row r="208" spans="1:9"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4728-89DC-4640-898A-4F88813F4694}">
  <sheetPr codeName="Sheet13"/>
  <dimension ref="A1:B56"/>
  <sheetViews>
    <sheetView zoomScale="121" workbookViewId="0">
      <selection activeCell="C53" sqref="C53"/>
    </sheetView>
  </sheetViews>
  <sheetFormatPr defaultRowHeight="14.4" x14ac:dyDescent="0.3"/>
  <cols>
    <col min="1" max="1" width="17.5546875" customWidth="1"/>
    <col min="2" max="2" width="10.6640625" customWidth="1"/>
  </cols>
  <sheetData>
    <row r="1" spans="1:2" x14ac:dyDescent="0.3">
      <c r="A1" s="77" t="s">
        <v>567</v>
      </c>
      <c r="B1" s="77" t="s">
        <v>663</v>
      </c>
    </row>
    <row r="2" spans="1:2" hidden="1" x14ac:dyDescent="0.3">
      <c r="A2" s="78">
        <v>45453</v>
      </c>
      <c r="B2" s="41">
        <v>2980</v>
      </c>
    </row>
    <row r="3" spans="1:2" hidden="1" x14ac:dyDescent="0.3">
      <c r="A3" s="57">
        <v>45446</v>
      </c>
      <c r="B3" s="41">
        <v>3554</v>
      </c>
    </row>
    <row r="4" spans="1:2" hidden="1" x14ac:dyDescent="0.3">
      <c r="A4" s="78">
        <v>45460</v>
      </c>
      <c r="B4" s="41">
        <v>3907</v>
      </c>
    </row>
    <row r="5" spans="1:2" hidden="1" x14ac:dyDescent="0.3">
      <c r="A5" s="78">
        <v>45467</v>
      </c>
      <c r="B5" s="41">
        <v>3011</v>
      </c>
    </row>
    <row r="6" spans="1:2" hidden="1" x14ac:dyDescent="0.3">
      <c r="A6" s="78">
        <v>45474</v>
      </c>
      <c r="B6" s="41">
        <v>1293</v>
      </c>
    </row>
    <row r="7" spans="1:2" hidden="1" x14ac:dyDescent="0.3">
      <c r="A7" s="78">
        <v>45481</v>
      </c>
      <c r="B7" s="41">
        <v>3042</v>
      </c>
    </row>
    <row r="8" spans="1:2" hidden="1" x14ac:dyDescent="0.3">
      <c r="A8" s="78">
        <v>45488</v>
      </c>
      <c r="B8" s="41">
        <v>2270</v>
      </c>
    </row>
    <row r="9" spans="1:2" hidden="1" x14ac:dyDescent="0.3">
      <c r="A9" s="78">
        <v>45495</v>
      </c>
      <c r="B9" s="41">
        <v>2753</v>
      </c>
    </row>
    <row r="10" spans="1:2" hidden="1" x14ac:dyDescent="0.3">
      <c r="A10" s="78">
        <v>45502</v>
      </c>
      <c r="B10" s="41">
        <v>2193</v>
      </c>
    </row>
    <row r="11" spans="1:2" hidden="1" x14ac:dyDescent="0.3">
      <c r="A11" s="78">
        <v>45509</v>
      </c>
      <c r="B11" s="41">
        <v>802</v>
      </c>
    </row>
    <row r="12" spans="1:2" hidden="1" x14ac:dyDescent="0.3">
      <c r="A12" s="78">
        <v>45516</v>
      </c>
      <c r="B12" s="41">
        <v>3728</v>
      </c>
    </row>
    <row r="13" spans="1:2" hidden="1" x14ac:dyDescent="0.3">
      <c r="A13" s="78">
        <v>45523</v>
      </c>
      <c r="B13" s="41">
        <v>2989</v>
      </c>
    </row>
    <row r="14" spans="1:2" hidden="1" x14ac:dyDescent="0.3">
      <c r="A14" s="78">
        <v>45530</v>
      </c>
      <c r="B14" s="41">
        <v>2903</v>
      </c>
    </row>
    <row r="15" spans="1:2" hidden="1" x14ac:dyDescent="0.3">
      <c r="A15" s="78">
        <v>45537</v>
      </c>
      <c r="B15" s="41">
        <v>2822</v>
      </c>
    </row>
    <row r="16" spans="1:2" x14ac:dyDescent="0.3">
      <c r="A16" s="78">
        <v>45544</v>
      </c>
      <c r="B16" s="41">
        <v>4360</v>
      </c>
    </row>
    <row r="17" spans="1:2" hidden="1" x14ac:dyDescent="0.3">
      <c r="A17" s="78">
        <v>45551</v>
      </c>
      <c r="B17" s="41">
        <v>1568</v>
      </c>
    </row>
    <row r="18" spans="1:2" hidden="1" x14ac:dyDescent="0.3">
      <c r="A18" s="78">
        <v>45558</v>
      </c>
      <c r="B18" s="41">
        <v>3333</v>
      </c>
    </row>
    <row r="19" spans="1:2" hidden="1" x14ac:dyDescent="0.3">
      <c r="A19" s="78">
        <v>45565</v>
      </c>
      <c r="B19" s="41">
        <v>3151</v>
      </c>
    </row>
    <row r="20" spans="1:2" hidden="1" x14ac:dyDescent="0.3">
      <c r="A20" s="78">
        <v>45572</v>
      </c>
      <c r="B20" s="41">
        <v>3759</v>
      </c>
    </row>
    <row r="21" spans="1:2" hidden="1" x14ac:dyDescent="0.3">
      <c r="A21" s="78">
        <v>45579</v>
      </c>
      <c r="B21" s="41">
        <v>1856</v>
      </c>
    </row>
    <row r="22" spans="1:2" hidden="1" x14ac:dyDescent="0.3">
      <c r="A22" s="78">
        <v>45586</v>
      </c>
      <c r="B22" s="41">
        <v>2821</v>
      </c>
    </row>
    <row r="23" spans="1:2" hidden="1" x14ac:dyDescent="0.3">
      <c r="A23" s="78">
        <v>45593</v>
      </c>
      <c r="B23" s="41">
        <v>2656</v>
      </c>
    </row>
    <row r="24" spans="1:2" x14ac:dyDescent="0.3">
      <c r="A24" s="78">
        <v>45600</v>
      </c>
      <c r="B24" s="41">
        <v>4584</v>
      </c>
    </row>
    <row r="25" spans="1:2" hidden="1" x14ac:dyDescent="0.3">
      <c r="A25" s="78">
        <v>45607</v>
      </c>
      <c r="B25" s="41">
        <v>2295</v>
      </c>
    </row>
    <row r="26" spans="1:2" hidden="1" x14ac:dyDescent="0.3">
      <c r="A26" s="78">
        <v>45614</v>
      </c>
      <c r="B26" s="41">
        <v>528</v>
      </c>
    </row>
    <row r="27" spans="1:2" hidden="1" x14ac:dyDescent="0.3">
      <c r="A27" s="78">
        <v>45621</v>
      </c>
      <c r="B27" s="41">
        <v>4008</v>
      </c>
    </row>
    <row r="28" spans="1:2" x14ac:dyDescent="0.3">
      <c r="A28" s="78">
        <v>45628</v>
      </c>
      <c r="B28" s="41">
        <v>4795</v>
      </c>
    </row>
    <row r="29" spans="1:2" x14ac:dyDescent="0.3">
      <c r="A29" s="78">
        <v>45635</v>
      </c>
      <c r="B29" s="41">
        <v>4792</v>
      </c>
    </row>
    <row r="30" spans="1:2" x14ac:dyDescent="0.3">
      <c r="A30" s="78">
        <v>45642</v>
      </c>
      <c r="B30" s="41">
        <v>5044</v>
      </c>
    </row>
    <row r="31" spans="1:2" hidden="1" x14ac:dyDescent="0.3">
      <c r="A31" s="78">
        <v>45649</v>
      </c>
      <c r="B31" s="41">
        <v>3914</v>
      </c>
    </row>
    <row r="32" spans="1:2" x14ac:dyDescent="0.3">
      <c r="A32" s="78">
        <v>45656</v>
      </c>
      <c r="B32" s="41">
        <v>6530</v>
      </c>
    </row>
    <row r="33" spans="1:2" hidden="1" x14ac:dyDescent="0.3">
      <c r="A33" s="78">
        <v>45663</v>
      </c>
      <c r="B33" s="41">
        <v>3557</v>
      </c>
    </row>
    <row r="34" spans="1:2" hidden="1" x14ac:dyDescent="0.3">
      <c r="A34" s="78">
        <v>45670</v>
      </c>
      <c r="B34" s="41">
        <v>2777</v>
      </c>
    </row>
    <row r="35" spans="1:2" hidden="1" x14ac:dyDescent="0.3">
      <c r="A35" s="78">
        <v>45677</v>
      </c>
      <c r="B35" s="41">
        <v>3614</v>
      </c>
    </row>
    <row r="36" spans="1:2" hidden="1" x14ac:dyDescent="0.3">
      <c r="A36" s="78">
        <v>45684</v>
      </c>
      <c r="B36" s="41">
        <v>3383</v>
      </c>
    </row>
    <row r="37" spans="1:2" hidden="1" x14ac:dyDescent="0.3">
      <c r="A37" s="78">
        <v>45691</v>
      </c>
      <c r="B37" s="41">
        <v>2194</v>
      </c>
    </row>
    <row r="38" spans="1:2" x14ac:dyDescent="0.3">
      <c r="A38" s="78">
        <v>45698</v>
      </c>
      <c r="B38" s="41">
        <v>5281</v>
      </c>
    </row>
    <row r="39" spans="1:2" hidden="1" x14ac:dyDescent="0.3">
      <c r="A39" s="78">
        <v>45705</v>
      </c>
      <c r="B39" s="41">
        <v>3693</v>
      </c>
    </row>
    <row r="40" spans="1:2" x14ac:dyDescent="0.3">
      <c r="A40" s="78">
        <v>45712</v>
      </c>
      <c r="B40" s="41">
        <v>4806</v>
      </c>
    </row>
    <row r="41" spans="1:2" hidden="1" x14ac:dyDescent="0.3">
      <c r="A41" s="78">
        <v>45719</v>
      </c>
      <c r="B41" s="41">
        <v>2410</v>
      </c>
    </row>
    <row r="42" spans="1:2" hidden="1" x14ac:dyDescent="0.3">
      <c r="A42" s="78">
        <v>45726</v>
      </c>
      <c r="B42" s="41">
        <v>3712</v>
      </c>
    </row>
    <row r="43" spans="1:2" hidden="1" x14ac:dyDescent="0.3">
      <c r="A43" s="78">
        <v>45733</v>
      </c>
      <c r="B43" s="41">
        <v>4042</v>
      </c>
    </row>
    <row r="44" spans="1:2" hidden="1" x14ac:dyDescent="0.3">
      <c r="A44" s="78">
        <v>45740</v>
      </c>
      <c r="B44" s="41">
        <v>1616</v>
      </c>
    </row>
    <row r="45" spans="1:2" hidden="1" x14ac:dyDescent="0.3">
      <c r="A45" s="78">
        <v>45747</v>
      </c>
      <c r="B45" s="41">
        <v>4298</v>
      </c>
    </row>
    <row r="46" spans="1:2" hidden="1" x14ac:dyDescent="0.3">
      <c r="A46" s="78">
        <v>45754</v>
      </c>
      <c r="B46" s="41">
        <v>2412</v>
      </c>
    </row>
    <row r="47" spans="1:2" hidden="1" x14ac:dyDescent="0.3">
      <c r="A47" s="78">
        <v>45761</v>
      </c>
      <c r="B47" s="41">
        <v>-137</v>
      </c>
    </row>
    <row r="48" spans="1:2" hidden="1" x14ac:dyDescent="0.3">
      <c r="A48" s="78">
        <v>45768</v>
      </c>
      <c r="B48" s="41">
        <v>4040</v>
      </c>
    </row>
    <row r="49" spans="1:2" hidden="1" x14ac:dyDescent="0.3">
      <c r="A49" s="78">
        <v>45775</v>
      </c>
      <c r="B49" s="41">
        <v>3577</v>
      </c>
    </row>
    <row r="50" spans="1:2" x14ac:dyDescent="0.3">
      <c r="A50" s="78">
        <v>45782</v>
      </c>
      <c r="B50" s="41">
        <v>4594</v>
      </c>
    </row>
    <row r="51" spans="1:2" hidden="1" x14ac:dyDescent="0.3">
      <c r="A51" s="78">
        <v>45789</v>
      </c>
      <c r="B51" s="41">
        <v>1995</v>
      </c>
    </row>
    <row r="52" spans="1:2" s="80" customFormat="1" x14ac:dyDescent="0.3">
      <c r="A52" s="79" t="s">
        <v>622</v>
      </c>
      <c r="B52" s="81">
        <f>SUM(B2:B51)</f>
        <v>160105</v>
      </c>
    </row>
    <row r="54" spans="1:2" x14ac:dyDescent="0.3">
      <c r="A54" s="82" t="s">
        <v>664</v>
      </c>
      <c r="B54" s="83"/>
    </row>
    <row r="55" spans="1:2" x14ac:dyDescent="0.3">
      <c r="A55" s="83"/>
      <c r="B55" s="83"/>
    </row>
    <row r="56" spans="1:2" x14ac:dyDescent="0.3">
      <c r="A56" s="83"/>
      <c r="B56" s="83"/>
    </row>
  </sheetData>
  <mergeCells count="1">
    <mergeCell ref="A54:B56"/>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14BBC-1F50-4CC9-ACCB-A5B27E36C7F6}">
  <sheetPr codeName="Sheet14"/>
  <dimension ref="A3:F55"/>
  <sheetViews>
    <sheetView topLeftCell="D5" zoomScale="76" zoomScaleNormal="76" workbookViewId="0">
      <selection activeCell="N29" sqref="N29"/>
    </sheetView>
  </sheetViews>
  <sheetFormatPr defaultRowHeight="14.4" x14ac:dyDescent="0.3"/>
  <cols>
    <col min="1" max="1" width="18.109375" bestFit="1" customWidth="1"/>
    <col min="2" max="2" width="15.5546875" bestFit="1" customWidth="1"/>
    <col min="3" max="3" width="9.44140625" bestFit="1" customWidth="1"/>
    <col min="4" max="4" width="7.109375" bestFit="1" customWidth="1"/>
    <col min="5" max="5" width="8.5546875" bestFit="1" customWidth="1"/>
    <col min="6" max="6" width="11.109375" bestFit="1" customWidth="1"/>
  </cols>
  <sheetData>
    <row r="3" spans="1:6" x14ac:dyDescent="0.3">
      <c r="A3" s="38" t="s">
        <v>655</v>
      </c>
      <c r="B3" s="38" t="s">
        <v>654</v>
      </c>
    </row>
    <row r="4" spans="1:6" x14ac:dyDescent="0.3">
      <c r="A4" s="38" t="s">
        <v>621</v>
      </c>
      <c r="B4" t="s">
        <v>43</v>
      </c>
      <c r="C4" t="s">
        <v>33</v>
      </c>
      <c r="D4" t="s">
        <v>14</v>
      </c>
      <c r="E4" t="s">
        <v>27</v>
      </c>
      <c r="F4" t="s">
        <v>622</v>
      </c>
    </row>
    <row r="5" spans="1:6" x14ac:dyDescent="0.3">
      <c r="A5" s="57">
        <v>45446</v>
      </c>
      <c r="B5" s="41">
        <v>1002</v>
      </c>
      <c r="C5" s="41">
        <v>1047</v>
      </c>
      <c r="D5" s="41">
        <v>415</v>
      </c>
      <c r="E5" s="41">
        <v>1090</v>
      </c>
      <c r="F5" s="41">
        <v>3554</v>
      </c>
    </row>
    <row r="6" spans="1:6" x14ac:dyDescent="0.3">
      <c r="A6" s="57">
        <v>45453</v>
      </c>
      <c r="B6" s="41">
        <v>1283</v>
      </c>
      <c r="C6" s="41">
        <v>517</v>
      </c>
      <c r="D6" s="41">
        <v>186</v>
      </c>
      <c r="E6" s="41">
        <v>994</v>
      </c>
      <c r="F6" s="41">
        <v>2980</v>
      </c>
    </row>
    <row r="7" spans="1:6" x14ac:dyDescent="0.3">
      <c r="A7" s="57">
        <v>45460</v>
      </c>
      <c r="B7" s="41">
        <v>1382</v>
      </c>
      <c r="C7" s="41">
        <v>893</v>
      </c>
      <c r="D7" s="41">
        <v>1295</v>
      </c>
      <c r="E7" s="41">
        <v>337</v>
      </c>
      <c r="F7" s="41">
        <v>3907</v>
      </c>
    </row>
    <row r="8" spans="1:6" x14ac:dyDescent="0.3">
      <c r="A8" s="57">
        <v>45467</v>
      </c>
      <c r="B8" s="41">
        <v>1670</v>
      </c>
      <c r="C8" s="41">
        <v>629</v>
      </c>
      <c r="D8" s="41">
        <v>835</v>
      </c>
      <c r="E8" s="41">
        <v>-123</v>
      </c>
      <c r="F8" s="41">
        <v>3011</v>
      </c>
    </row>
    <row r="9" spans="1:6" x14ac:dyDescent="0.3">
      <c r="A9" s="57">
        <v>45474</v>
      </c>
      <c r="B9" s="41">
        <v>64</v>
      </c>
      <c r="C9" s="41">
        <v>-219</v>
      </c>
      <c r="D9" s="41">
        <v>1357</v>
      </c>
      <c r="E9" s="41">
        <v>91</v>
      </c>
      <c r="F9" s="41">
        <v>1293</v>
      </c>
    </row>
    <row r="10" spans="1:6" x14ac:dyDescent="0.3">
      <c r="A10" s="57">
        <v>45481</v>
      </c>
      <c r="B10" s="41">
        <v>309</v>
      </c>
      <c r="C10" s="41">
        <v>1672</v>
      </c>
      <c r="D10" s="41">
        <v>547</v>
      </c>
      <c r="E10" s="41">
        <v>514</v>
      </c>
      <c r="F10" s="41">
        <v>3042</v>
      </c>
    </row>
    <row r="11" spans="1:6" x14ac:dyDescent="0.3">
      <c r="A11" s="57">
        <v>45488</v>
      </c>
      <c r="B11" s="41">
        <v>-164</v>
      </c>
      <c r="C11" s="41">
        <v>1845</v>
      </c>
      <c r="D11" s="41">
        <v>429</v>
      </c>
      <c r="E11" s="41">
        <v>160</v>
      </c>
      <c r="F11" s="41">
        <v>2270</v>
      </c>
    </row>
    <row r="12" spans="1:6" x14ac:dyDescent="0.3">
      <c r="A12" s="57">
        <v>45495</v>
      </c>
      <c r="B12" s="41">
        <v>961</v>
      </c>
      <c r="C12" s="41">
        <v>159</v>
      </c>
      <c r="D12" s="41">
        <v>1316</v>
      </c>
      <c r="E12" s="41">
        <v>317</v>
      </c>
      <c r="F12" s="41">
        <v>2753</v>
      </c>
    </row>
    <row r="13" spans="1:6" x14ac:dyDescent="0.3">
      <c r="A13" s="57">
        <v>45502</v>
      </c>
      <c r="B13" s="41">
        <v>-318</v>
      </c>
      <c r="C13" s="41">
        <v>541</v>
      </c>
      <c r="D13" s="41">
        <v>1495</v>
      </c>
      <c r="E13" s="41">
        <v>475</v>
      </c>
      <c r="F13" s="41">
        <v>2193</v>
      </c>
    </row>
    <row r="14" spans="1:6" x14ac:dyDescent="0.3">
      <c r="A14" s="57">
        <v>45509</v>
      </c>
      <c r="B14" s="41">
        <v>-197</v>
      </c>
      <c r="C14" s="41">
        <v>352</v>
      </c>
      <c r="D14" s="41">
        <v>328</v>
      </c>
      <c r="E14" s="41">
        <v>319</v>
      </c>
      <c r="F14" s="41">
        <v>802</v>
      </c>
    </row>
    <row r="15" spans="1:6" x14ac:dyDescent="0.3">
      <c r="A15" s="57">
        <v>45516</v>
      </c>
      <c r="B15" s="41">
        <v>1334</v>
      </c>
      <c r="C15" s="41">
        <v>1325</v>
      </c>
      <c r="D15" s="41">
        <v>37</v>
      </c>
      <c r="E15" s="41">
        <v>1032</v>
      </c>
      <c r="F15" s="41">
        <v>3728</v>
      </c>
    </row>
    <row r="16" spans="1:6" x14ac:dyDescent="0.3">
      <c r="A16" s="57">
        <v>45523</v>
      </c>
      <c r="B16" s="41">
        <v>1058</v>
      </c>
      <c r="C16" s="41">
        <v>76</v>
      </c>
      <c r="D16" s="41">
        <v>1665</v>
      </c>
      <c r="E16" s="41">
        <v>190</v>
      </c>
      <c r="F16" s="41">
        <v>2989</v>
      </c>
    </row>
    <row r="17" spans="1:6" x14ac:dyDescent="0.3">
      <c r="A17" s="57">
        <v>45530</v>
      </c>
      <c r="B17" s="41">
        <v>37</v>
      </c>
      <c r="C17" s="41">
        <v>1609</v>
      </c>
      <c r="D17" s="41">
        <v>1229</v>
      </c>
      <c r="E17" s="41">
        <v>28</v>
      </c>
      <c r="F17" s="41">
        <v>2903</v>
      </c>
    </row>
    <row r="18" spans="1:6" x14ac:dyDescent="0.3">
      <c r="A18" s="57">
        <v>45537</v>
      </c>
      <c r="B18" s="41">
        <v>1045</v>
      </c>
      <c r="C18" s="41">
        <v>1247</v>
      </c>
      <c r="D18" s="41">
        <v>197</v>
      </c>
      <c r="E18" s="41">
        <v>333</v>
      </c>
      <c r="F18" s="41">
        <v>2822</v>
      </c>
    </row>
    <row r="19" spans="1:6" x14ac:dyDescent="0.3">
      <c r="A19" s="57">
        <v>45544</v>
      </c>
      <c r="B19" s="41">
        <v>1428</v>
      </c>
      <c r="C19" s="41">
        <v>1572</v>
      </c>
      <c r="D19" s="41">
        <v>260</v>
      </c>
      <c r="E19" s="41">
        <v>1100</v>
      </c>
      <c r="F19" s="41">
        <v>4360</v>
      </c>
    </row>
    <row r="20" spans="1:6" x14ac:dyDescent="0.3">
      <c r="A20" s="57">
        <v>45551</v>
      </c>
      <c r="B20" s="41">
        <v>98</v>
      </c>
      <c r="C20" s="41">
        <v>377</v>
      </c>
      <c r="D20" s="41">
        <v>1125</v>
      </c>
      <c r="E20" s="41">
        <v>-32</v>
      </c>
      <c r="F20" s="41">
        <v>1568</v>
      </c>
    </row>
    <row r="21" spans="1:6" x14ac:dyDescent="0.3">
      <c r="A21" s="57">
        <v>45558</v>
      </c>
      <c r="B21" s="41">
        <v>-19</v>
      </c>
      <c r="C21" s="41">
        <v>666</v>
      </c>
      <c r="D21" s="41">
        <v>1680</v>
      </c>
      <c r="E21" s="41">
        <v>1006</v>
      </c>
      <c r="F21" s="41">
        <v>3333</v>
      </c>
    </row>
    <row r="22" spans="1:6" x14ac:dyDescent="0.3">
      <c r="A22" s="57">
        <v>45565</v>
      </c>
      <c r="B22" s="41">
        <v>-179</v>
      </c>
      <c r="C22" s="41">
        <v>1025</v>
      </c>
      <c r="D22" s="41">
        <v>599</v>
      </c>
      <c r="E22" s="41">
        <v>1706</v>
      </c>
      <c r="F22" s="41">
        <v>3151</v>
      </c>
    </row>
    <row r="23" spans="1:6" x14ac:dyDescent="0.3">
      <c r="A23" s="57">
        <v>45572</v>
      </c>
      <c r="B23" s="41">
        <v>1662</v>
      </c>
      <c r="C23" s="41">
        <v>1872</v>
      </c>
      <c r="D23" s="41">
        <v>107</v>
      </c>
      <c r="E23" s="41">
        <v>118</v>
      </c>
      <c r="F23" s="41">
        <v>3759</v>
      </c>
    </row>
    <row r="24" spans="1:6" x14ac:dyDescent="0.3">
      <c r="A24" s="57">
        <v>45579</v>
      </c>
      <c r="B24" s="41">
        <v>285</v>
      </c>
      <c r="C24" s="41">
        <v>1224</v>
      </c>
      <c r="D24" s="41">
        <v>-20</v>
      </c>
      <c r="E24" s="41">
        <v>367</v>
      </c>
      <c r="F24" s="41">
        <v>1856</v>
      </c>
    </row>
    <row r="25" spans="1:6" x14ac:dyDescent="0.3">
      <c r="A25" s="57">
        <v>45586</v>
      </c>
      <c r="B25" s="41">
        <v>439</v>
      </c>
      <c r="C25" s="41">
        <v>262</v>
      </c>
      <c r="D25" s="41">
        <v>636</v>
      </c>
      <c r="E25" s="41">
        <v>1484</v>
      </c>
      <c r="F25" s="41">
        <v>2821</v>
      </c>
    </row>
    <row r="26" spans="1:6" x14ac:dyDescent="0.3">
      <c r="A26" s="57">
        <v>45593</v>
      </c>
      <c r="B26" s="41">
        <v>386</v>
      </c>
      <c r="C26" s="41">
        <v>576</v>
      </c>
      <c r="D26" s="41">
        <v>37</v>
      </c>
      <c r="E26" s="41">
        <v>1657</v>
      </c>
      <c r="F26" s="41">
        <v>2656</v>
      </c>
    </row>
    <row r="27" spans="1:6" x14ac:dyDescent="0.3">
      <c r="A27" s="57">
        <v>45600</v>
      </c>
      <c r="B27" s="41">
        <v>540</v>
      </c>
      <c r="C27" s="41">
        <v>1397</v>
      </c>
      <c r="D27" s="41">
        <v>1603</v>
      </c>
      <c r="E27" s="41">
        <v>1044</v>
      </c>
      <c r="F27" s="41">
        <v>4584</v>
      </c>
    </row>
    <row r="28" spans="1:6" x14ac:dyDescent="0.3">
      <c r="A28" s="57">
        <v>45607</v>
      </c>
      <c r="B28" s="41">
        <v>-106</v>
      </c>
      <c r="C28" s="41">
        <v>902</v>
      </c>
      <c r="D28" s="41">
        <v>1150</v>
      </c>
      <c r="E28" s="41">
        <v>349</v>
      </c>
      <c r="F28" s="41">
        <v>2295</v>
      </c>
    </row>
    <row r="29" spans="1:6" x14ac:dyDescent="0.3">
      <c r="A29" s="57">
        <v>45614</v>
      </c>
      <c r="B29" s="41">
        <v>72</v>
      </c>
      <c r="C29" s="41">
        <v>-49</v>
      </c>
      <c r="D29" s="41">
        <v>445</v>
      </c>
      <c r="E29" s="41">
        <v>60</v>
      </c>
      <c r="F29" s="41">
        <v>528</v>
      </c>
    </row>
    <row r="30" spans="1:6" x14ac:dyDescent="0.3">
      <c r="A30" s="57">
        <v>45621</v>
      </c>
      <c r="B30" s="41">
        <v>1332</v>
      </c>
      <c r="C30" s="41">
        <v>1693</v>
      </c>
      <c r="D30" s="41">
        <v>98</v>
      </c>
      <c r="E30" s="41">
        <v>885</v>
      </c>
      <c r="F30" s="41">
        <v>4008</v>
      </c>
    </row>
    <row r="31" spans="1:6" x14ac:dyDescent="0.3">
      <c r="A31" s="57">
        <v>45628</v>
      </c>
      <c r="B31" s="41">
        <v>1706</v>
      </c>
      <c r="C31" s="41">
        <v>1625</v>
      </c>
      <c r="D31" s="41">
        <v>1173</v>
      </c>
      <c r="E31" s="41">
        <v>291</v>
      </c>
      <c r="F31" s="41">
        <v>4795</v>
      </c>
    </row>
    <row r="32" spans="1:6" x14ac:dyDescent="0.3">
      <c r="A32" s="57">
        <v>45635</v>
      </c>
      <c r="B32" s="41">
        <v>1373</v>
      </c>
      <c r="C32" s="41">
        <v>1119</v>
      </c>
      <c r="D32" s="41">
        <v>1727</v>
      </c>
      <c r="E32" s="41">
        <v>573</v>
      </c>
      <c r="F32" s="41">
        <v>4792</v>
      </c>
    </row>
    <row r="33" spans="1:6" x14ac:dyDescent="0.3">
      <c r="A33" s="57">
        <v>45642</v>
      </c>
      <c r="B33" s="41">
        <v>1377</v>
      </c>
      <c r="C33" s="41">
        <v>1432</v>
      </c>
      <c r="D33" s="41">
        <v>1359</v>
      </c>
      <c r="E33" s="41">
        <v>876</v>
      </c>
      <c r="F33" s="41">
        <v>5044</v>
      </c>
    </row>
    <row r="34" spans="1:6" x14ac:dyDescent="0.3">
      <c r="A34" s="57">
        <v>45649</v>
      </c>
      <c r="B34" s="41">
        <v>730</v>
      </c>
      <c r="C34" s="41">
        <v>684</v>
      </c>
      <c r="D34" s="41">
        <v>911</v>
      </c>
      <c r="E34" s="41">
        <v>1589</v>
      </c>
      <c r="F34" s="41">
        <v>3914</v>
      </c>
    </row>
    <row r="35" spans="1:6" x14ac:dyDescent="0.3">
      <c r="A35" s="57">
        <v>45656</v>
      </c>
      <c r="B35" s="41">
        <v>1776</v>
      </c>
      <c r="C35" s="41">
        <v>1765</v>
      </c>
      <c r="D35" s="41">
        <v>1529</v>
      </c>
      <c r="E35" s="41">
        <v>1460</v>
      </c>
      <c r="F35" s="41">
        <v>6530</v>
      </c>
    </row>
    <row r="36" spans="1:6" x14ac:dyDescent="0.3">
      <c r="A36" s="57">
        <v>45663</v>
      </c>
      <c r="B36" s="41">
        <v>620</v>
      </c>
      <c r="C36" s="41">
        <v>903</v>
      </c>
      <c r="D36" s="41">
        <v>1188</v>
      </c>
      <c r="E36" s="41">
        <v>846</v>
      </c>
      <c r="F36" s="41">
        <v>3557</v>
      </c>
    </row>
    <row r="37" spans="1:6" x14ac:dyDescent="0.3">
      <c r="A37" s="57">
        <v>45670</v>
      </c>
      <c r="B37" s="41">
        <v>298</v>
      </c>
      <c r="C37" s="41">
        <v>1722</v>
      </c>
      <c r="D37" s="41">
        <v>-144</v>
      </c>
      <c r="E37" s="41">
        <v>901</v>
      </c>
      <c r="F37" s="41">
        <v>2777</v>
      </c>
    </row>
    <row r="38" spans="1:6" x14ac:dyDescent="0.3">
      <c r="A38" s="57">
        <v>45677</v>
      </c>
      <c r="B38" s="41">
        <v>427</v>
      </c>
      <c r="C38" s="41">
        <v>1572</v>
      </c>
      <c r="D38" s="41">
        <v>891</v>
      </c>
      <c r="E38" s="41">
        <v>724</v>
      </c>
      <c r="F38" s="41">
        <v>3614</v>
      </c>
    </row>
    <row r="39" spans="1:6" x14ac:dyDescent="0.3">
      <c r="A39" s="57">
        <v>45684</v>
      </c>
      <c r="B39" s="41">
        <v>898</v>
      </c>
      <c r="C39" s="41">
        <v>-166</v>
      </c>
      <c r="D39" s="41">
        <v>1426</v>
      </c>
      <c r="E39" s="41">
        <v>1225</v>
      </c>
      <c r="F39" s="41">
        <v>3383</v>
      </c>
    </row>
    <row r="40" spans="1:6" x14ac:dyDescent="0.3">
      <c r="A40" s="57">
        <v>45691</v>
      </c>
      <c r="B40" s="41">
        <v>748</v>
      </c>
      <c r="C40" s="41">
        <v>1080</v>
      </c>
      <c r="D40" s="41">
        <v>569</v>
      </c>
      <c r="E40" s="41">
        <v>-203</v>
      </c>
      <c r="F40" s="41">
        <v>2194</v>
      </c>
    </row>
    <row r="41" spans="1:6" x14ac:dyDescent="0.3">
      <c r="A41" s="57">
        <v>45698</v>
      </c>
      <c r="B41" s="41">
        <v>912</v>
      </c>
      <c r="C41" s="41">
        <v>1723</v>
      </c>
      <c r="D41" s="41">
        <v>1202</v>
      </c>
      <c r="E41" s="41">
        <v>1444</v>
      </c>
      <c r="F41" s="41">
        <v>5281</v>
      </c>
    </row>
    <row r="42" spans="1:6" x14ac:dyDescent="0.3">
      <c r="A42" s="57">
        <v>45705</v>
      </c>
      <c r="B42" s="41">
        <v>1590</v>
      </c>
      <c r="C42" s="41">
        <v>965</v>
      </c>
      <c r="D42" s="41">
        <v>-37</v>
      </c>
      <c r="E42" s="41">
        <v>1175</v>
      </c>
      <c r="F42" s="41">
        <v>3693</v>
      </c>
    </row>
    <row r="43" spans="1:6" x14ac:dyDescent="0.3">
      <c r="A43" s="57">
        <v>45712</v>
      </c>
      <c r="B43" s="41">
        <v>1707</v>
      </c>
      <c r="C43" s="41">
        <v>1375</v>
      </c>
      <c r="D43" s="41">
        <v>708</v>
      </c>
      <c r="E43" s="41">
        <v>1016</v>
      </c>
      <c r="F43" s="41">
        <v>4806</v>
      </c>
    </row>
    <row r="44" spans="1:6" x14ac:dyDescent="0.3">
      <c r="A44" s="57">
        <v>45719</v>
      </c>
      <c r="B44" s="41">
        <v>-119</v>
      </c>
      <c r="C44" s="41">
        <v>1315</v>
      </c>
      <c r="D44" s="41">
        <v>899</v>
      </c>
      <c r="E44" s="41">
        <v>315</v>
      </c>
      <c r="F44" s="41">
        <v>2410</v>
      </c>
    </row>
    <row r="45" spans="1:6" x14ac:dyDescent="0.3">
      <c r="A45" s="57">
        <v>45726</v>
      </c>
      <c r="B45" s="41">
        <v>908</v>
      </c>
      <c r="C45" s="41">
        <v>212</v>
      </c>
      <c r="D45" s="41">
        <v>1350</v>
      </c>
      <c r="E45" s="41">
        <v>1242</v>
      </c>
      <c r="F45" s="41">
        <v>3712</v>
      </c>
    </row>
    <row r="46" spans="1:6" x14ac:dyDescent="0.3">
      <c r="A46" s="57">
        <v>45733</v>
      </c>
      <c r="B46" s="41">
        <v>1116</v>
      </c>
      <c r="C46" s="41">
        <v>680</v>
      </c>
      <c r="D46" s="41">
        <v>861</v>
      </c>
      <c r="E46" s="41">
        <v>1385</v>
      </c>
      <c r="F46" s="41">
        <v>4042</v>
      </c>
    </row>
    <row r="47" spans="1:6" x14ac:dyDescent="0.3">
      <c r="A47" s="57">
        <v>45740</v>
      </c>
      <c r="B47" s="41">
        <v>474</v>
      </c>
      <c r="C47" s="41">
        <v>461</v>
      </c>
      <c r="D47" s="41">
        <v>292</v>
      </c>
      <c r="E47" s="41">
        <v>389</v>
      </c>
      <c r="F47" s="41">
        <v>1616</v>
      </c>
    </row>
    <row r="48" spans="1:6" x14ac:dyDescent="0.3">
      <c r="A48" s="57">
        <v>45747</v>
      </c>
      <c r="B48" s="41">
        <v>514</v>
      </c>
      <c r="C48" s="41">
        <v>641</v>
      </c>
      <c r="D48" s="41">
        <v>1676</v>
      </c>
      <c r="E48" s="41">
        <v>1467</v>
      </c>
      <c r="F48" s="41">
        <v>4298</v>
      </c>
    </row>
    <row r="49" spans="1:6" x14ac:dyDescent="0.3">
      <c r="A49" s="57">
        <v>45754</v>
      </c>
      <c r="B49" s="41">
        <v>1029</v>
      </c>
      <c r="C49" s="41">
        <v>167</v>
      </c>
      <c r="D49" s="41">
        <v>1007</v>
      </c>
      <c r="E49" s="41">
        <v>209</v>
      </c>
      <c r="F49" s="41">
        <v>2412</v>
      </c>
    </row>
    <row r="50" spans="1:6" x14ac:dyDescent="0.3">
      <c r="A50" s="57">
        <v>45761</v>
      </c>
      <c r="B50" s="41">
        <v>-175</v>
      </c>
      <c r="C50" s="41">
        <v>-160</v>
      </c>
      <c r="D50" s="41">
        <v>53</v>
      </c>
      <c r="E50" s="41">
        <v>145</v>
      </c>
      <c r="F50" s="41">
        <v>-137</v>
      </c>
    </row>
    <row r="51" spans="1:6" x14ac:dyDescent="0.3">
      <c r="A51" s="57">
        <v>45768</v>
      </c>
      <c r="B51" s="41">
        <v>1045</v>
      </c>
      <c r="C51" s="41">
        <v>603</v>
      </c>
      <c r="D51" s="41">
        <v>759</v>
      </c>
      <c r="E51" s="41">
        <v>1633</v>
      </c>
      <c r="F51" s="41">
        <v>4040</v>
      </c>
    </row>
    <row r="52" spans="1:6" x14ac:dyDescent="0.3">
      <c r="A52" s="57">
        <v>45775</v>
      </c>
      <c r="B52" s="41">
        <v>453</v>
      </c>
      <c r="C52" s="41">
        <v>1539</v>
      </c>
      <c r="D52" s="41">
        <v>948</v>
      </c>
      <c r="E52" s="41">
        <v>637</v>
      </c>
      <c r="F52" s="41">
        <v>3577</v>
      </c>
    </row>
    <row r="53" spans="1:6" x14ac:dyDescent="0.3">
      <c r="A53" s="57">
        <v>45782</v>
      </c>
      <c r="B53" s="41">
        <v>339</v>
      </c>
      <c r="C53" s="41">
        <v>1881</v>
      </c>
      <c r="D53" s="41">
        <v>1510</v>
      </c>
      <c r="E53" s="41">
        <v>864</v>
      </c>
      <c r="F53" s="41">
        <v>4594</v>
      </c>
    </row>
    <row r="54" spans="1:6" x14ac:dyDescent="0.3">
      <c r="A54" s="57">
        <v>45789</v>
      </c>
      <c r="B54" s="41">
        <v>407</v>
      </c>
      <c r="C54" s="41">
        <v>1656</v>
      </c>
      <c r="D54" s="41">
        <v>269</v>
      </c>
      <c r="E54" s="41">
        <v>-337</v>
      </c>
      <c r="F54" s="41">
        <v>1995</v>
      </c>
    </row>
    <row r="55" spans="1:6" x14ac:dyDescent="0.3">
      <c r="A55" s="57" t="s">
        <v>622</v>
      </c>
      <c r="B55" s="41">
        <v>35557</v>
      </c>
      <c r="C55" s="41">
        <v>48004</v>
      </c>
      <c r="D55" s="41">
        <v>41177</v>
      </c>
      <c r="E55" s="41">
        <v>35367</v>
      </c>
      <c r="F55" s="41">
        <v>160105</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368AE-D0A2-4A4E-A6A2-8C439DB68B79}">
  <sheetPr codeName="Sheet15"/>
  <dimension ref="A1:K17"/>
  <sheetViews>
    <sheetView zoomScale="117" workbookViewId="0">
      <selection activeCell="B2" sqref="B2:B6"/>
    </sheetView>
  </sheetViews>
  <sheetFormatPr defaultRowHeight="14.4" x14ac:dyDescent="0.3"/>
  <cols>
    <col min="1" max="1" width="16.77734375" customWidth="1"/>
    <col min="2" max="2" width="9.5546875" bestFit="1" customWidth="1"/>
  </cols>
  <sheetData>
    <row r="1" spans="1:11" ht="15" thickBot="1" x14ac:dyDescent="0.35">
      <c r="A1" s="51" t="s">
        <v>643</v>
      </c>
      <c r="B1" s="52" t="s">
        <v>644</v>
      </c>
    </row>
    <row r="2" spans="1:11" x14ac:dyDescent="0.3">
      <c r="A2" s="49" t="s">
        <v>19</v>
      </c>
      <c r="B2" s="50">
        <v>13523</v>
      </c>
    </row>
    <row r="3" spans="1:11" x14ac:dyDescent="0.3">
      <c r="A3" s="47" t="s">
        <v>25</v>
      </c>
      <c r="B3" s="48">
        <v>109446</v>
      </c>
    </row>
    <row r="4" spans="1:11" x14ac:dyDescent="0.3">
      <c r="A4" s="47" t="s">
        <v>31</v>
      </c>
      <c r="B4" s="48">
        <v>10087</v>
      </c>
    </row>
    <row r="5" spans="1:11" ht="15" thickBot="1" x14ac:dyDescent="0.35">
      <c r="A5" s="55" t="s">
        <v>38</v>
      </c>
      <c r="B5" s="53">
        <v>16078</v>
      </c>
    </row>
    <row r="6" spans="1:11" ht="15" thickBot="1" x14ac:dyDescent="0.35">
      <c r="A6" s="56" t="s">
        <v>653</v>
      </c>
      <c r="B6" s="54">
        <f>SUM(B2:B5)</f>
        <v>149134</v>
      </c>
    </row>
    <row r="16" spans="1:11" x14ac:dyDescent="0.3">
      <c r="D16" s="68" t="s">
        <v>645</v>
      </c>
      <c r="E16" s="68"/>
      <c r="F16" s="68"/>
      <c r="G16" s="68"/>
      <c r="H16" s="68"/>
      <c r="I16" s="68"/>
      <c r="J16" s="68"/>
      <c r="K16" s="68"/>
    </row>
    <row r="17" spans="4:11" x14ac:dyDescent="0.3">
      <c r="D17" s="68"/>
      <c r="E17" s="68"/>
      <c r="F17" s="68"/>
      <c r="G17" s="68"/>
      <c r="H17" s="68"/>
      <c r="I17" s="68"/>
      <c r="J17" s="68"/>
      <c r="K17" s="68"/>
    </row>
  </sheetData>
  <mergeCells count="1">
    <mergeCell ref="D16:K17"/>
  </mergeCells>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A13BC-BFB3-41E6-B669-3699D3FA2CE9}">
  <sheetPr codeName="Sheet16"/>
  <dimension ref="A3:M27"/>
  <sheetViews>
    <sheetView zoomScale="102" workbookViewId="0">
      <selection activeCell="B14" sqref="B14"/>
    </sheetView>
  </sheetViews>
  <sheetFormatPr defaultRowHeight="14.4" x14ac:dyDescent="0.3"/>
  <cols>
    <col min="1" max="1" width="12.88671875" bestFit="1" customWidth="1"/>
    <col min="2" max="2" width="22.5546875" bestFit="1" customWidth="1"/>
    <col min="3" max="3" width="9.44140625" bestFit="1" customWidth="1"/>
    <col min="4" max="4" width="7" bestFit="1" customWidth="1"/>
    <col min="5" max="5" width="8.44140625" bestFit="1" customWidth="1"/>
    <col min="6" max="6" width="10.77734375" bestFit="1" customWidth="1"/>
  </cols>
  <sheetData>
    <row r="3" spans="1:2" x14ac:dyDescent="0.3">
      <c r="A3" s="38" t="s">
        <v>621</v>
      </c>
      <c r="B3" t="s">
        <v>637</v>
      </c>
    </row>
    <row r="4" spans="1:2" x14ac:dyDescent="0.3">
      <c r="A4" s="39" t="s">
        <v>43</v>
      </c>
      <c r="B4" s="36">
        <v>5.6172953917649152E-3</v>
      </c>
    </row>
    <row r="5" spans="1:2" x14ac:dyDescent="0.3">
      <c r="A5" s="39" t="s">
        <v>33</v>
      </c>
      <c r="B5" s="36">
        <v>5.8423705678845419E-3</v>
      </c>
    </row>
    <row r="6" spans="1:2" x14ac:dyDescent="0.3">
      <c r="A6" s="39" t="s">
        <v>14</v>
      </c>
      <c r="B6" s="36">
        <v>9.8462444971903259E-3</v>
      </c>
    </row>
    <row r="7" spans="1:2" x14ac:dyDescent="0.3">
      <c r="A7" s="39" t="s">
        <v>27</v>
      </c>
      <c r="B7" s="36">
        <v>9.4326224481468494E-3</v>
      </c>
    </row>
    <row r="8" spans="1:2" x14ac:dyDescent="0.3">
      <c r="A8" s="39" t="s">
        <v>622</v>
      </c>
      <c r="B8" s="36">
        <v>7.6846332262466618E-3</v>
      </c>
    </row>
    <row r="26" spans="4:13" x14ac:dyDescent="0.3">
      <c r="D26" s="65" t="s">
        <v>646</v>
      </c>
      <c r="E26" s="65"/>
      <c r="F26" s="65"/>
      <c r="G26" s="65"/>
      <c r="H26" s="65"/>
      <c r="I26" s="65"/>
      <c r="J26" s="65"/>
      <c r="K26" s="65"/>
      <c r="L26" s="65"/>
      <c r="M26" s="65"/>
    </row>
    <row r="27" spans="4:13" x14ac:dyDescent="0.3">
      <c r="D27" s="65"/>
      <c r="E27" s="65"/>
      <c r="F27" s="65"/>
      <c r="G27" s="65"/>
      <c r="H27" s="65"/>
      <c r="I27" s="65"/>
      <c r="J27" s="65"/>
      <c r="K27" s="65"/>
      <c r="L27" s="65"/>
      <c r="M27" s="65"/>
    </row>
  </sheetData>
  <mergeCells count="1">
    <mergeCell ref="D26:M27"/>
  </mergeCell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7">
    <tabColor rgb="FFFF0000"/>
  </sheetPr>
  <dimension ref="A1:H1000"/>
  <sheetViews>
    <sheetView topLeftCell="A8" workbookViewId="0">
      <selection activeCell="B34" sqref="B34"/>
    </sheetView>
  </sheetViews>
  <sheetFormatPr defaultColWidth="14.44140625" defaultRowHeight="15" customHeight="1" x14ac:dyDescent="0.3"/>
  <cols>
    <col min="1" max="26" width="17.6640625" customWidth="1"/>
  </cols>
  <sheetData>
    <row r="1" spans="1:8" ht="14.25" customHeight="1" x14ac:dyDescent="0.3">
      <c r="A1" s="1" t="s">
        <v>12</v>
      </c>
      <c r="B1" s="2" t="s">
        <v>591</v>
      </c>
      <c r="C1" s="1" t="s">
        <v>592</v>
      </c>
      <c r="D1" s="1" t="s">
        <v>593</v>
      </c>
      <c r="E1" s="2" t="s">
        <v>594</v>
      </c>
      <c r="F1" s="1" t="s">
        <v>595</v>
      </c>
      <c r="G1" s="2" t="s">
        <v>596</v>
      </c>
      <c r="H1" s="5"/>
    </row>
    <row r="2" spans="1:8" ht="14.25" customHeight="1" x14ac:dyDescent="0.3">
      <c r="A2" s="6" t="s">
        <v>19</v>
      </c>
      <c r="B2" s="7" t="s">
        <v>597</v>
      </c>
      <c r="C2" s="6" t="s">
        <v>315</v>
      </c>
      <c r="D2" s="6" t="s">
        <v>598</v>
      </c>
      <c r="E2" s="7">
        <v>150000</v>
      </c>
      <c r="F2" s="6" t="s">
        <v>599</v>
      </c>
      <c r="G2" s="7" t="s">
        <v>41</v>
      </c>
    </row>
    <row r="3" spans="1:8" ht="14.25" customHeight="1" x14ac:dyDescent="0.3">
      <c r="A3" s="6" t="s">
        <v>25</v>
      </c>
      <c r="B3" s="7" t="s">
        <v>600</v>
      </c>
      <c r="C3" s="6" t="s">
        <v>44</v>
      </c>
      <c r="D3" s="6" t="s">
        <v>601</v>
      </c>
      <c r="E3" s="7">
        <v>200000</v>
      </c>
      <c r="F3" s="6" t="s">
        <v>602</v>
      </c>
      <c r="G3" s="7" t="s">
        <v>603</v>
      </c>
    </row>
    <row r="4" spans="1:8" ht="14.25" customHeight="1" x14ac:dyDescent="0.3">
      <c r="A4" s="6" t="s">
        <v>31</v>
      </c>
      <c r="B4" s="7" t="s">
        <v>604</v>
      </c>
      <c r="C4" s="6" t="s">
        <v>230</v>
      </c>
      <c r="D4" s="6" t="s">
        <v>605</v>
      </c>
      <c r="E4" s="7">
        <v>250000</v>
      </c>
      <c r="F4" s="6" t="s">
        <v>606</v>
      </c>
      <c r="G4" s="7" t="s">
        <v>607</v>
      </c>
    </row>
    <row r="5" spans="1:8" ht="14.25" customHeight="1" x14ac:dyDescent="0.3">
      <c r="A5" s="6" t="s">
        <v>38</v>
      </c>
      <c r="B5" s="7" t="s">
        <v>608</v>
      </c>
      <c r="C5" s="6" t="s">
        <v>588</v>
      </c>
      <c r="D5" s="6" t="s">
        <v>609</v>
      </c>
      <c r="E5" s="7">
        <v>180000</v>
      </c>
      <c r="F5" s="6" t="s">
        <v>610</v>
      </c>
      <c r="G5" s="7" t="s">
        <v>611</v>
      </c>
    </row>
    <row r="6" spans="1:8" ht="14.25" customHeight="1" x14ac:dyDescent="0.3">
      <c r="B6" s="8"/>
      <c r="E6" s="8"/>
      <c r="G6" s="8"/>
    </row>
    <row r="7" spans="1:8" ht="14.25" customHeight="1" x14ac:dyDescent="0.3">
      <c r="B7" s="8"/>
      <c r="E7" s="8"/>
      <c r="G7" s="8"/>
    </row>
    <row r="8" spans="1:8" ht="14.25" customHeight="1" x14ac:dyDescent="0.3">
      <c r="B8" s="8"/>
      <c r="E8" s="8"/>
      <c r="G8" s="8"/>
    </row>
    <row r="9" spans="1:8" ht="14.25" customHeight="1" x14ac:dyDescent="0.3">
      <c r="B9" s="8"/>
      <c r="E9" s="8"/>
      <c r="G9" s="8"/>
    </row>
    <row r="10" spans="1:8" ht="14.25" customHeight="1" x14ac:dyDescent="0.3">
      <c r="B10" s="8"/>
      <c r="E10" s="8"/>
      <c r="G10" s="8"/>
    </row>
    <row r="11" spans="1:8" ht="14.25" customHeight="1" x14ac:dyDescent="0.3">
      <c r="B11" s="8"/>
      <c r="E11" s="8"/>
      <c r="G11" s="8"/>
    </row>
    <row r="12" spans="1:8" ht="14.25" customHeight="1" x14ac:dyDescent="0.3">
      <c r="B12" s="8"/>
      <c r="E12" s="8"/>
      <c r="G12" s="8"/>
    </row>
    <row r="13" spans="1:8" ht="14.25" customHeight="1" x14ac:dyDescent="0.3">
      <c r="B13" s="8"/>
      <c r="E13" s="8"/>
      <c r="G13" s="8"/>
    </row>
    <row r="14" spans="1:8" ht="14.25" customHeight="1" x14ac:dyDescent="0.3">
      <c r="B14" s="8"/>
      <c r="E14" s="8"/>
      <c r="G14" s="8"/>
    </row>
    <row r="15" spans="1:8" ht="14.25" customHeight="1" x14ac:dyDescent="0.3">
      <c r="B15" s="8"/>
      <c r="E15" s="8"/>
      <c r="G15" s="8"/>
    </row>
    <row r="16" spans="1:8" ht="14.25" customHeight="1" x14ac:dyDescent="0.3">
      <c r="B16" s="8"/>
      <c r="E16" s="8"/>
      <c r="G16" s="8"/>
    </row>
    <row r="17" spans="2:7" ht="14.25" customHeight="1" x14ac:dyDescent="0.3">
      <c r="B17" s="8"/>
      <c r="E17" s="8"/>
      <c r="G17" s="8"/>
    </row>
    <row r="18" spans="2:7" ht="14.25" customHeight="1" x14ac:dyDescent="0.3">
      <c r="B18" s="8"/>
      <c r="E18" s="8"/>
      <c r="G18" s="8"/>
    </row>
    <row r="19" spans="2:7" ht="14.25" customHeight="1" x14ac:dyDescent="0.3">
      <c r="B19" s="8"/>
      <c r="E19" s="8"/>
      <c r="G19" s="8"/>
    </row>
    <row r="20" spans="2:7" ht="14.25" customHeight="1" x14ac:dyDescent="0.3">
      <c r="B20" s="8"/>
      <c r="E20" s="8"/>
      <c r="G20" s="8"/>
    </row>
    <row r="21" spans="2:7" ht="14.25" customHeight="1" x14ac:dyDescent="0.3">
      <c r="B21" s="8"/>
      <c r="E21" s="8"/>
      <c r="G21" s="8"/>
    </row>
    <row r="22" spans="2:7" ht="14.25" customHeight="1" x14ac:dyDescent="0.3">
      <c r="B22" s="8"/>
      <c r="E22" s="8"/>
      <c r="G22" s="8"/>
    </row>
    <row r="23" spans="2:7" ht="14.25" customHeight="1" x14ac:dyDescent="0.3">
      <c r="B23" s="8"/>
      <c r="E23" s="8"/>
      <c r="G23" s="8"/>
    </row>
    <row r="24" spans="2:7" ht="14.25" customHeight="1" x14ac:dyDescent="0.3">
      <c r="B24" s="8"/>
      <c r="E24" s="8"/>
      <c r="G24" s="8"/>
    </row>
    <row r="25" spans="2:7" ht="14.25" customHeight="1" x14ac:dyDescent="0.3">
      <c r="B25" s="8"/>
      <c r="E25" s="8"/>
      <c r="G25" s="8"/>
    </row>
    <row r="26" spans="2:7" ht="14.25" customHeight="1" x14ac:dyDescent="0.3">
      <c r="B26" s="8"/>
      <c r="E26" s="8"/>
      <c r="G26" s="8"/>
    </row>
    <row r="27" spans="2:7" ht="14.25" customHeight="1" x14ac:dyDescent="0.3">
      <c r="B27" s="8"/>
      <c r="E27" s="8"/>
      <c r="G27" s="8"/>
    </row>
    <row r="28" spans="2:7" ht="14.25" customHeight="1" x14ac:dyDescent="0.3">
      <c r="B28" s="8"/>
      <c r="E28" s="8"/>
      <c r="G28" s="8"/>
    </row>
    <row r="29" spans="2:7" ht="14.25" customHeight="1" x14ac:dyDescent="0.3">
      <c r="B29" s="8"/>
      <c r="E29" s="8"/>
      <c r="G29" s="8"/>
    </row>
    <row r="30" spans="2:7" ht="14.25" customHeight="1" x14ac:dyDescent="0.3">
      <c r="B30" s="8"/>
      <c r="E30" s="8"/>
      <c r="G30" s="8"/>
    </row>
    <row r="31" spans="2:7" ht="14.25" customHeight="1" x14ac:dyDescent="0.3">
      <c r="B31" s="8"/>
      <c r="E31" s="8"/>
      <c r="G31" s="8"/>
    </row>
    <row r="32" spans="2:7" ht="14.25" customHeight="1" x14ac:dyDescent="0.3">
      <c r="B32" s="8"/>
      <c r="E32" s="8"/>
      <c r="G32" s="8"/>
    </row>
    <row r="33" spans="2:7" ht="14.25" customHeight="1" x14ac:dyDescent="0.3">
      <c r="B33" s="8"/>
      <c r="E33" s="8"/>
      <c r="G33" s="8"/>
    </row>
    <row r="34" spans="2:7" ht="14.25" customHeight="1" x14ac:dyDescent="0.3">
      <c r="B34" s="8"/>
      <c r="E34" s="8"/>
      <c r="G34" s="8"/>
    </row>
    <row r="35" spans="2:7" ht="14.25" customHeight="1" x14ac:dyDescent="0.3">
      <c r="B35" s="8"/>
      <c r="E35" s="8"/>
      <c r="G35" s="8"/>
    </row>
    <row r="36" spans="2:7" ht="14.25" customHeight="1" x14ac:dyDescent="0.3">
      <c r="B36" s="8"/>
      <c r="E36" s="8"/>
      <c r="G36" s="8"/>
    </row>
    <row r="37" spans="2:7" ht="14.25" customHeight="1" x14ac:dyDescent="0.3">
      <c r="B37" s="8"/>
      <c r="E37" s="8"/>
      <c r="G37" s="8"/>
    </row>
    <row r="38" spans="2:7" ht="14.25" customHeight="1" x14ac:dyDescent="0.3">
      <c r="B38" s="8"/>
      <c r="E38" s="8"/>
      <c r="G38" s="8"/>
    </row>
    <row r="39" spans="2:7" ht="14.25" customHeight="1" x14ac:dyDescent="0.3">
      <c r="B39" s="8"/>
      <c r="E39" s="8"/>
      <c r="G39" s="8"/>
    </row>
    <row r="40" spans="2:7" ht="14.25" customHeight="1" x14ac:dyDescent="0.3">
      <c r="B40" s="8"/>
      <c r="E40" s="8"/>
      <c r="G40" s="8"/>
    </row>
    <row r="41" spans="2:7" ht="14.25" customHeight="1" x14ac:dyDescent="0.3">
      <c r="B41" s="8"/>
      <c r="E41" s="8"/>
      <c r="G41" s="8"/>
    </row>
    <row r="42" spans="2:7" ht="14.25" customHeight="1" x14ac:dyDescent="0.3">
      <c r="B42" s="8"/>
      <c r="E42" s="8"/>
      <c r="G42" s="8"/>
    </row>
    <row r="43" spans="2:7" ht="14.25" customHeight="1" x14ac:dyDescent="0.3">
      <c r="B43" s="8"/>
      <c r="E43" s="8"/>
      <c r="G43" s="8"/>
    </row>
    <row r="44" spans="2:7" ht="14.25" customHeight="1" x14ac:dyDescent="0.3">
      <c r="B44" s="8"/>
      <c r="E44" s="8"/>
      <c r="G44" s="8"/>
    </row>
    <row r="45" spans="2:7" ht="14.25" customHeight="1" x14ac:dyDescent="0.3">
      <c r="B45" s="8"/>
      <c r="E45" s="8"/>
      <c r="G45" s="8"/>
    </row>
    <row r="46" spans="2:7" ht="14.25" customHeight="1" x14ac:dyDescent="0.3">
      <c r="B46" s="8"/>
      <c r="E46" s="8"/>
      <c r="G46" s="8"/>
    </row>
    <row r="47" spans="2:7" ht="14.25" customHeight="1" x14ac:dyDescent="0.3">
      <c r="B47" s="8"/>
      <c r="E47" s="8"/>
      <c r="G47" s="8"/>
    </row>
    <row r="48" spans="2:7" ht="14.25" customHeight="1" x14ac:dyDescent="0.3">
      <c r="B48" s="8"/>
      <c r="E48" s="8"/>
      <c r="G48" s="8"/>
    </row>
    <row r="49" spans="2:7" ht="14.25" customHeight="1" x14ac:dyDescent="0.3">
      <c r="B49" s="8"/>
      <c r="E49" s="8"/>
      <c r="G49" s="8"/>
    </row>
    <row r="50" spans="2:7" ht="14.25" customHeight="1" x14ac:dyDescent="0.3">
      <c r="B50" s="8"/>
      <c r="E50" s="8"/>
      <c r="G50" s="8"/>
    </row>
    <row r="51" spans="2:7" ht="14.25" customHeight="1" x14ac:dyDescent="0.3">
      <c r="B51" s="8"/>
      <c r="E51" s="8"/>
      <c r="G51" s="8"/>
    </row>
    <row r="52" spans="2:7" ht="14.25" customHeight="1" x14ac:dyDescent="0.3">
      <c r="B52" s="8"/>
      <c r="E52" s="8"/>
      <c r="G52" s="8"/>
    </row>
    <row r="53" spans="2:7" ht="14.25" customHeight="1" x14ac:dyDescent="0.3">
      <c r="B53" s="8"/>
      <c r="E53" s="8"/>
      <c r="G53" s="8"/>
    </row>
    <row r="54" spans="2:7" ht="14.25" customHeight="1" x14ac:dyDescent="0.3">
      <c r="B54" s="8"/>
      <c r="E54" s="8"/>
      <c r="G54" s="8"/>
    </row>
    <row r="55" spans="2:7" ht="14.25" customHeight="1" x14ac:dyDescent="0.3">
      <c r="B55" s="8"/>
      <c r="E55" s="8"/>
      <c r="G55" s="8"/>
    </row>
    <row r="56" spans="2:7" ht="14.25" customHeight="1" x14ac:dyDescent="0.3">
      <c r="B56" s="8"/>
      <c r="E56" s="8"/>
      <c r="G56" s="8"/>
    </row>
    <row r="57" spans="2:7" ht="14.25" customHeight="1" x14ac:dyDescent="0.3">
      <c r="B57" s="8"/>
      <c r="E57" s="8"/>
      <c r="G57" s="8"/>
    </row>
    <row r="58" spans="2:7" ht="14.25" customHeight="1" x14ac:dyDescent="0.3">
      <c r="B58" s="8"/>
      <c r="E58" s="8"/>
      <c r="G58" s="8"/>
    </row>
    <row r="59" spans="2:7" ht="14.25" customHeight="1" x14ac:dyDescent="0.3">
      <c r="B59" s="8"/>
      <c r="E59" s="8"/>
      <c r="G59" s="8"/>
    </row>
    <row r="60" spans="2:7" ht="14.25" customHeight="1" x14ac:dyDescent="0.3">
      <c r="B60" s="8"/>
      <c r="E60" s="8"/>
      <c r="G60" s="8"/>
    </row>
    <row r="61" spans="2:7" ht="14.25" customHeight="1" x14ac:dyDescent="0.3">
      <c r="B61" s="8"/>
      <c r="E61" s="8"/>
      <c r="G61" s="8"/>
    </row>
    <row r="62" spans="2:7" ht="14.25" customHeight="1" x14ac:dyDescent="0.3">
      <c r="B62" s="8"/>
      <c r="E62" s="8"/>
      <c r="G62" s="8"/>
    </row>
    <row r="63" spans="2:7" ht="14.25" customHeight="1" x14ac:dyDescent="0.3">
      <c r="B63" s="8"/>
      <c r="E63" s="8"/>
      <c r="G63" s="8"/>
    </row>
    <row r="64" spans="2:7" ht="14.25" customHeight="1" x14ac:dyDescent="0.3">
      <c r="B64" s="8"/>
      <c r="E64" s="8"/>
      <c r="G64" s="8"/>
    </row>
    <row r="65" spans="2:7" ht="14.25" customHeight="1" x14ac:dyDescent="0.3">
      <c r="B65" s="8"/>
      <c r="E65" s="8"/>
      <c r="G65" s="8"/>
    </row>
    <row r="66" spans="2:7" ht="14.25" customHeight="1" x14ac:dyDescent="0.3">
      <c r="B66" s="8"/>
      <c r="E66" s="8"/>
      <c r="G66" s="8"/>
    </row>
    <row r="67" spans="2:7" ht="14.25" customHeight="1" x14ac:dyDescent="0.3">
      <c r="B67" s="8"/>
      <c r="E67" s="8"/>
      <c r="G67" s="8"/>
    </row>
    <row r="68" spans="2:7" ht="14.25" customHeight="1" x14ac:dyDescent="0.3">
      <c r="B68" s="8"/>
      <c r="E68" s="8"/>
      <c r="G68" s="8"/>
    </row>
    <row r="69" spans="2:7" ht="14.25" customHeight="1" x14ac:dyDescent="0.3">
      <c r="B69" s="8"/>
      <c r="E69" s="8"/>
      <c r="G69" s="8"/>
    </row>
    <row r="70" spans="2:7" ht="14.25" customHeight="1" x14ac:dyDescent="0.3">
      <c r="B70" s="8"/>
      <c r="E70" s="8"/>
      <c r="G70" s="8"/>
    </row>
    <row r="71" spans="2:7" ht="14.25" customHeight="1" x14ac:dyDescent="0.3">
      <c r="B71" s="8"/>
      <c r="E71" s="8"/>
      <c r="G71" s="8"/>
    </row>
    <row r="72" spans="2:7" ht="14.25" customHeight="1" x14ac:dyDescent="0.3">
      <c r="B72" s="8"/>
      <c r="E72" s="8"/>
      <c r="G72" s="8"/>
    </row>
    <row r="73" spans="2:7" ht="14.25" customHeight="1" x14ac:dyDescent="0.3">
      <c r="B73" s="8"/>
      <c r="E73" s="8"/>
      <c r="G73" s="8"/>
    </row>
    <row r="74" spans="2:7" ht="14.25" customHeight="1" x14ac:dyDescent="0.3">
      <c r="B74" s="8"/>
      <c r="E74" s="8"/>
      <c r="G74" s="8"/>
    </row>
    <row r="75" spans="2:7" ht="14.25" customHeight="1" x14ac:dyDescent="0.3">
      <c r="B75" s="8"/>
      <c r="E75" s="8"/>
      <c r="G75" s="8"/>
    </row>
    <row r="76" spans="2:7" ht="14.25" customHeight="1" x14ac:dyDescent="0.3">
      <c r="B76" s="8"/>
      <c r="E76" s="8"/>
      <c r="G76" s="8"/>
    </row>
    <row r="77" spans="2:7" ht="14.25" customHeight="1" x14ac:dyDescent="0.3">
      <c r="B77" s="8"/>
      <c r="E77" s="8"/>
      <c r="G77" s="8"/>
    </row>
    <row r="78" spans="2:7" ht="14.25" customHeight="1" x14ac:dyDescent="0.3">
      <c r="B78" s="8"/>
      <c r="E78" s="8"/>
      <c r="G78" s="8"/>
    </row>
    <row r="79" spans="2:7" ht="14.25" customHeight="1" x14ac:dyDescent="0.3">
      <c r="B79" s="8"/>
      <c r="E79" s="8"/>
      <c r="G79" s="8"/>
    </row>
    <row r="80" spans="2:7" ht="14.25" customHeight="1" x14ac:dyDescent="0.3">
      <c r="B80" s="8"/>
      <c r="E80" s="8"/>
      <c r="G80" s="8"/>
    </row>
    <row r="81" spans="2:7" ht="14.25" customHeight="1" x14ac:dyDescent="0.3">
      <c r="B81" s="8"/>
      <c r="E81" s="8"/>
      <c r="G81" s="8"/>
    </row>
    <row r="82" spans="2:7" ht="14.25" customHeight="1" x14ac:dyDescent="0.3">
      <c r="B82" s="8"/>
      <c r="E82" s="8"/>
      <c r="G82" s="8"/>
    </row>
    <row r="83" spans="2:7" ht="14.25" customHeight="1" x14ac:dyDescent="0.3">
      <c r="B83" s="8"/>
      <c r="E83" s="8"/>
      <c r="G83" s="8"/>
    </row>
    <row r="84" spans="2:7" ht="14.25" customHeight="1" x14ac:dyDescent="0.3">
      <c r="B84" s="8"/>
      <c r="E84" s="8"/>
      <c r="G84" s="8"/>
    </row>
    <row r="85" spans="2:7" ht="14.25" customHeight="1" x14ac:dyDescent="0.3">
      <c r="B85" s="8"/>
      <c r="E85" s="8"/>
      <c r="G85" s="8"/>
    </row>
    <row r="86" spans="2:7" ht="14.25" customHeight="1" x14ac:dyDescent="0.3">
      <c r="B86" s="8"/>
      <c r="E86" s="8"/>
      <c r="G86" s="8"/>
    </row>
    <row r="87" spans="2:7" ht="14.25" customHeight="1" x14ac:dyDescent="0.3">
      <c r="B87" s="8"/>
      <c r="E87" s="8"/>
      <c r="G87" s="8"/>
    </row>
    <row r="88" spans="2:7" ht="14.25" customHeight="1" x14ac:dyDescent="0.3">
      <c r="B88" s="8"/>
      <c r="E88" s="8"/>
      <c r="G88" s="8"/>
    </row>
    <row r="89" spans="2:7" ht="14.25" customHeight="1" x14ac:dyDescent="0.3">
      <c r="B89" s="8"/>
      <c r="E89" s="8"/>
      <c r="G89" s="8"/>
    </row>
    <row r="90" spans="2:7" ht="14.25" customHeight="1" x14ac:dyDescent="0.3">
      <c r="B90" s="8"/>
      <c r="E90" s="8"/>
      <c r="G90" s="8"/>
    </row>
    <row r="91" spans="2:7" ht="14.25" customHeight="1" x14ac:dyDescent="0.3">
      <c r="B91" s="8"/>
      <c r="E91" s="8"/>
      <c r="G91" s="8"/>
    </row>
    <row r="92" spans="2:7" ht="14.25" customHeight="1" x14ac:dyDescent="0.3">
      <c r="B92" s="8"/>
      <c r="E92" s="8"/>
      <c r="G92" s="8"/>
    </row>
    <row r="93" spans="2:7" ht="14.25" customHeight="1" x14ac:dyDescent="0.3">
      <c r="B93" s="8"/>
      <c r="E93" s="8"/>
      <c r="G93" s="8"/>
    </row>
    <row r="94" spans="2:7" ht="14.25" customHeight="1" x14ac:dyDescent="0.3">
      <c r="B94" s="8"/>
      <c r="E94" s="8"/>
      <c r="G94" s="8"/>
    </row>
    <row r="95" spans="2:7" ht="14.25" customHeight="1" x14ac:dyDescent="0.3">
      <c r="B95" s="8"/>
      <c r="E95" s="8"/>
      <c r="G95" s="8"/>
    </row>
    <row r="96" spans="2:7" ht="14.25" customHeight="1" x14ac:dyDescent="0.3">
      <c r="B96" s="8"/>
      <c r="E96" s="8"/>
      <c r="G96" s="8"/>
    </row>
    <row r="97" spans="2:7" ht="14.25" customHeight="1" x14ac:dyDescent="0.3">
      <c r="B97" s="8"/>
      <c r="E97" s="8"/>
      <c r="G97" s="8"/>
    </row>
    <row r="98" spans="2:7" ht="14.25" customHeight="1" x14ac:dyDescent="0.3">
      <c r="B98" s="8"/>
      <c r="E98" s="8"/>
      <c r="G98" s="8"/>
    </row>
    <row r="99" spans="2:7" ht="14.25" customHeight="1" x14ac:dyDescent="0.3">
      <c r="B99" s="8"/>
      <c r="E99" s="8"/>
      <c r="G99" s="8"/>
    </row>
    <row r="100" spans="2:7" ht="14.25" customHeight="1" x14ac:dyDescent="0.3">
      <c r="B100" s="8"/>
      <c r="E100" s="8"/>
      <c r="G100" s="8"/>
    </row>
    <row r="101" spans="2:7" ht="14.25" customHeight="1" x14ac:dyDescent="0.3">
      <c r="B101" s="8"/>
      <c r="E101" s="8"/>
      <c r="G101" s="8"/>
    </row>
    <row r="102" spans="2:7" ht="14.25" customHeight="1" x14ac:dyDescent="0.3">
      <c r="B102" s="8"/>
      <c r="E102" s="8"/>
      <c r="G102" s="8"/>
    </row>
    <row r="103" spans="2:7" ht="14.25" customHeight="1" x14ac:dyDescent="0.3">
      <c r="B103" s="8"/>
      <c r="E103" s="8"/>
      <c r="G103" s="8"/>
    </row>
    <row r="104" spans="2:7" ht="14.25" customHeight="1" x14ac:dyDescent="0.3">
      <c r="B104" s="8"/>
      <c r="E104" s="8"/>
      <c r="G104" s="8"/>
    </row>
    <row r="105" spans="2:7" ht="14.25" customHeight="1" x14ac:dyDescent="0.3">
      <c r="B105" s="8"/>
      <c r="E105" s="8"/>
      <c r="G105" s="8"/>
    </row>
    <row r="106" spans="2:7" ht="14.25" customHeight="1" x14ac:dyDescent="0.3">
      <c r="B106" s="8"/>
      <c r="E106" s="8"/>
      <c r="G106" s="8"/>
    </row>
    <row r="107" spans="2:7" ht="14.25" customHeight="1" x14ac:dyDescent="0.3">
      <c r="B107" s="8"/>
      <c r="E107" s="8"/>
      <c r="G107" s="8"/>
    </row>
    <row r="108" spans="2:7" ht="14.25" customHeight="1" x14ac:dyDescent="0.3">
      <c r="B108" s="8"/>
      <c r="E108" s="8"/>
      <c r="G108" s="8"/>
    </row>
    <row r="109" spans="2:7" ht="14.25" customHeight="1" x14ac:dyDescent="0.3">
      <c r="B109" s="8"/>
      <c r="E109" s="8"/>
      <c r="G109" s="8"/>
    </row>
    <row r="110" spans="2:7" ht="14.25" customHeight="1" x14ac:dyDescent="0.3">
      <c r="B110" s="8"/>
      <c r="E110" s="8"/>
      <c r="G110" s="8"/>
    </row>
    <row r="111" spans="2:7" ht="14.25" customHeight="1" x14ac:dyDescent="0.3">
      <c r="B111" s="8"/>
      <c r="E111" s="8"/>
      <c r="G111" s="8"/>
    </row>
    <row r="112" spans="2:7" ht="14.25" customHeight="1" x14ac:dyDescent="0.3">
      <c r="B112" s="8"/>
      <c r="E112" s="8"/>
      <c r="G112" s="8"/>
    </row>
    <row r="113" spans="2:7" ht="14.25" customHeight="1" x14ac:dyDescent="0.3">
      <c r="B113" s="8"/>
      <c r="E113" s="8"/>
      <c r="G113" s="8"/>
    </row>
    <row r="114" spans="2:7" ht="14.25" customHeight="1" x14ac:dyDescent="0.3">
      <c r="B114" s="8"/>
      <c r="E114" s="8"/>
      <c r="G114" s="8"/>
    </row>
    <row r="115" spans="2:7" ht="14.25" customHeight="1" x14ac:dyDescent="0.3">
      <c r="B115" s="8"/>
      <c r="E115" s="8"/>
      <c r="G115" s="8"/>
    </row>
    <row r="116" spans="2:7" ht="14.25" customHeight="1" x14ac:dyDescent="0.3">
      <c r="B116" s="8"/>
      <c r="E116" s="8"/>
      <c r="G116" s="8"/>
    </row>
    <row r="117" spans="2:7" ht="14.25" customHeight="1" x14ac:dyDescent="0.3">
      <c r="B117" s="8"/>
      <c r="E117" s="8"/>
      <c r="G117" s="8"/>
    </row>
    <row r="118" spans="2:7" ht="14.25" customHeight="1" x14ac:dyDescent="0.3">
      <c r="B118" s="8"/>
      <c r="E118" s="8"/>
      <c r="G118" s="8"/>
    </row>
    <row r="119" spans="2:7" ht="14.25" customHeight="1" x14ac:dyDescent="0.3">
      <c r="B119" s="8"/>
      <c r="E119" s="8"/>
      <c r="G119" s="8"/>
    </row>
    <row r="120" spans="2:7" ht="14.25" customHeight="1" x14ac:dyDescent="0.3">
      <c r="B120" s="8"/>
      <c r="E120" s="8"/>
      <c r="G120" s="8"/>
    </row>
    <row r="121" spans="2:7" ht="14.25" customHeight="1" x14ac:dyDescent="0.3">
      <c r="B121" s="8"/>
      <c r="E121" s="8"/>
      <c r="G121" s="8"/>
    </row>
    <row r="122" spans="2:7" ht="14.25" customHeight="1" x14ac:dyDescent="0.3">
      <c r="B122" s="8"/>
      <c r="E122" s="8"/>
      <c r="G122" s="8"/>
    </row>
    <row r="123" spans="2:7" ht="14.25" customHeight="1" x14ac:dyDescent="0.3">
      <c r="B123" s="8"/>
      <c r="E123" s="8"/>
      <c r="G123" s="8"/>
    </row>
    <row r="124" spans="2:7" ht="14.25" customHeight="1" x14ac:dyDescent="0.3">
      <c r="B124" s="8"/>
      <c r="E124" s="8"/>
      <c r="G124" s="8"/>
    </row>
    <row r="125" spans="2:7" ht="14.25" customHeight="1" x14ac:dyDescent="0.3">
      <c r="B125" s="8"/>
      <c r="E125" s="8"/>
      <c r="G125" s="8"/>
    </row>
    <row r="126" spans="2:7" ht="14.25" customHeight="1" x14ac:dyDescent="0.3">
      <c r="B126" s="8"/>
      <c r="E126" s="8"/>
      <c r="G126" s="8"/>
    </row>
    <row r="127" spans="2:7" ht="14.25" customHeight="1" x14ac:dyDescent="0.3">
      <c r="B127" s="8"/>
      <c r="E127" s="8"/>
      <c r="G127" s="8"/>
    </row>
    <row r="128" spans="2:7" ht="14.25" customHeight="1" x14ac:dyDescent="0.3">
      <c r="B128" s="8"/>
      <c r="E128" s="8"/>
      <c r="G128" s="8"/>
    </row>
    <row r="129" spans="2:7" ht="14.25" customHeight="1" x14ac:dyDescent="0.3">
      <c r="B129" s="8"/>
      <c r="E129" s="8"/>
      <c r="G129" s="8"/>
    </row>
    <row r="130" spans="2:7" ht="14.25" customHeight="1" x14ac:dyDescent="0.3">
      <c r="B130" s="8"/>
      <c r="E130" s="8"/>
      <c r="G130" s="8"/>
    </row>
    <row r="131" spans="2:7" ht="14.25" customHeight="1" x14ac:dyDescent="0.3">
      <c r="B131" s="8"/>
      <c r="E131" s="8"/>
      <c r="G131" s="8"/>
    </row>
    <row r="132" spans="2:7" ht="14.25" customHeight="1" x14ac:dyDescent="0.3">
      <c r="B132" s="8"/>
      <c r="E132" s="8"/>
      <c r="G132" s="8"/>
    </row>
    <row r="133" spans="2:7" ht="14.25" customHeight="1" x14ac:dyDescent="0.3">
      <c r="B133" s="8"/>
      <c r="E133" s="8"/>
      <c r="G133" s="8"/>
    </row>
    <row r="134" spans="2:7" ht="14.25" customHeight="1" x14ac:dyDescent="0.3">
      <c r="B134" s="8"/>
      <c r="E134" s="8"/>
      <c r="G134" s="8"/>
    </row>
    <row r="135" spans="2:7" ht="14.25" customHeight="1" x14ac:dyDescent="0.3">
      <c r="B135" s="8"/>
      <c r="E135" s="8"/>
      <c r="G135" s="8"/>
    </row>
    <row r="136" spans="2:7" ht="14.25" customHeight="1" x14ac:dyDescent="0.3">
      <c r="B136" s="8"/>
      <c r="E136" s="8"/>
      <c r="G136" s="8"/>
    </row>
    <row r="137" spans="2:7" ht="14.25" customHeight="1" x14ac:dyDescent="0.3">
      <c r="B137" s="8"/>
      <c r="E137" s="8"/>
      <c r="G137" s="8"/>
    </row>
    <row r="138" spans="2:7" ht="14.25" customHeight="1" x14ac:dyDescent="0.3">
      <c r="B138" s="8"/>
      <c r="E138" s="8"/>
      <c r="G138" s="8"/>
    </row>
    <row r="139" spans="2:7" ht="14.25" customHeight="1" x14ac:dyDescent="0.3">
      <c r="B139" s="8"/>
      <c r="E139" s="8"/>
      <c r="G139" s="8"/>
    </row>
    <row r="140" spans="2:7" ht="14.25" customHeight="1" x14ac:dyDescent="0.3">
      <c r="B140" s="8"/>
      <c r="E140" s="8"/>
      <c r="G140" s="8"/>
    </row>
    <row r="141" spans="2:7" ht="14.25" customHeight="1" x14ac:dyDescent="0.3">
      <c r="B141" s="8"/>
      <c r="E141" s="8"/>
      <c r="G141" s="8"/>
    </row>
    <row r="142" spans="2:7" ht="14.25" customHeight="1" x14ac:dyDescent="0.3">
      <c r="B142" s="8"/>
      <c r="E142" s="8"/>
      <c r="G142" s="8"/>
    </row>
    <row r="143" spans="2:7" ht="14.25" customHeight="1" x14ac:dyDescent="0.3">
      <c r="B143" s="8"/>
      <c r="E143" s="8"/>
      <c r="G143" s="8"/>
    </row>
    <row r="144" spans="2:7" ht="14.25" customHeight="1" x14ac:dyDescent="0.3">
      <c r="B144" s="8"/>
      <c r="E144" s="8"/>
      <c r="G144" s="8"/>
    </row>
    <row r="145" spans="2:7" ht="14.25" customHeight="1" x14ac:dyDescent="0.3">
      <c r="B145" s="8"/>
      <c r="E145" s="8"/>
      <c r="G145" s="8"/>
    </row>
    <row r="146" spans="2:7" ht="14.25" customHeight="1" x14ac:dyDescent="0.3">
      <c r="B146" s="8"/>
      <c r="E146" s="8"/>
      <c r="G146" s="8"/>
    </row>
    <row r="147" spans="2:7" ht="14.25" customHeight="1" x14ac:dyDescent="0.3">
      <c r="B147" s="8"/>
      <c r="E147" s="8"/>
      <c r="G147" s="8"/>
    </row>
    <row r="148" spans="2:7" ht="14.25" customHeight="1" x14ac:dyDescent="0.3">
      <c r="B148" s="8"/>
      <c r="E148" s="8"/>
      <c r="G148" s="8"/>
    </row>
    <row r="149" spans="2:7" ht="14.25" customHeight="1" x14ac:dyDescent="0.3">
      <c r="B149" s="8"/>
      <c r="E149" s="8"/>
      <c r="G149" s="8"/>
    </row>
    <row r="150" spans="2:7" ht="14.25" customHeight="1" x14ac:dyDescent="0.3">
      <c r="B150" s="8"/>
      <c r="E150" s="8"/>
      <c r="G150" s="8"/>
    </row>
    <row r="151" spans="2:7" ht="14.25" customHeight="1" x14ac:dyDescent="0.3">
      <c r="B151" s="8"/>
      <c r="E151" s="8"/>
      <c r="G151" s="8"/>
    </row>
    <row r="152" spans="2:7" ht="14.25" customHeight="1" x14ac:dyDescent="0.3">
      <c r="B152" s="8"/>
      <c r="E152" s="8"/>
      <c r="G152" s="8"/>
    </row>
    <row r="153" spans="2:7" ht="14.25" customHeight="1" x14ac:dyDescent="0.3">
      <c r="B153" s="8"/>
      <c r="E153" s="8"/>
      <c r="G153" s="8"/>
    </row>
    <row r="154" spans="2:7" ht="14.25" customHeight="1" x14ac:dyDescent="0.3">
      <c r="B154" s="8"/>
      <c r="E154" s="8"/>
      <c r="G154" s="8"/>
    </row>
    <row r="155" spans="2:7" ht="14.25" customHeight="1" x14ac:dyDescent="0.3">
      <c r="B155" s="8"/>
      <c r="E155" s="8"/>
      <c r="G155" s="8"/>
    </row>
    <row r="156" spans="2:7" ht="14.25" customHeight="1" x14ac:dyDescent="0.3">
      <c r="B156" s="8"/>
      <c r="E156" s="8"/>
      <c r="G156" s="8"/>
    </row>
    <row r="157" spans="2:7" ht="14.25" customHeight="1" x14ac:dyDescent="0.3">
      <c r="B157" s="8"/>
      <c r="E157" s="8"/>
      <c r="G157" s="8"/>
    </row>
    <row r="158" spans="2:7" ht="14.25" customHeight="1" x14ac:dyDescent="0.3">
      <c r="B158" s="8"/>
      <c r="E158" s="8"/>
      <c r="G158" s="8"/>
    </row>
    <row r="159" spans="2:7" ht="14.25" customHeight="1" x14ac:dyDescent="0.3">
      <c r="B159" s="8"/>
      <c r="E159" s="8"/>
      <c r="G159" s="8"/>
    </row>
    <row r="160" spans="2:7" ht="14.25" customHeight="1" x14ac:dyDescent="0.3">
      <c r="B160" s="8"/>
      <c r="E160" s="8"/>
      <c r="G160" s="8"/>
    </row>
    <row r="161" spans="2:7" ht="14.25" customHeight="1" x14ac:dyDescent="0.3">
      <c r="B161" s="8"/>
      <c r="E161" s="8"/>
      <c r="G161" s="8"/>
    </row>
    <row r="162" spans="2:7" ht="14.25" customHeight="1" x14ac:dyDescent="0.3">
      <c r="B162" s="8"/>
      <c r="E162" s="8"/>
      <c r="G162" s="8"/>
    </row>
    <row r="163" spans="2:7" ht="14.25" customHeight="1" x14ac:dyDescent="0.3">
      <c r="B163" s="8"/>
      <c r="E163" s="8"/>
      <c r="G163" s="8"/>
    </row>
    <row r="164" spans="2:7" ht="14.25" customHeight="1" x14ac:dyDescent="0.3">
      <c r="B164" s="8"/>
      <c r="E164" s="8"/>
      <c r="G164" s="8"/>
    </row>
    <row r="165" spans="2:7" ht="14.25" customHeight="1" x14ac:dyDescent="0.3">
      <c r="B165" s="8"/>
      <c r="E165" s="8"/>
      <c r="G165" s="8"/>
    </row>
    <row r="166" spans="2:7" ht="14.25" customHeight="1" x14ac:dyDescent="0.3">
      <c r="B166" s="8"/>
      <c r="E166" s="8"/>
      <c r="G166" s="8"/>
    </row>
    <row r="167" spans="2:7" ht="14.25" customHeight="1" x14ac:dyDescent="0.3">
      <c r="B167" s="8"/>
      <c r="E167" s="8"/>
      <c r="G167" s="8"/>
    </row>
    <row r="168" spans="2:7" ht="14.25" customHeight="1" x14ac:dyDescent="0.3">
      <c r="B168" s="8"/>
      <c r="E168" s="8"/>
      <c r="G168" s="8"/>
    </row>
    <row r="169" spans="2:7" ht="14.25" customHeight="1" x14ac:dyDescent="0.3">
      <c r="B169" s="8"/>
      <c r="E169" s="8"/>
      <c r="G169" s="8"/>
    </row>
    <row r="170" spans="2:7" ht="14.25" customHeight="1" x14ac:dyDescent="0.3">
      <c r="B170" s="8"/>
      <c r="E170" s="8"/>
      <c r="G170" s="8"/>
    </row>
    <row r="171" spans="2:7" ht="14.25" customHeight="1" x14ac:dyDescent="0.3">
      <c r="B171" s="8"/>
      <c r="E171" s="8"/>
      <c r="G171" s="8"/>
    </row>
    <row r="172" spans="2:7" ht="14.25" customHeight="1" x14ac:dyDescent="0.3">
      <c r="B172" s="8"/>
      <c r="E172" s="8"/>
      <c r="G172" s="8"/>
    </row>
    <row r="173" spans="2:7" ht="14.25" customHeight="1" x14ac:dyDescent="0.3">
      <c r="B173" s="8"/>
      <c r="E173" s="8"/>
      <c r="G173" s="8"/>
    </row>
    <row r="174" spans="2:7" ht="14.25" customHeight="1" x14ac:dyDescent="0.3">
      <c r="B174" s="8"/>
      <c r="E174" s="8"/>
      <c r="G174" s="8"/>
    </row>
    <row r="175" spans="2:7" ht="14.25" customHeight="1" x14ac:dyDescent="0.3">
      <c r="B175" s="8"/>
      <c r="E175" s="8"/>
      <c r="G175" s="8"/>
    </row>
    <row r="176" spans="2:7" ht="14.25" customHeight="1" x14ac:dyDescent="0.3">
      <c r="B176" s="8"/>
      <c r="E176" s="8"/>
      <c r="G176" s="8"/>
    </row>
    <row r="177" spans="2:7" ht="14.25" customHeight="1" x14ac:dyDescent="0.3">
      <c r="B177" s="8"/>
      <c r="E177" s="8"/>
      <c r="G177" s="8"/>
    </row>
    <row r="178" spans="2:7" ht="14.25" customHeight="1" x14ac:dyDescent="0.3">
      <c r="B178" s="8"/>
      <c r="E178" s="8"/>
      <c r="G178" s="8"/>
    </row>
    <row r="179" spans="2:7" ht="14.25" customHeight="1" x14ac:dyDescent="0.3">
      <c r="B179" s="8"/>
      <c r="E179" s="8"/>
      <c r="G179" s="8"/>
    </row>
    <row r="180" spans="2:7" ht="14.25" customHeight="1" x14ac:dyDescent="0.3">
      <c r="B180" s="8"/>
      <c r="E180" s="8"/>
      <c r="G180" s="8"/>
    </row>
    <row r="181" spans="2:7" ht="14.25" customHeight="1" x14ac:dyDescent="0.3">
      <c r="B181" s="8"/>
      <c r="E181" s="8"/>
      <c r="G181" s="8"/>
    </row>
    <row r="182" spans="2:7" ht="14.25" customHeight="1" x14ac:dyDescent="0.3">
      <c r="B182" s="8"/>
      <c r="E182" s="8"/>
      <c r="G182" s="8"/>
    </row>
    <row r="183" spans="2:7" ht="14.25" customHeight="1" x14ac:dyDescent="0.3">
      <c r="B183" s="8"/>
      <c r="E183" s="8"/>
      <c r="G183" s="8"/>
    </row>
    <row r="184" spans="2:7" ht="14.25" customHeight="1" x14ac:dyDescent="0.3">
      <c r="B184" s="8"/>
      <c r="E184" s="8"/>
      <c r="G184" s="8"/>
    </row>
    <row r="185" spans="2:7" ht="14.25" customHeight="1" x14ac:dyDescent="0.3">
      <c r="B185" s="8"/>
      <c r="E185" s="8"/>
      <c r="G185" s="8"/>
    </row>
    <row r="186" spans="2:7" ht="14.25" customHeight="1" x14ac:dyDescent="0.3">
      <c r="B186" s="8"/>
      <c r="E186" s="8"/>
      <c r="G186" s="8"/>
    </row>
    <row r="187" spans="2:7" ht="14.25" customHeight="1" x14ac:dyDescent="0.3">
      <c r="B187" s="8"/>
      <c r="E187" s="8"/>
      <c r="G187" s="8"/>
    </row>
    <row r="188" spans="2:7" ht="14.25" customHeight="1" x14ac:dyDescent="0.3">
      <c r="B188" s="8"/>
      <c r="E188" s="8"/>
      <c r="G188" s="8"/>
    </row>
    <row r="189" spans="2:7" ht="14.25" customHeight="1" x14ac:dyDescent="0.3">
      <c r="B189" s="8"/>
      <c r="E189" s="8"/>
      <c r="G189" s="8"/>
    </row>
    <row r="190" spans="2:7" ht="14.25" customHeight="1" x14ac:dyDescent="0.3">
      <c r="B190" s="8"/>
      <c r="E190" s="8"/>
      <c r="G190" s="8"/>
    </row>
    <row r="191" spans="2:7" ht="14.25" customHeight="1" x14ac:dyDescent="0.3">
      <c r="B191" s="8"/>
      <c r="E191" s="8"/>
      <c r="G191" s="8"/>
    </row>
    <row r="192" spans="2:7" ht="14.25" customHeight="1" x14ac:dyDescent="0.3">
      <c r="B192" s="8"/>
      <c r="E192" s="8"/>
      <c r="G192" s="8"/>
    </row>
    <row r="193" spans="2:7" ht="14.25" customHeight="1" x14ac:dyDescent="0.3">
      <c r="B193" s="8"/>
      <c r="E193" s="8"/>
      <c r="G193" s="8"/>
    </row>
    <row r="194" spans="2:7" ht="14.25" customHeight="1" x14ac:dyDescent="0.3">
      <c r="B194" s="8"/>
      <c r="E194" s="8"/>
      <c r="G194" s="8"/>
    </row>
    <row r="195" spans="2:7" ht="14.25" customHeight="1" x14ac:dyDescent="0.3">
      <c r="B195" s="8"/>
      <c r="E195" s="8"/>
      <c r="G195" s="8"/>
    </row>
    <row r="196" spans="2:7" ht="14.25" customHeight="1" x14ac:dyDescent="0.3">
      <c r="B196" s="8"/>
      <c r="E196" s="8"/>
      <c r="G196" s="8"/>
    </row>
    <row r="197" spans="2:7" ht="14.25" customHeight="1" x14ac:dyDescent="0.3">
      <c r="B197" s="8"/>
      <c r="E197" s="8"/>
      <c r="G197" s="8"/>
    </row>
    <row r="198" spans="2:7" ht="14.25" customHeight="1" x14ac:dyDescent="0.3">
      <c r="B198" s="8"/>
      <c r="E198" s="8"/>
      <c r="G198" s="8"/>
    </row>
    <row r="199" spans="2:7" ht="14.25" customHeight="1" x14ac:dyDescent="0.3">
      <c r="B199" s="8"/>
      <c r="E199" s="8"/>
      <c r="G199" s="8"/>
    </row>
    <row r="200" spans="2:7" ht="14.25" customHeight="1" x14ac:dyDescent="0.3">
      <c r="B200" s="8"/>
      <c r="E200" s="8"/>
      <c r="G200" s="8"/>
    </row>
    <row r="201" spans="2:7" ht="14.25" customHeight="1" x14ac:dyDescent="0.3">
      <c r="B201" s="8"/>
      <c r="E201" s="8"/>
      <c r="G201" s="8"/>
    </row>
    <row r="202" spans="2:7" ht="14.25" customHeight="1" x14ac:dyDescent="0.3">
      <c r="B202" s="8"/>
      <c r="E202" s="8"/>
      <c r="G202" s="8"/>
    </row>
    <row r="203" spans="2:7" ht="14.25" customHeight="1" x14ac:dyDescent="0.3">
      <c r="B203" s="8"/>
      <c r="E203" s="8"/>
      <c r="G203" s="8"/>
    </row>
    <row r="204" spans="2:7" ht="14.25" customHeight="1" x14ac:dyDescent="0.3">
      <c r="B204" s="8"/>
      <c r="E204" s="8"/>
      <c r="G204" s="8"/>
    </row>
    <row r="205" spans="2:7" ht="14.25" customHeight="1" x14ac:dyDescent="0.3">
      <c r="B205" s="8"/>
      <c r="E205" s="8"/>
      <c r="G205" s="8"/>
    </row>
    <row r="206" spans="2:7" ht="14.25" customHeight="1" x14ac:dyDescent="0.3">
      <c r="B206" s="8"/>
      <c r="E206" s="8"/>
      <c r="G206" s="8"/>
    </row>
    <row r="207" spans="2:7" ht="14.25" customHeight="1" x14ac:dyDescent="0.3">
      <c r="B207" s="8"/>
      <c r="E207" s="8"/>
      <c r="G207" s="8"/>
    </row>
    <row r="208" spans="2:7" ht="14.25" customHeight="1" x14ac:dyDescent="0.3">
      <c r="B208" s="8"/>
      <c r="E208" s="8"/>
      <c r="G208" s="8"/>
    </row>
    <row r="209" spans="2:7" ht="14.25" customHeight="1" x14ac:dyDescent="0.3">
      <c r="B209" s="8"/>
      <c r="E209" s="8"/>
      <c r="G209" s="8"/>
    </row>
    <row r="210" spans="2:7" ht="14.25" customHeight="1" x14ac:dyDescent="0.3">
      <c r="B210" s="8"/>
      <c r="E210" s="8"/>
      <c r="G210" s="8"/>
    </row>
    <row r="211" spans="2:7" ht="14.25" customHeight="1" x14ac:dyDescent="0.3">
      <c r="B211" s="8"/>
      <c r="E211" s="8"/>
      <c r="G211" s="8"/>
    </row>
    <row r="212" spans="2:7" ht="14.25" customHeight="1" x14ac:dyDescent="0.3">
      <c r="B212" s="8"/>
      <c r="E212" s="8"/>
      <c r="G212" s="8"/>
    </row>
    <row r="213" spans="2:7" ht="14.25" customHeight="1" x14ac:dyDescent="0.3">
      <c r="B213" s="8"/>
      <c r="E213" s="8"/>
      <c r="G213" s="8"/>
    </row>
    <row r="214" spans="2:7" ht="14.25" customHeight="1" x14ac:dyDescent="0.3">
      <c r="B214" s="8"/>
      <c r="E214" s="8"/>
      <c r="G214" s="8"/>
    </row>
    <row r="215" spans="2:7" ht="14.25" customHeight="1" x14ac:dyDescent="0.3">
      <c r="B215" s="8"/>
      <c r="E215" s="8"/>
      <c r="G215" s="8"/>
    </row>
    <row r="216" spans="2:7" ht="14.25" customHeight="1" x14ac:dyDescent="0.3">
      <c r="B216" s="8"/>
      <c r="E216" s="8"/>
      <c r="G216" s="8"/>
    </row>
    <row r="217" spans="2:7" ht="14.25" customHeight="1" x14ac:dyDescent="0.3">
      <c r="B217" s="8"/>
      <c r="E217" s="8"/>
      <c r="G217" s="8"/>
    </row>
    <row r="218" spans="2:7" ht="14.25" customHeight="1" x14ac:dyDescent="0.3">
      <c r="B218" s="8"/>
      <c r="E218" s="8"/>
      <c r="G218" s="8"/>
    </row>
    <row r="219" spans="2:7" ht="14.25" customHeight="1" x14ac:dyDescent="0.3">
      <c r="B219" s="8"/>
      <c r="E219" s="8"/>
      <c r="G219" s="8"/>
    </row>
    <row r="220" spans="2:7" ht="14.25" customHeight="1" x14ac:dyDescent="0.3">
      <c r="B220" s="8"/>
      <c r="E220" s="8"/>
      <c r="G220" s="8"/>
    </row>
    <row r="221" spans="2:7" ht="14.25" customHeight="1" x14ac:dyDescent="0.3">
      <c r="B221" s="8"/>
      <c r="E221" s="8"/>
      <c r="G221" s="8"/>
    </row>
    <row r="222" spans="2:7" ht="14.25" customHeight="1" x14ac:dyDescent="0.3">
      <c r="B222" s="8"/>
      <c r="E222" s="8"/>
      <c r="G222" s="8"/>
    </row>
    <row r="223" spans="2:7" ht="14.25" customHeight="1" x14ac:dyDescent="0.3">
      <c r="B223" s="8"/>
      <c r="E223" s="8"/>
      <c r="G223" s="8"/>
    </row>
    <row r="224" spans="2:7" ht="14.25" customHeight="1" x14ac:dyDescent="0.3">
      <c r="B224" s="8"/>
      <c r="E224" s="8"/>
      <c r="G224" s="8"/>
    </row>
    <row r="225" spans="2:7" ht="14.25" customHeight="1" x14ac:dyDescent="0.3">
      <c r="B225" s="8"/>
      <c r="E225" s="8"/>
      <c r="G225" s="8"/>
    </row>
    <row r="226" spans="2:7" ht="14.25" customHeight="1" x14ac:dyDescent="0.3">
      <c r="B226" s="8"/>
      <c r="E226" s="8"/>
      <c r="G226" s="8"/>
    </row>
    <row r="227" spans="2:7" ht="14.25" customHeight="1" x14ac:dyDescent="0.3">
      <c r="B227" s="8"/>
      <c r="E227" s="8"/>
      <c r="G227" s="8"/>
    </row>
    <row r="228" spans="2:7" ht="14.25" customHeight="1" x14ac:dyDescent="0.3">
      <c r="B228" s="8"/>
      <c r="E228" s="8"/>
      <c r="G228" s="8"/>
    </row>
    <row r="229" spans="2:7" ht="14.25" customHeight="1" x14ac:dyDescent="0.3">
      <c r="B229" s="8"/>
      <c r="E229" s="8"/>
      <c r="G229" s="8"/>
    </row>
    <row r="230" spans="2:7" ht="14.25" customHeight="1" x14ac:dyDescent="0.3">
      <c r="B230" s="8"/>
      <c r="E230" s="8"/>
      <c r="G230" s="8"/>
    </row>
    <row r="231" spans="2:7" ht="14.25" customHeight="1" x14ac:dyDescent="0.3">
      <c r="B231" s="8"/>
      <c r="E231" s="8"/>
      <c r="G231" s="8"/>
    </row>
    <row r="232" spans="2:7" ht="14.25" customHeight="1" x14ac:dyDescent="0.3">
      <c r="B232" s="8"/>
      <c r="E232" s="8"/>
      <c r="G232" s="8"/>
    </row>
    <row r="233" spans="2:7" ht="14.25" customHeight="1" x14ac:dyDescent="0.3">
      <c r="B233" s="8"/>
      <c r="E233" s="8"/>
      <c r="G233" s="8"/>
    </row>
    <row r="234" spans="2:7" ht="14.25" customHeight="1" x14ac:dyDescent="0.3">
      <c r="B234" s="8"/>
      <c r="E234" s="8"/>
      <c r="G234" s="8"/>
    </row>
    <row r="235" spans="2:7" ht="14.25" customHeight="1" x14ac:dyDescent="0.3">
      <c r="B235" s="8"/>
      <c r="E235" s="8"/>
      <c r="G235" s="8"/>
    </row>
    <row r="236" spans="2:7" ht="14.25" customHeight="1" x14ac:dyDescent="0.3">
      <c r="B236" s="8"/>
      <c r="E236" s="8"/>
      <c r="G236" s="8"/>
    </row>
    <row r="237" spans="2:7" ht="14.25" customHeight="1" x14ac:dyDescent="0.3">
      <c r="B237" s="8"/>
      <c r="E237" s="8"/>
      <c r="G237" s="8"/>
    </row>
    <row r="238" spans="2:7" ht="14.25" customHeight="1" x14ac:dyDescent="0.3">
      <c r="B238" s="8"/>
      <c r="E238" s="8"/>
      <c r="G238" s="8"/>
    </row>
    <row r="239" spans="2:7" ht="14.25" customHeight="1" x14ac:dyDescent="0.3">
      <c r="B239" s="8"/>
      <c r="E239" s="8"/>
      <c r="G239" s="8"/>
    </row>
    <row r="240" spans="2:7" ht="14.25" customHeight="1" x14ac:dyDescent="0.3">
      <c r="B240" s="8"/>
      <c r="E240" s="8"/>
      <c r="G240" s="8"/>
    </row>
    <row r="241" spans="2:7" ht="14.25" customHeight="1" x14ac:dyDescent="0.3">
      <c r="B241" s="8"/>
      <c r="E241" s="8"/>
      <c r="G241" s="8"/>
    </row>
    <row r="242" spans="2:7" ht="14.25" customHeight="1" x14ac:dyDescent="0.3">
      <c r="B242" s="8"/>
      <c r="E242" s="8"/>
      <c r="G242" s="8"/>
    </row>
    <row r="243" spans="2:7" ht="14.25" customHeight="1" x14ac:dyDescent="0.3">
      <c r="B243" s="8"/>
      <c r="E243" s="8"/>
      <c r="G243" s="8"/>
    </row>
    <row r="244" spans="2:7" ht="14.25" customHeight="1" x14ac:dyDescent="0.3">
      <c r="B244" s="8"/>
      <c r="E244" s="8"/>
      <c r="G244" s="8"/>
    </row>
    <row r="245" spans="2:7" ht="14.25" customHeight="1" x14ac:dyDescent="0.3">
      <c r="B245" s="8"/>
      <c r="E245" s="8"/>
      <c r="G245" s="8"/>
    </row>
    <row r="246" spans="2:7" ht="14.25" customHeight="1" x14ac:dyDescent="0.3">
      <c r="B246" s="8"/>
      <c r="E246" s="8"/>
      <c r="G246" s="8"/>
    </row>
    <row r="247" spans="2:7" ht="14.25" customHeight="1" x14ac:dyDescent="0.3">
      <c r="B247" s="8"/>
      <c r="E247" s="8"/>
      <c r="G247" s="8"/>
    </row>
    <row r="248" spans="2:7" ht="14.25" customHeight="1" x14ac:dyDescent="0.3">
      <c r="B248" s="8"/>
      <c r="E248" s="8"/>
      <c r="G248" s="8"/>
    </row>
    <row r="249" spans="2:7" ht="14.25" customHeight="1" x14ac:dyDescent="0.3">
      <c r="B249" s="8"/>
      <c r="E249" s="8"/>
      <c r="G249" s="8"/>
    </row>
    <row r="250" spans="2:7" ht="14.25" customHeight="1" x14ac:dyDescent="0.3">
      <c r="B250" s="8"/>
      <c r="E250" s="8"/>
      <c r="G250" s="8"/>
    </row>
    <row r="251" spans="2:7" ht="14.25" customHeight="1" x14ac:dyDescent="0.3">
      <c r="B251" s="8"/>
      <c r="E251" s="8"/>
      <c r="G251" s="8"/>
    </row>
    <row r="252" spans="2:7" ht="14.25" customHeight="1" x14ac:dyDescent="0.3">
      <c r="B252" s="8"/>
      <c r="E252" s="8"/>
      <c r="G252" s="8"/>
    </row>
    <row r="253" spans="2:7" ht="14.25" customHeight="1" x14ac:dyDescent="0.3">
      <c r="B253" s="8"/>
      <c r="E253" s="8"/>
      <c r="G253" s="8"/>
    </row>
    <row r="254" spans="2:7" ht="14.25" customHeight="1" x14ac:dyDescent="0.3">
      <c r="B254" s="8"/>
      <c r="E254" s="8"/>
      <c r="G254" s="8"/>
    </row>
    <row r="255" spans="2:7" ht="14.25" customHeight="1" x14ac:dyDescent="0.3">
      <c r="B255" s="8"/>
      <c r="E255" s="8"/>
      <c r="G255" s="8"/>
    </row>
    <row r="256" spans="2:7" ht="14.25" customHeight="1" x14ac:dyDescent="0.3">
      <c r="B256" s="8"/>
      <c r="E256" s="8"/>
      <c r="G256" s="8"/>
    </row>
    <row r="257" spans="2:7" ht="14.25" customHeight="1" x14ac:dyDescent="0.3">
      <c r="B257" s="8"/>
      <c r="E257" s="8"/>
      <c r="G257" s="8"/>
    </row>
    <row r="258" spans="2:7" ht="14.25" customHeight="1" x14ac:dyDescent="0.3">
      <c r="B258" s="8"/>
      <c r="E258" s="8"/>
      <c r="G258" s="8"/>
    </row>
    <row r="259" spans="2:7" ht="14.25" customHeight="1" x14ac:dyDescent="0.3">
      <c r="B259" s="8"/>
      <c r="E259" s="8"/>
      <c r="G259" s="8"/>
    </row>
    <row r="260" spans="2:7" ht="14.25" customHeight="1" x14ac:dyDescent="0.3">
      <c r="B260" s="8"/>
      <c r="E260" s="8"/>
      <c r="G260" s="8"/>
    </row>
    <row r="261" spans="2:7" ht="14.25" customHeight="1" x14ac:dyDescent="0.3">
      <c r="B261" s="8"/>
      <c r="E261" s="8"/>
      <c r="G261" s="8"/>
    </row>
    <row r="262" spans="2:7" ht="14.25" customHeight="1" x14ac:dyDescent="0.3">
      <c r="B262" s="8"/>
      <c r="E262" s="8"/>
      <c r="G262" s="8"/>
    </row>
    <row r="263" spans="2:7" ht="14.25" customHeight="1" x14ac:dyDescent="0.3">
      <c r="B263" s="8"/>
      <c r="E263" s="8"/>
      <c r="G263" s="8"/>
    </row>
    <row r="264" spans="2:7" ht="14.25" customHeight="1" x14ac:dyDescent="0.3">
      <c r="B264" s="8"/>
      <c r="E264" s="8"/>
      <c r="G264" s="8"/>
    </row>
    <row r="265" spans="2:7" ht="14.25" customHeight="1" x14ac:dyDescent="0.3">
      <c r="B265" s="8"/>
      <c r="E265" s="8"/>
      <c r="G265" s="8"/>
    </row>
    <row r="266" spans="2:7" ht="14.25" customHeight="1" x14ac:dyDescent="0.3">
      <c r="B266" s="8"/>
      <c r="E266" s="8"/>
      <c r="G266" s="8"/>
    </row>
    <row r="267" spans="2:7" ht="14.25" customHeight="1" x14ac:dyDescent="0.3">
      <c r="B267" s="8"/>
      <c r="E267" s="8"/>
      <c r="G267" s="8"/>
    </row>
    <row r="268" spans="2:7" ht="14.25" customHeight="1" x14ac:dyDescent="0.3">
      <c r="B268" s="8"/>
      <c r="E268" s="8"/>
      <c r="G268" s="8"/>
    </row>
    <row r="269" spans="2:7" ht="14.25" customHeight="1" x14ac:dyDescent="0.3">
      <c r="B269" s="8"/>
      <c r="E269" s="8"/>
      <c r="G269" s="8"/>
    </row>
    <row r="270" spans="2:7" ht="14.25" customHeight="1" x14ac:dyDescent="0.3">
      <c r="B270" s="8"/>
      <c r="E270" s="8"/>
      <c r="G270" s="8"/>
    </row>
    <row r="271" spans="2:7" ht="14.25" customHeight="1" x14ac:dyDescent="0.3">
      <c r="B271" s="8"/>
      <c r="E271" s="8"/>
      <c r="G271" s="8"/>
    </row>
    <row r="272" spans="2:7" ht="14.25" customHeight="1" x14ac:dyDescent="0.3">
      <c r="B272" s="8"/>
      <c r="E272" s="8"/>
      <c r="G272" s="8"/>
    </row>
    <row r="273" spans="2:7" ht="14.25" customHeight="1" x14ac:dyDescent="0.3">
      <c r="B273" s="8"/>
      <c r="E273" s="8"/>
      <c r="G273" s="8"/>
    </row>
    <row r="274" spans="2:7" ht="14.25" customHeight="1" x14ac:dyDescent="0.3">
      <c r="B274" s="8"/>
      <c r="E274" s="8"/>
      <c r="G274" s="8"/>
    </row>
    <row r="275" spans="2:7" ht="14.25" customHeight="1" x14ac:dyDescent="0.3">
      <c r="B275" s="8"/>
      <c r="E275" s="8"/>
      <c r="G275" s="8"/>
    </row>
    <row r="276" spans="2:7" ht="14.25" customHeight="1" x14ac:dyDescent="0.3">
      <c r="B276" s="8"/>
      <c r="E276" s="8"/>
      <c r="G276" s="8"/>
    </row>
    <row r="277" spans="2:7" ht="14.25" customHeight="1" x14ac:dyDescent="0.3">
      <c r="B277" s="8"/>
      <c r="E277" s="8"/>
      <c r="G277" s="8"/>
    </row>
    <row r="278" spans="2:7" ht="14.25" customHeight="1" x14ac:dyDescent="0.3">
      <c r="B278" s="8"/>
      <c r="E278" s="8"/>
      <c r="G278" s="8"/>
    </row>
    <row r="279" spans="2:7" ht="14.25" customHeight="1" x14ac:dyDescent="0.3">
      <c r="B279" s="8"/>
      <c r="E279" s="8"/>
      <c r="G279" s="8"/>
    </row>
    <row r="280" spans="2:7" ht="14.25" customHeight="1" x14ac:dyDescent="0.3">
      <c r="B280" s="8"/>
      <c r="E280" s="8"/>
      <c r="G280" s="8"/>
    </row>
    <row r="281" spans="2:7" ht="14.25" customHeight="1" x14ac:dyDescent="0.3">
      <c r="B281" s="8"/>
      <c r="E281" s="8"/>
      <c r="G281" s="8"/>
    </row>
    <row r="282" spans="2:7" ht="14.25" customHeight="1" x14ac:dyDescent="0.3">
      <c r="B282" s="8"/>
      <c r="E282" s="8"/>
      <c r="G282" s="8"/>
    </row>
    <row r="283" spans="2:7" ht="14.25" customHeight="1" x14ac:dyDescent="0.3">
      <c r="B283" s="8"/>
      <c r="E283" s="8"/>
      <c r="G283" s="8"/>
    </row>
    <row r="284" spans="2:7" ht="14.25" customHeight="1" x14ac:dyDescent="0.3">
      <c r="B284" s="8"/>
      <c r="E284" s="8"/>
      <c r="G284" s="8"/>
    </row>
    <row r="285" spans="2:7" ht="14.25" customHeight="1" x14ac:dyDescent="0.3">
      <c r="B285" s="8"/>
      <c r="E285" s="8"/>
      <c r="G285" s="8"/>
    </row>
    <row r="286" spans="2:7" ht="14.25" customHeight="1" x14ac:dyDescent="0.3">
      <c r="B286" s="8"/>
      <c r="E286" s="8"/>
      <c r="G286" s="8"/>
    </row>
    <row r="287" spans="2:7" ht="14.25" customHeight="1" x14ac:dyDescent="0.3">
      <c r="B287" s="8"/>
      <c r="E287" s="8"/>
      <c r="G287" s="8"/>
    </row>
    <row r="288" spans="2:7" ht="14.25" customHeight="1" x14ac:dyDescent="0.3">
      <c r="B288" s="8"/>
      <c r="E288" s="8"/>
      <c r="G288" s="8"/>
    </row>
    <row r="289" spans="2:7" ht="14.25" customHeight="1" x14ac:dyDescent="0.3">
      <c r="B289" s="8"/>
      <c r="E289" s="8"/>
      <c r="G289" s="8"/>
    </row>
    <row r="290" spans="2:7" ht="14.25" customHeight="1" x14ac:dyDescent="0.3">
      <c r="B290" s="8"/>
      <c r="E290" s="8"/>
      <c r="G290" s="8"/>
    </row>
    <row r="291" spans="2:7" ht="14.25" customHeight="1" x14ac:dyDescent="0.3">
      <c r="B291" s="8"/>
      <c r="E291" s="8"/>
      <c r="G291" s="8"/>
    </row>
    <row r="292" spans="2:7" ht="14.25" customHeight="1" x14ac:dyDescent="0.3">
      <c r="B292" s="8"/>
      <c r="E292" s="8"/>
      <c r="G292" s="8"/>
    </row>
    <row r="293" spans="2:7" ht="14.25" customHeight="1" x14ac:dyDescent="0.3">
      <c r="B293" s="8"/>
      <c r="E293" s="8"/>
      <c r="G293" s="8"/>
    </row>
    <row r="294" spans="2:7" ht="14.25" customHeight="1" x14ac:dyDescent="0.3">
      <c r="B294" s="8"/>
      <c r="E294" s="8"/>
      <c r="G294" s="8"/>
    </row>
    <row r="295" spans="2:7" ht="14.25" customHeight="1" x14ac:dyDescent="0.3">
      <c r="B295" s="8"/>
      <c r="E295" s="8"/>
      <c r="G295" s="8"/>
    </row>
    <row r="296" spans="2:7" ht="14.25" customHeight="1" x14ac:dyDescent="0.3">
      <c r="B296" s="8"/>
      <c r="E296" s="8"/>
      <c r="G296" s="8"/>
    </row>
    <row r="297" spans="2:7" ht="14.25" customHeight="1" x14ac:dyDescent="0.3">
      <c r="B297" s="8"/>
      <c r="E297" s="8"/>
      <c r="G297" s="8"/>
    </row>
    <row r="298" spans="2:7" ht="14.25" customHeight="1" x14ac:dyDescent="0.3">
      <c r="B298" s="8"/>
      <c r="E298" s="8"/>
      <c r="G298" s="8"/>
    </row>
    <row r="299" spans="2:7" ht="14.25" customHeight="1" x14ac:dyDescent="0.3">
      <c r="B299" s="8"/>
      <c r="E299" s="8"/>
      <c r="G299" s="8"/>
    </row>
    <row r="300" spans="2:7" ht="14.25" customHeight="1" x14ac:dyDescent="0.3">
      <c r="B300" s="8"/>
      <c r="E300" s="8"/>
      <c r="G300" s="8"/>
    </row>
    <row r="301" spans="2:7" ht="14.25" customHeight="1" x14ac:dyDescent="0.3">
      <c r="B301" s="8"/>
      <c r="E301" s="8"/>
      <c r="G301" s="8"/>
    </row>
    <row r="302" spans="2:7" ht="14.25" customHeight="1" x14ac:dyDescent="0.3">
      <c r="B302" s="8"/>
      <c r="E302" s="8"/>
      <c r="G302" s="8"/>
    </row>
    <row r="303" spans="2:7" ht="14.25" customHeight="1" x14ac:dyDescent="0.3">
      <c r="B303" s="8"/>
      <c r="E303" s="8"/>
      <c r="G303" s="8"/>
    </row>
    <row r="304" spans="2:7" ht="14.25" customHeight="1" x14ac:dyDescent="0.3">
      <c r="B304" s="8"/>
      <c r="E304" s="8"/>
      <c r="G304" s="8"/>
    </row>
    <row r="305" spans="2:7" ht="14.25" customHeight="1" x14ac:dyDescent="0.3">
      <c r="B305" s="8"/>
      <c r="E305" s="8"/>
      <c r="G305" s="8"/>
    </row>
    <row r="306" spans="2:7" ht="14.25" customHeight="1" x14ac:dyDescent="0.3">
      <c r="B306" s="8"/>
      <c r="E306" s="8"/>
      <c r="G306" s="8"/>
    </row>
    <row r="307" spans="2:7" ht="14.25" customHeight="1" x14ac:dyDescent="0.3">
      <c r="B307" s="8"/>
      <c r="E307" s="8"/>
      <c r="G307" s="8"/>
    </row>
    <row r="308" spans="2:7" ht="14.25" customHeight="1" x14ac:dyDescent="0.3">
      <c r="B308" s="8"/>
      <c r="E308" s="8"/>
      <c r="G308" s="8"/>
    </row>
    <row r="309" spans="2:7" ht="14.25" customHeight="1" x14ac:dyDescent="0.3">
      <c r="B309" s="8"/>
      <c r="E309" s="8"/>
      <c r="G309" s="8"/>
    </row>
    <row r="310" spans="2:7" ht="14.25" customHeight="1" x14ac:dyDescent="0.3">
      <c r="B310" s="8"/>
      <c r="E310" s="8"/>
      <c r="G310" s="8"/>
    </row>
    <row r="311" spans="2:7" ht="14.25" customHeight="1" x14ac:dyDescent="0.3">
      <c r="B311" s="8"/>
      <c r="E311" s="8"/>
      <c r="G311" s="8"/>
    </row>
    <row r="312" spans="2:7" ht="14.25" customHeight="1" x14ac:dyDescent="0.3">
      <c r="B312" s="8"/>
      <c r="E312" s="8"/>
      <c r="G312" s="8"/>
    </row>
    <row r="313" spans="2:7" ht="14.25" customHeight="1" x14ac:dyDescent="0.3">
      <c r="B313" s="8"/>
      <c r="E313" s="8"/>
      <c r="G313" s="8"/>
    </row>
    <row r="314" spans="2:7" ht="14.25" customHeight="1" x14ac:dyDescent="0.3">
      <c r="B314" s="8"/>
      <c r="E314" s="8"/>
      <c r="G314" s="8"/>
    </row>
    <row r="315" spans="2:7" ht="14.25" customHeight="1" x14ac:dyDescent="0.3">
      <c r="B315" s="8"/>
      <c r="E315" s="8"/>
      <c r="G315" s="8"/>
    </row>
    <row r="316" spans="2:7" ht="14.25" customHeight="1" x14ac:dyDescent="0.3">
      <c r="B316" s="8"/>
      <c r="E316" s="8"/>
      <c r="G316" s="8"/>
    </row>
    <row r="317" spans="2:7" ht="14.25" customHeight="1" x14ac:dyDescent="0.3">
      <c r="B317" s="8"/>
      <c r="E317" s="8"/>
      <c r="G317" s="8"/>
    </row>
    <row r="318" spans="2:7" ht="14.25" customHeight="1" x14ac:dyDescent="0.3">
      <c r="B318" s="8"/>
      <c r="E318" s="8"/>
      <c r="G318" s="8"/>
    </row>
    <row r="319" spans="2:7" ht="14.25" customHeight="1" x14ac:dyDescent="0.3">
      <c r="B319" s="8"/>
      <c r="E319" s="8"/>
      <c r="G319" s="8"/>
    </row>
    <row r="320" spans="2:7" ht="14.25" customHeight="1" x14ac:dyDescent="0.3">
      <c r="B320" s="8"/>
      <c r="E320" s="8"/>
      <c r="G320" s="8"/>
    </row>
    <row r="321" spans="2:7" ht="14.25" customHeight="1" x14ac:dyDescent="0.3">
      <c r="B321" s="8"/>
      <c r="E321" s="8"/>
      <c r="G321" s="8"/>
    </row>
    <row r="322" spans="2:7" ht="14.25" customHeight="1" x14ac:dyDescent="0.3">
      <c r="B322" s="8"/>
      <c r="E322" s="8"/>
      <c r="G322" s="8"/>
    </row>
    <row r="323" spans="2:7" ht="14.25" customHeight="1" x14ac:dyDescent="0.3">
      <c r="B323" s="8"/>
      <c r="E323" s="8"/>
      <c r="G323" s="8"/>
    </row>
    <row r="324" spans="2:7" ht="14.25" customHeight="1" x14ac:dyDescent="0.3">
      <c r="B324" s="8"/>
      <c r="E324" s="8"/>
      <c r="G324" s="8"/>
    </row>
    <row r="325" spans="2:7" ht="14.25" customHeight="1" x14ac:dyDescent="0.3">
      <c r="B325" s="8"/>
      <c r="E325" s="8"/>
      <c r="G325" s="8"/>
    </row>
    <row r="326" spans="2:7" ht="14.25" customHeight="1" x14ac:dyDescent="0.3">
      <c r="B326" s="8"/>
      <c r="E326" s="8"/>
      <c r="G326" s="8"/>
    </row>
    <row r="327" spans="2:7" ht="14.25" customHeight="1" x14ac:dyDescent="0.3">
      <c r="B327" s="8"/>
      <c r="E327" s="8"/>
      <c r="G327" s="8"/>
    </row>
    <row r="328" spans="2:7" ht="14.25" customHeight="1" x14ac:dyDescent="0.3">
      <c r="B328" s="8"/>
      <c r="E328" s="8"/>
      <c r="G328" s="8"/>
    </row>
    <row r="329" spans="2:7" ht="14.25" customHeight="1" x14ac:dyDescent="0.3">
      <c r="B329" s="8"/>
      <c r="E329" s="8"/>
      <c r="G329" s="8"/>
    </row>
    <row r="330" spans="2:7" ht="14.25" customHeight="1" x14ac:dyDescent="0.3">
      <c r="B330" s="8"/>
      <c r="E330" s="8"/>
      <c r="G330" s="8"/>
    </row>
    <row r="331" spans="2:7" ht="14.25" customHeight="1" x14ac:dyDescent="0.3">
      <c r="B331" s="8"/>
      <c r="E331" s="8"/>
      <c r="G331" s="8"/>
    </row>
    <row r="332" spans="2:7" ht="14.25" customHeight="1" x14ac:dyDescent="0.3">
      <c r="B332" s="8"/>
      <c r="E332" s="8"/>
      <c r="G332" s="8"/>
    </row>
    <row r="333" spans="2:7" ht="14.25" customHeight="1" x14ac:dyDescent="0.3">
      <c r="B333" s="8"/>
      <c r="E333" s="8"/>
      <c r="G333" s="8"/>
    </row>
    <row r="334" spans="2:7" ht="14.25" customHeight="1" x14ac:dyDescent="0.3">
      <c r="B334" s="8"/>
      <c r="E334" s="8"/>
      <c r="G334" s="8"/>
    </row>
    <row r="335" spans="2:7" ht="14.25" customHeight="1" x14ac:dyDescent="0.3">
      <c r="B335" s="8"/>
      <c r="E335" s="8"/>
      <c r="G335" s="8"/>
    </row>
    <row r="336" spans="2:7" ht="14.25" customHeight="1" x14ac:dyDescent="0.3">
      <c r="B336" s="8"/>
      <c r="E336" s="8"/>
      <c r="G336" s="8"/>
    </row>
    <row r="337" spans="2:7" ht="14.25" customHeight="1" x14ac:dyDescent="0.3">
      <c r="B337" s="8"/>
      <c r="E337" s="8"/>
      <c r="G337" s="8"/>
    </row>
    <row r="338" spans="2:7" ht="14.25" customHeight="1" x14ac:dyDescent="0.3">
      <c r="B338" s="8"/>
      <c r="E338" s="8"/>
      <c r="G338" s="8"/>
    </row>
    <row r="339" spans="2:7" ht="14.25" customHeight="1" x14ac:dyDescent="0.3">
      <c r="B339" s="8"/>
      <c r="E339" s="8"/>
      <c r="G339" s="8"/>
    </row>
    <row r="340" spans="2:7" ht="14.25" customHeight="1" x14ac:dyDescent="0.3">
      <c r="B340" s="8"/>
      <c r="E340" s="8"/>
      <c r="G340" s="8"/>
    </row>
    <row r="341" spans="2:7" ht="14.25" customHeight="1" x14ac:dyDescent="0.3">
      <c r="B341" s="8"/>
      <c r="E341" s="8"/>
      <c r="G341" s="8"/>
    </row>
    <row r="342" spans="2:7" ht="14.25" customHeight="1" x14ac:dyDescent="0.3">
      <c r="B342" s="8"/>
      <c r="E342" s="8"/>
      <c r="G342" s="8"/>
    </row>
    <row r="343" spans="2:7" ht="14.25" customHeight="1" x14ac:dyDescent="0.3">
      <c r="B343" s="8"/>
      <c r="E343" s="8"/>
      <c r="G343" s="8"/>
    </row>
    <row r="344" spans="2:7" ht="14.25" customHeight="1" x14ac:dyDescent="0.3">
      <c r="B344" s="8"/>
      <c r="E344" s="8"/>
      <c r="G344" s="8"/>
    </row>
    <row r="345" spans="2:7" ht="14.25" customHeight="1" x14ac:dyDescent="0.3">
      <c r="B345" s="8"/>
      <c r="E345" s="8"/>
      <c r="G345" s="8"/>
    </row>
    <row r="346" spans="2:7" ht="14.25" customHeight="1" x14ac:dyDescent="0.3">
      <c r="B346" s="8"/>
      <c r="E346" s="8"/>
      <c r="G346" s="8"/>
    </row>
    <row r="347" spans="2:7" ht="14.25" customHeight="1" x14ac:dyDescent="0.3">
      <c r="B347" s="8"/>
      <c r="E347" s="8"/>
      <c r="G347" s="8"/>
    </row>
    <row r="348" spans="2:7" ht="14.25" customHeight="1" x14ac:dyDescent="0.3">
      <c r="B348" s="8"/>
      <c r="E348" s="8"/>
      <c r="G348" s="8"/>
    </row>
    <row r="349" spans="2:7" ht="14.25" customHeight="1" x14ac:dyDescent="0.3">
      <c r="B349" s="8"/>
      <c r="E349" s="8"/>
      <c r="G349" s="8"/>
    </row>
    <row r="350" spans="2:7" ht="14.25" customHeight="1" x14ac:dyDescent="0.3">
      <c r="B350" s="8"/>
      <c r="E350" s="8"/>
      <c r="G350" s="8"/>
    </row>
    <row r="351" spans="2:7" ht="14.25" customHeight="1" x14ac:dyDescent="0.3">
      <c r="B351" s="8"/>
      <c r="E351" s="8"/>
      <c r="G351" s="8"/>
    </row>
    <row r="352" spans="2:7" ht="14.25" customHeight="1" x14ac:dyDescent="0.3">
      <c r="B352" s="8"/>
      <c r="E352" s="8"/>
      <c r="G352" s="8"/>
    </row>
    <row r="353" spans="2:7" ht="14.25" customHeight="1" x14ac:dyDescent="0.3">
      <c r="B353" s="8"/>
      <c r="E353" s="8"/>
      <c r="G353" s="8"/>
    </row>
    <row r="354" spans="2:7" ht="14.25" customHeight="1" x14ac:dyDescent="0.3">
      <c r="B354" s="8"/>
      <c r="E354" s="8"/>
      <c r="G354" s="8"/>
    </row>
    <row r="355" spans="2:7" ht="14.25" customHeight="1" x14ac:dyDescent="0.3">
      <c r="B355" s="8"/>
      <c r="E355" s="8"/>
      <c r="G355" s="8"/>
    </row>
    <row r="356" spans="2:7" ht="14.25" customHeight="1" x14ac:dyDescent="0.3">
      <c r="B356" s="8"/>
      <c r="E356" s="8"/>
      <c r="G356" s="8"/>
    </row>
    <row r="357" spans="2:7" ht="14.25" customHeight="1" x14ac:dyDescent="0.3">
      <c r="B357" s="8"/>
      <c r="E357" s="8"/>
      <c r="G357" s="8"/>
    </row>
    <row r="358" spans="2:7" ht="14.25" customHeight="1" x14ac:dyDescent="0.3">
      <c r="B358" s="8"/>
      <c r="E358" s="8"/>
      <c r="G358" s="8"/>
    </row>
    <row r="359" spans="2:7" ht="14.25" customHeight="1" x14ac:dyDescent="0.3">
      <c r="B359" s="8"/>
      <c r="E359" s="8"/>
      <c r="G359" s="8"/>
    </row>
    <row r="360" spans="2:7" ht="14.25" customHeight="1" x14ac:dyDescent="0.3">
      <c r="B360" s="8"/>
      <c r="E360" s="8"/>
      <c r="G360" s="8"/>
    </row>
    <row r="361" spans="2:7" ht="14.25" customHeight="1" x14ac:dyDescent="0.3">
      <c r="B361" s="8"/>
      <c r="E361" s="8"/>
      <c r="G361" s="8"/>
    </row>
    <row r="362" spans="2:7" ht="14.25" customHeight="1" x14ac:dyDescent="0.3">
      <c r="B362" s="8"/>
      <c r="E362" s="8"/>
      <c r="G362" s="8"/>
    </row>
    <row r="363" spans="2:7" ht="14.25" customHeight="1" x14ac:dyDescent="0.3">
      <c r="B363" s="8"/>
      <c r="E363" s="8"/>
      <c r="G363" s="8"/>
    </row>
    <row r="364" spans="2:7" ht="14.25" customHeight="1" x14ac:dyDescent="0.3">
      <c r="B364" s="8"/>
      <c r="E364" s="8"/>
      <c r="G364" s="8"/>
    </row>
    <row r="365" spans="2:7" ht="14.25" customHeight="1" x14ac:dyDescent="0.3">
      <c r="B365" s="8"/>
      <c r="E365" s="8"/>
      <c r="G365" s="8"/>
    </row>
    <row r="366" spans="2:7" ht="14.25" customHeight="1" x14ac:dyDescent="0.3">
      <c r="B366" s="8"/>
      <c r="E366" s="8"/>
      <c r="G366" s="8"/>
    </row>
    <row r="367" spans="2:7" ht="14.25" customHeight="1" x14ac:dyDescent="0.3">
      <c r="B367" s="8"/>
      <c r="E367" s="8"/>
      <c r="G367" s="8"/>
    </row>
    <row r="368" spans="2:7" ht="14.25" customHeight="1" x14ac:dyDescent="0.3">
      <c r="B368" s="8"/>
      <c r="E368" s="8"/>
      <c r="G368" s="8"/>
    </row>
    <row r="369" spans="2:7" ht="14.25" customHeight="1" x14ac:dyDescent="0.3">
      <c r="B369" s="8"/>
      <c r="E369" s="8"/>
      <c r="G369" s="8"/>
    </row>
    <row r="370" spans="2:7" ht="14.25" customHeight="1" x14ac:dyDescent="0.3">
      <c r="B370" s="8"/>
      <c r="E370" s="8"/>
      <c r="G370" s="8"/>
    </row>
    <row r="371" spans="2:7" ht="14.25" customHeight="1" x14ac:dyDescent="0.3">
      <c r="B371" s="8"/>
      <c r="E371" s="8"/>
      <c r="G371" s="8"/>
    </row>
    <row r="372" spans="2:7" ht="14.25" customHeight="1" x14ac:dyDescent="0.3">
      <c r="B372" s="8"/>
      <c r="E372" s="8"/>
      <c r="G372" s="8"/>
    </row>
    <row r="373" spans="2:7" ht="14.25" customHeight="1" x14ac:dyDescent="0.3">
      <c r="B373" s="8"/>
      <c r="E373" s="8"/>
      <c r="G373" s="8"/>
    </row>
    <row r="374" spans="2:7" ht="14.25" customHeight="1" x14ac:dyDescent="0.3">
      <c r="B374" s="8"/>
      <c r="E374" s="8"/>
      <c r="G374" s="8"/>
    </row>
    <row r="375" spans="2:7" ht="14.25" customHeight="1" x14ac:dyDescent="0.3">
      <c r="B375" s="8"/>
      <c r="E375" s="8"/>
      <c r="G375" s="8"/>
    </row>
    <row r="376" spans="2:7" ht="14.25" customHeight="1" x14ac:dyDescent="0.3">
      <c r="B376" s="8"/>
      <c r="E376" s="8"/>
      <c r="G376" s="8"/>
    </row>
    <row r="377" spans="2:7" ht="14.25" customHeight="1" x14ac:dyDescent="0.3">
      <c r="B377" s="8"/>
      <c r="E377" s="8"/>
      <c r="G377" s="8"/>
    </row>
    <row r="378" spans="2:7" ht="14.25" customHeight="1" x14ac:dyDescent="0.3">
      <c r="B378" s="8"/>
      <c r="E378" s="8"/>
      <c r="G378" s="8"/>
    </row>
    <row r="379" spans="2:7" ht="14.25" customHeight="1" x14ac:dyDescent="0.3">
      <c r="B379" s="8"/>
      <c r="E379" s="8"/>
      <c r="G379" s="8"/>
    </row>
    <row r="380" spans="2:7" ht="14.25" customHeight="1" x14ac:dyDescent="0.3">
      <c r="B380" s="8"/>
      <c r="E380" s="8"/>
      <c r="G380" s="8"/>
    </row>
    <row r="381" spans="2:7" ht="14.25" customHeight="1" x14ac:dyDescent="0.3">
      <c r="B381" s="8"/>
      <c r="E381" s="8"/>
      <c r="G381" s="8"/>
    </row>
    <row r="382" spans="2:7" ht="14.25" customHeight="1" x14ac:dyDescent="0.3">
      <c r="B382" s="8"/>
      <c r="E382" s="8"/>
      <c r="G382" s="8"/>
    </row>
    <row r="383" spans="2:7" ht="14.25" customHeight="1" x14ac:dyDescent="0.3">
      <c r="B383" s="8"/>
      <c r="E383" s="8"/>
      <c r="G383" s="8"/>
    </row>
    <row r="384" spans="2:7" ht="14.25" customHeight="1" x14ac:dyDescent="0.3">
      <c r="B384" s="8"/>
      <c r="E384" s="8"/>
      <c r="G384" s="8"/>
    </row>
    <row r="385" spans="2:7" ht="14.25" customHeight="1" x14ac:dyDescent="0.3">
      <c r="B385" s="8"/>
      <c r="E385" s="8"/>
      <c r="G385" s="8"/>
    </row>
    <row r="386" spans="2:7" ht="14.25" customHeight="1" x14ac:dyDescent="0.3">
      <c r="B386" s="8"/>
      <c r="E386" s="8"/>
      <c r="G386" s="8"/>
    </row>
    <row r="387" spans="2:7" ht="14.25" customHeight="1" x14ac:dyDescent="0.3">
      <c r="B387" s="8"/>
      <c r="E387" s="8"/>
      <c r="G387" s="8"/>
    </row>
    <row r="388" spans="2:7" ht="14.25" customHeight="1" x14ac:dyDescent="0.3">
      <c r="B388" s="8"/>
      <c r="E388" s="8"/>
      <c r="G388" s="8"/>
    </row>
    <row r="389" spans="2:7" ht="14.25" customHeight="1" x14ac:dyDescent="0.3">
      <c r="B389" s="8"/>
      <c r="E389" s="8"/>
      <c r="G389" s="8"/>
    </row>
    <row r="390" spans="2:7" ht="14.25" customHeight="1" x14ac:dyDescent="0.3">
      <c r="B390" s="8"/>
      <c r="E390" s="8"/>
      <c r="G390" s="8"/>
    </row>
    <row r="391" spans="2:7" ht="14.25" customHeight="1" x14ac:dyDescent="0.3">
      <c r="B391" s="8"/>
      <c r="E391" s="8"/>
      <c r="G391" s="8"/>
    </row>
    <row r="392" spans="2:7" ht="14.25" customHeight="1" x14ac:dyDescent="0.3">
      <c r="B392" s="8"/>
      <c r="E392" s="8"/>
      <c r="G392" s="8"/>
    </row>
    <row r="393" spans="2:7" ht="14.25" customHeight="1" x14ac:dyDescent="0.3">
      <c r="B393" s="8"/>
      <c r="E393" s="8"/>
      <c r="G393" s="8"/>
    </row>
    <row r="394" spans="2:7" ht="14.25" customHeight="1" x14ac:dyDescent="0.3">
      <c r="B394" s="8"/>
      <c r="E394" s="8"/>
      <c r="G394" s="8"/>
    </row>
    <row r="395" spans="2:7" ht="14.25" customHeight="1" x14ac:dyDescent="0.3">
      <c r="B395" s="8"/>
      <c r="E395" s="8"/>
      <c r="G395" s="8"/>
    </row>
    <row r="396" spans="2:7" ht="14.25" customHeight="1" x14ac:dyDescent="0.3">
      <c r="B396" s="8"/>
      <c r="E396" s="8"/>
      <c r="G396" s="8"/>
    </row>
    <row r="397" spans="2:7" ht="14.25" customHeight="1" x14ac:dyDescent="0.3">
      <c r="B397" s="8"/>
      <c r="E397" s="8"/>
      <c r="G397" s="8"/>
    </row>
    <row r="398" spans="2:7" ht="14.25" customHeight="1" x14ac:dyDescent="0.3">
      <c r="B398" s="8"/>
      <c r="E398" s="8"/>
      <c r="G398" s="8"/>
    </row>
    <row r="399" spans="2:7" ht="14.25" customHeight="1" x14ac:dyDescent="0.3">
      <c r="B399" s="8"/>
      <c r="E399" s="8"/>
      <c r="G399" s="8"/>
    </row>
    <row r="400" spans="2:7" ht="14.25" customHeight="1" x14ac:dyDescent="0.3">
      <c r="B400" s="8"/>
      <c r="E400" s="8"/>
      <c r="G400" s="8"/>
    </row>
    <row r="401" spans="2:7" ht="14.25" customHeight="1" x14ac:dyDescent="0.3">
      <c r="B401" s="8"/>
      <c r="E401" s="8"/>
      <c r="G401" s="8"/>
    </row>
    <row r="402" spans="2:7" ht="14.25" customHeight="1" x14ac:dyDescent="0.3">
      <c r="B402" s="8"/>
      <c r="E402" s="8"/>
      <c r="G402" s="8"/>
    </row>
    <row r="403" spans="2:7" ht="14.25" customHeight="1" x14ac:dyDescent="0.3">
      <c r="B403" s="8"/>
      <c r="E403" s="8"/>
      <c r="G403" s="8"/>
    </row>
    <row r="404" spans="2:7" ht="14.25" customHeight="1" x14ac:dyDescent="0.3">
      <c r="B404" s="8"/>
      <c r="E404" s="8"/>
      <c r="G404" s="8"/>
    </row>
    <row r="405" spans="2:7" ht="14.25" customHeight="1" x14ac:dyDescent="0.3">
      <c r="B405" s="8"/>
      <c r="E405" s="8"/>
      <c r="G405" s="8"/>
    </row>
    <row r="406" spans="2:7" ht="14.25" customHeight="1" x14ac:dyDescent="0.3">
      <c r="B406" s="8"/>
      <c r="E406" s="8"/>
      <c r="G406" s="8"/>
    </row>
    <row r="407" spans="2:7" ht="14.25" customHeight="1" x14ac:dyDescent="0.3">
      <c r="B407" s="8"/>
      <c r="E407" s="8"/>
      <c r="G407" s="8"/>
    </row>
    <row r="408" spans="2:7" ht="14.25" customHeight="1" x14ac:dyDescent="0.3">
      <c r="B408" s="8"/>
      <c r="E408" s="8"/>
      <c r="G408" s="8"/>
    </row>
    <row r="409" spans="2:7" ht="14.25" customHeight="1" x14ac:dyDescent="0.3">
      <c r="B409" s="8"/>
      <c r="E409" s="8"/>
      <c r="G409" s="8"/>
    </row>
    <row r="410" spans="2:7" ht="14.25" customHeight="1" x14ac:dyDescent="0.3">
      <c r="B410" s="8"/>
      <c r="E410" s="8"/>
      <c r="G410" s="8"/>
    </row>
    <row r="411" spans="2:7" ht="14.25" customHeight="1" x14ac:dyDescent="0.3">
      <c r="B411" s="8"/>
      <c r="E411" s="8"/>
      <c r="G411" s="8"/>
    </row>
    <row r="412" spans="2:7" ht="14.25" customHeight="1" x14ac:dyDescent="0.3">
      <c r="B412" s="8"/>
      <c r="E412" s="8"/>
      <c r="G412" s="8"/>
    </row>
    <row r="413" spans="2:7" ht="14.25" customHeight="1" x14ac:dyDescent="0.3">
      <c r="B413" s="8"/>
      <c r="E413" s="8"/>
      <c r="G413" s="8"/>
    </row>
    <row r="414" spans="2:7" ht="14.25" customHeight="1" x14ac:dyDescent="0.3">
      <c r="B414" s="8"/>
      <c r="E414" s="8"/>
      <c r="G414" s="8"/>
    </row>
    <row r="415" spans="2:7" ht="14.25" customHeight="1" x14ac:dyDescent="0.3">
      <c r="B415" s="8"/>
      <c r="E415" s="8"/>
      <c r="G415" s="8"/>
    </row>
    <row r="416" spans="2:7" ht="14.25" customHeight="1" x14ac:dyDescent="0.3">
      <c r="B416" s="8"/>
      <c r="E416" s="8"/>
      <c r="G416" s="8"/>
    </row>
    <row r="417" spans="2:7" ht="14.25" customHeight="1" x14ac:dyDescent="0.3">
      <c r="B417" s="8"/>
      <c r="E417" s="8"/>
      <c r="G417" s="8"/>
    </row>
    <row r="418" spans="2:7" ht="14.25" customHeight="1" x14ac:dyDescent="0.3">
      <c r="B418" s="8"/>
      <c r="E418" s="8"/>
      <c r="G418" s="8"/>
    </row>
    <row r="419" spans="2:7" ht="14.25" customHeight="1" x14ac:dyDescent="0.3">
      <c r="B419" s="8"/>
      <c r="E419" s="8"/>
      <c r="G419" s="8"/>
    </row>
    <row r="420" spans="2:7" ht="14.25" customHeight="1" x14ac:dyDescent="0.3">
      <c r="B420" s="8"/>
      <c r="E420" s="8"/>
      <c r="G420" s="8"/>
    </row>
    <row r="421" spans="2:7" ht="14.25" customHeight="1" x14ac:dyDescent="0.3">
      <c r="B421" s="8"/>
      <c r="E421" s="8"/>
      <c r="G421" s="8"/>
    </row>
    <row r="422" spans="2:7" ht="14.25" customHeight="1" x14ac:dyDescent="0.3">
      <c r="B422" s="8"/>
      <c r="E422" s="8"/>
      <c r="G422" s="8"/>
    </row>
    <row r="423" spans="2:7" ht="14.25" customHeight="1" x14ac:dyDescent="0.3">
      <c r="B423" s="8"/>
      <c r="E423" s="8"/>
      <c r="G423" s="8"/>
    </row>
    <row r="424" spans="2:7" ht="14.25" customHeight="1" x14ac:dyDescent="0.3">
      <c r="B424" s="8"/>
      <c r="E424" s="8"/>
      <c r="G424" s="8"/>
    </row>
    <row r="425" spans="2:7" ht="14.25" customHeight="1" x14ac:dyDescent="0.3">
      <c r="B425" s="8"/>
      <c r="E425" s="8"/>
      <c r="G425" s="8"/>
    </row>
    <row r="426" spans="2:7" ht="14.25" customHeight="1" x14ac:dyDescent="0.3">
      <c r="B426" s="8"/>
      <c r="E426" s="8"/>
      <c r="G426" s="8"/>
    </row>
    <row r="427" spans="2:7" ht="14.25" customHeight="1" x14ac:dyDescent="0.3">
      <c r="B427" s="8"/>
      <c r="E427" s="8"/>
      <c r="G427" s="8"/>
    </row>
    <row r="428" spans="2:7" ht="14.25" customHeight="1" x14ac:dyDescent="0.3">
      <c r="B428" s="8"/>
      <c r="E428" s="8"/>
      <c r="G428" s="8"/>
    </row>
    <row r="429" spans="2:7" ht="14.25" customHeight="1" x14ac:dyDescent="0.3">
      <c r="B429" s="8"/>
      <c r="E429" s="8"/>
      <c r="G429" s="8"/>
    </row>
    <row r="430" spans="2:7" ht="14.25" customHeight="1" x14ac:dyDescent="0.3">
      <c r="B430" s="8"/>
      <c r="E430" s="8"/>
      <c r="G430" s="8"/>
    </row>
    <row r="431" spans="2:7" ht="14.25" customHeight="1" x14ac:dyDescent="0.3">
      <c r="B431" s="8"/>
      <c r="E431" s="8"/>
      <c r="G431" s="8"/>
    </row>
    <row r="432" spans="2:7" ht="14.25" customHeight="1" x14ac:dyDescent="0.3">
      <c r="B432" s="8"/>
      <c r="E432" s="8"/>
      <c r="G432" s="8"/>
    </row>
    <row r="433" spans="2:7" ht="14.25" customHeight="1" x14ac:dyDescent="0.3">
      <c r="B433" s="8"/>
      <c r="E433" s="8"/>
      <c r="G433" s="8"/>
    </row>
    <row r="434" spans="2:7" ht="14.25" customHeight="1" x14ac:dyDescent="0.3">
      <c r="B434" s="8"/>
      <c r="E434" s="8"/>
      <c r="G434" s="8"/>
    </row>
    <row r="435" spans="2:7" ht="14.25" customHeight="1" x14ac:dyDescent="0.3">
      <c r="B435" s="8"/>
      <c r="E435" s="8"/>
      <c r="G435" s="8"/>
    </row>
    <row r="436" spans="2:7" ht="14.25" customHeight="1" x14ac:dyDescent="0.3">
      <c r="B436" s="8"/>
      <c r="E436" s="8"/>
      <c r="G436" s="8"/>
    </row>
    <row r="437" spans="2:7" ht="14.25" customHeight="1" x14ac:dyDescent="0.3">
      <c r="B437" s="8"/>
      <c r="E437" s="8"/>
      <c r="G437" s="8"/>
    </row>
    <row r="438" spans="2:7" ht="14.25" customHeight="1" x14ac:dyDescent="0.3">
      <c r="B438" s="8"/>
      <c r="E438" s="8"/>
      <c r="G438" s="8"/>
    </row>
    <row r="439" spans="2:7" ht="14.25" customHeight="1" x14ac:dyDescent="0.3">
      <c r="B439" s="8"/>
      <c r="E439" s="8"/>
      <c r="G439" s="8"/>
    </row>
    <row r="440" spans="2:7" ht="14.25" customHeight="1" x14ac:dyDescent="0.3">
      <c r="B440" s="8"/>
      <c r="E440" s="8"/>
      <c r="G440" s="8"/>
    </row>
    <row r="441" spans="2:7" ht="14.25" customHeight="1" x14ac:dyDescent="0.3">
      <c r="B441" s="8"/>
      <c r="E441" s="8"/>
      <c r="G441" s="8"/>
    </row>
    <row r="442" spans="2:7" ht="14.25" customHeight="1" x14ac:dyDescent="0.3">
      <c r="B442" s="8"/>
      <c r="E442" s="8"/>
      <c r="G442" s="8"/>
    </row>
    <row r="443" spans="2:7" ht="14.25" customHeight="1" x14ac:dyDescent="0.3">
      <c r="B443" s="8"/>
      <c r="E443" s="8"/>
      <c r="G443" s="8"/>
    </row>
    <row r="444" spans="2:7" ht="14.25" customHeight="1" x14ac:dyDescent="0.3">
      <c r="B444" s="8"/>
      <c r="E444" s="8"/>
      <c r="G444" s="8"/>
    </row>
    <row r="445" spans="2:7" ht="14.25" customHeight="1" x14ac:dyDescent="0.3">
      <c r="B445" s="8"/>
      <c r="E445" s="8"/>
      <c r="G445" s="8"/>
    </row>
    <row r="446" spans="2:7" ht="14.25" customHeight="1" x14ac:dyDescent="0.3">
      <c r="B446" s="8"/>
      <c r="E446" s="8"/>
      <c r="G446" s="8"/>
    </row>
    <row r="447" spans="2:7" ht="14.25" customHeight="1" x14ac:dyDescent="0.3">
      <c r="B447" s="8"/>
      <c r="E447" s="8"/>
      <c r="G447" s="8"/>
    </row>
    <row r="448" spans="2:7" ht="14.25" customHeight="1" x14ac:dyDescent="0.3">
      <c r="B448" s="8"/>
      <c r="E448" s="8"/>
      <c r="G448" s="8"/>
    </row>
    <row r="449" spans="2:7" ht="14.25" customHeight="1" x14ac:dyDescent="0.3">
      <c r="B449" s="8"/>
      <c r="E449" s="8"/>
      <c r="G449" s="8"/>
    </row>
    <row r="450" spans="2:7" ht="14.25" customHeight="1" x14ac:dyDescent="0.3">
      <c r="B450" s="8"/>
      <c r="E450" s="8"/>
      <c r="G450" s="8"/>
    </row>
    <row r="451" spans="2:7" ht="14.25" customHeight="1" x14ac:dyDescent="0.3">
      <c r="B451" s="8"/>
      <c r="E451" s="8"/>
      <c r="G451" s="8"/>
    </row>
    <row r="452" spans="2:7" ht="14.25" customHeight="1" x14ac:dyDescent="0.3">
      <c r="B452" s="8"/>
      <c r="E452" s="8"/>
      <c r="G452" s="8"/>
    </row>
    <row r="453" spans="2:7" ht="14.25" customHeight="1" x14ac:dyDescent="0.3">
      <c r="B453" s="8"/>
      <c r="E453" s="8"/>
      <c r="G453" s="8"/>
    </row>
    <row r="454" spans="2:7" ht="14.25" customHeight="1" x14ac:dyDescent="0.3">
      <c r="B454" s="8"/>
      <c r="E454" s="8"/>
      <c r="G454" s="8"/>
    </row>
    <row r="455" spans="2:7" ht="14.25" customHeight="1" x14ac:dyDescent="0.3">
      <c r="B455" s="8"/>
      <c r="E455" s="8"/>
      <c r="G455" s="8"/>
    </row>
    <row r="456" spans="2:7" ht="14.25" customHeight="1" x14ac:dyDescent="0.3">
      <c r="B456" s="8"/>
      <c r="E456" s="8"/>
      <c r="G456" s="8"/>
    </row>
    <row r="457" spans="2:7" ht="14.25" customHeight="1" x14ac:dyDescent="0.3">
      <c r="B457" s="8"/>
      <c r="E457" s="8"/>
      <c r="G457" s="8"/>
    </row>
    <row r="458" spans="2:7" ht="14.25" customHeight="1" x14ac:dyDescent="0.3">
      <c r="B458" s="8"/>
      <c r="E458" s="8"/>
      <c r="G458" s="8"/>
    </row>
    <row r="459" spans="2:7" ht="14.25" customHeight="1" x14ac:dyDescent="0.3">
      <c r="B459" s="8"/>
      <c r="E459" s="8"/>
      <c r="G459" s="8"/>
    </row>
    <row r="460" spans="2:7" ht="14.25" customHeight="1" x14ac:dyDescent="0.3">
      <c r="B460" s="8"/>
      <c r="E460" s="8"/>
      <c r="G460" s="8"/>
    </row>
    <row r="461" spans="2:7" ht="14.25" customHeight="1" x14ac:dyDescent="0.3">
      <c r="B461" s="8"/>
      <c r="E461" s="8"/>
      <c r="G461" s="8"/>
    </row>
    <row r="462" spans="2:7" ht="14.25" customHeight="1" x14ac:dyDescent="0.3">
      <c r="B462" s="8"/>
      <c r="E462" s="8"/>
      <c r="G462" s="8"/>
    </row>
    <row r="463" spans="2:7" ht="14.25" customHeight="1" x14ac:dyDescent="0.3">
      <c r="B463" s="8"/>
      <c r="E463" s="8"/>
      <c r="G463" s="8"/>
    </row>
    <row r="464" spans="2:7" ht="14.25" customHeight="1" x14ac:dyDescent="0.3">
      <c r="B464" s="8"/>
      <c r="E464" s="8"/>
      <c r="G464" s="8"/>
    </row>
    <row r="465" spans="2:7" ht="14.25" customHeight="1" x14ac:dyDescent="0.3">
      <c r="B465" s="8"/>
      <c r="E465" s="8"/>
      <c r="G465" s="8"/>
    </row>
    <row r="466" spans="2:7" ht="14.25" customHeight="1" x14ac:dyDescent="0.3">
      <c r="B466" s="8"/>
      <c r="E466" s="8"/>
      <c r="G466" s="8"/>
    </row>
    <row r="467" spans="2:7" ht="14.25" customHeight="1" x14ac:dyDescent="0.3">
      <c r="B467" s="8"/>
      <c r="E467" s="8"/>
      <c r="G467" s="8"/>
    </row>
    <row r="468" spans="2:7" ht="14.25" customHeight="1" x14ac:dyDescent="0.3">
      <c r="B468" s="8"/>
      <c r="E468" s="8"/>
      <c r="G468" s="8"/>
    </row>
    <row r="469" spans="2:7" ht="14.25" customHeight="1" x14ac:dyDescent="0.3">
      <c r="B469" s="8"/>
      <c r="E469" s="8"/>
      <c r="G469" s="8"/>
    </row>
    <row r="470" spans="2:7" ht="14.25" customHeight="1" x14ac:dyDescent="0.3">
      <c r="B470" s="8"/>
      <c r="E470" s="8"/>
      <c r="G470" s="8"/>
    </row>
    <row r="471" spans="2:7" ht="14.25" customHeight="1" x14ac:dyDescent="0.3">
      <c r="B471" s="8"/>
      <c r="E471" s="8"/>
      <c r="G471" s="8"/>
    </row>
    <row r="472" spans="2:7" ht="14.25" customHeight="1" x14ac:dyDescent="0.3">
      <c r="B472" s="8"/>
      <c r="E472" s="8"/>
      <c r="G472" s="8"/>
    </row>
    <row r="473" spans="2:7" ht="14.25" customHeight="1" x14ac:dyDescent="0.3">
      <c r="B473" s="8"/>
      <c r="E473" s="8"/>
      <c r="G473" s="8"/>
    </row>
    <row r="474" spans="2:7" ht="14.25" customHeight="1" x14ac:dyDescent="0.3">
      <c r="B474" s="8"/>
      <c r="E474" s="8"/>
      <c r="G474" s="8"/>
    </row>
    <row r="475" spans="2:7" ht="14.25" customHeight="1" x14ac:dyDescent="0.3">
      <c r="B475" s="8"/>
      <c r="E475" s="8"/>
      <c r="G475" s="8"/>
    </row>
    <row r="476" spans="2:7" ht="14.25" customHeight="1" x14ac:dyDescent="0.3">
      <c r="B476" s="8"/>
      <c r="E476" s="8"/>
      <c r="G476" s="8"/>
    </row>
    <row r="477" spans="2:7" ht="14.25" customHeight="1" x14ac:dyDescent="0.3">
      <c r="B477" s="8"/>
      <c r="E477" s="8"/>
      <c r="G477" s="8"/>
    </row>
    <row r="478" spans="2:7" ht="14.25" customHeight="1" x14ac:dyDescent="0.3">
      <c r="B478" s="8"/>
      <c r="E478" s="8"/>
      <c r="G478" s="8"/>
    </row>
    <row r="479" spans="2:7" ht="14.25" customHeight="1" x14ac:dyDescent="0.3">
      <c r="B479" s="8"/>
      <c r="E479" s="8"/>
      <c r="G479" s="8"/>
    </row>
    <row r="480" spans="2:7" ht="14.25" customHeight="1" x14ac:dyDescent="0.3">
      <c r="B480" s="8"/>
      <c r="E480" s="8"/>
      <c r="G480" s="8"/>
    </row>
    <row r="481" spans="2:7" ht="14.25" customHeight="1" x14ac:dyDescent="0.3">
      <c r="B481" s="8"/>
      <c r="E481" s="8"/>
      <c r="G481" s="8"/>
    </row>
    <row r="482" spans="2:7" ht="14.25" customHeight="1" x14ac:dyDescent="0.3">
      <c r="B482" s="8"/>
      <c r="E482" s="8"/>
      <c r="G482" s="8"/>
    </row>
    <row r="483" spans="2:7" ht="14.25" customHeight="1" x14ac:dyDescent="0.3">
      <c r="B483" s="8"/>
      <c r="E483" s="8"/>
      <c r="G483" s="8"/>
    </row>
    <row r="484" spans="2:7" ht="14.25" customHeight="1" x14ac:dyDescent="0.3">
      <c r="B484" s="8"/>
      <c r="E484" s="8"/>
      <c r="G484" s="8"/>
    </row>
    <row r="485" spans="2:7" ht="14.25" customHeight="1" x14ac:dyDescent="0.3">
      <c r="B485" s="8"/>
      <c r="E485" s="8"/>
      <c r="G485" s="8"/>
    </row>
    <row r="486" spans="2:7" ht="14.25" customHeight="1" x14ac:dyDescent="0.3">
      <c r="B486" s="8"/>
      <c r="E486" s="8"/>
      <c r="G486" s="8"/>
    </row>
    <row r="487" spans="2:7" ht="14.25" customHeight="1" x14ac:dyDescent="0.3">
      <c r="B487" s="8"/>
      <c r="E487" s="8"/>
      <c r="G487" s="8"/>
    </row>
    <row r="488" spans="2:7" ht="14.25" customHeight="1" x14ac:dyDescent="0.3">
      <c r="B488" s="8"/>
      <c r="E488" s="8"/>
      <c r="G488" s="8"/>
    </row>
    <row r="489" spans="2:7" ht="14.25" customHeight="1" x14ac:dyDescent="0.3">
      <c r="B489" s="8"/>
      <c r="E489" s="8"/>
      <c r="G489" s="8"/>
    </row>
    <row r="490" spans="2:7" ht="14.25" customHeight="1" x14ac:dyDescent="0.3">
      <c r="B490" s="8"/>
      <c r="E490" s="8"/>
      <c r="G490" s="8"/>
    </row>
    <row r="491" spans="2:7" ht="14.25" customHeight="1" x14ac:dyDescent="0.3">
      <c r="B491" s="8"/>
      <c r="E491" s="8"/>
      <c r="G491" s="8"/>
    </row>
    <row r="492" spans="2:7" ht="14.25" customHeight="1" x14ac:dyDescent="0.3">
      <c r="B492" s="8"/>
      <c r="E492" s="8"/>
      <c r="G492" s="8"/>
    </row>
    <row r="493" spans="2:7" ht="14.25" customHeight="1" x14ac:dyDescent="0.3">
      <c r="B493" s="8"/>
      <c r="E493" s="8"/>
      <c r="G493" s="8"/>
    </row>
    <row r="494" spans="2:7" ht="14.25" customHeight="1" x14ac:dyDescent="0.3">
      <c r="B494" s="8"/>
      <c r="E494" s="8"/>
      <c r="G494" s="8"/>
    </row>
    <row r="495" spans="2:7" ht="14.25" customHeight="1" x14ac:dyDescent="0.3">
      <c r="B495" s="8"/>
      <c r="E495" s="8"/>
      <c r="G495" s="8"/>
    </row>
    <row r="496" spans="2:7" ht="14.25" customHeight="1" x14ac:dyDescent="0.3">
      <c r="B496" s="8"/>
      <c r="E496" s="8"/>
      <c r="G496" s="8"/>
    </row>
    <row r="497" spans="2:7" ht="14.25" customHeight="1" x14ac:dyDescent="0.3">
      <c r="B497" s="8"/>
      <c r="E497" s="8"/>
      <c r="G497" s="8"/>
    </row>
    <row r="498" spans="2:7" ht="14.25" customHeight="1" x14ac:dyDescent="0.3">
      <c r="B498" s="8"/>
      <c r="E498" s="8"/>
      <c r="G498" s="8"/>
    </row>
    <row r="499" spans="2:7" ht="14.25" customHeight="1" x14ac:dyDescent="0.3">
      <c r="B499" s="8"/>
      <c r="E499" s="8"/>
      <c r="G499" s="8"/>
    </row>
    <row r="500" spans="2:7" ht="14.25" customHeight="1" x14ac:dyDescent="0.3">
      <c r="B500" s="8"/>
      <c r="E500" s="8"/>
      <c r="G500" s="8"/>
    </row>
    <row r="501" spans="2:7" ht="14.25" customHeight="1" x14ac:dyDescent="0.3">
      <c r="B501" s="8"/>
      <c r="E501" s="8"/>
      <c r="G501" s="8"/>
    </row>
    <row r="502" spans="2:7" ht="14.25" customHeight="1" x14ac:dyDescent="0.3">
      <c r="B502" s="8"/>
      <c r="E502" s="8"/>
      <c r="G502" s="8"/>
    </row>
    <row r="503" spans="2:7" ht="14.25" customHeight="1" x14ac:dyDescent="0.3">
      <c r="B503" s="8"/>
      <c r="E503" s="8"/>
      <c r="G503" s="8"/>
    </row>
    <row r="504" spans="2:7" ht="14.25" customHeight="1" x14ac:dyDescent="0.3">
      <c r="B504" s="8"/>
      <c r="E504" s="8"/>
      <c r="G504" s="8"/>
    </row>
    <row r="505" spans="2:7" ht="14.25" customHeight="1" x14ac:dyDescent="0.3">
      <c r="B505" s="8"/>
      <c r="E505" s="8"/>
      <c r="G505" s="8"/>
    </row>
    <row r="506" spans="2:7" ht="14.25" customHeight="1" x14ac:dyDescent="0.3">
      <c r="B506" s="8"/>
      <c r="E506" s="8"/>
      <c r="G506" s="8"/>
    </row>
    <row r="507" spans="2:7" ht="14.25" customHeight="1" x14ac:dyDescent="0.3">
      <c r="B507" s="8"/>
      <c r="E507" s="8"/>
      <c r="G507" s="8"/>
    </row>
    <row r="508" spans="2:7" ht="14.25" customHeight="1" x14ac:dyDescent="0.3">
      <c r="B508" s="8"/>
      <c r="E508" s="8"/>
      <c r="G508" s="8"/>
    </row>
    <row r="509" spans="2:7" ht="14.25" customHeight="1" x14ac:dyDescent="0.3">
      <c r="B509" s="8"/>
      <c r="E509" s="8"/>
      <c r="G509" s="8"/>
    </row>
    <row r="510" spans="2:7" ht="14.25" customHeight="1" x14ac:dyDescent="0.3">
      <c r="B510" s="8"/>
      <c r="E510" s="8"/>
      <c r="G510" s="8"/>
    </row>
    <row r="511" spans="2:7" ht="14.25" customHeight="1" x14ac:dyDescent="0.3">
      <c r="B511" s="8"/>
      <c r="E511" s="8"/>
      <c r="G511" s="8"/>
    </row>
    <row r="512" spans="2:7" ht="14.25" customHeight="1" x14ac:dyDescent="0.3">
      <c r="B512" s="8"/>
      <c r="E512" s="8"/>
      <c r="G512" s="8"/>
    </row>
    <row r="513" spans="2:7" ht="14.25" customHeight="1" x14ac:dyDescent="0.3">
      <c r="B513" s="8"/>
      <c r="E513" s="8"/>
      <c r="G513" s="8"/>
    </row>
    <row r="514" spans="2:7" ht="14.25" customHeight="1" x14ac:dyDescent="0.3">
      <c r="B514" s="8"/>
      <c r="E514" s="8"/>
      <c r="G514" s="8"/>
    </row>
    <row r="515" spans="2:7" ht="14.25" customHeight="1" x14ac:dyDescent="0.3">
      <c r="B515" s="8"/>
      <c r="E515" s="8"/>
      <c r="G515" s="8"/>
    </row>
    <row r="516" spans="2:7" ht="14.25" customHeight="1" x14ac:dyDescent="0.3">
      <c r="B516" s="8"/>
      <c r="E516" s="8"/>
      <c r="G516" s="8"/>
    </row>
    <row r="517" spans="2:7" ht="14.25" customHeight="1" x14ac:dyDescent="0.3">
      <c r="B517" s="8"/>
      <c r="E517" s="8"/>
      <c r="G517" s="8"/>
    </row>
    <row r="518" spans="2:7" ht="14.25" customHeight="1" x14ac:dyDescent="0.3">
      <c r="B518" s="8"/>
      <c r="E518" s="8"/>
      <c r="G518" s="8"/>
    </row>
    <row r="519" spans="2:7" ht="14.25" customHeight="1" x14ac:dyDescent="0.3">
      <c r="B519" s="8"/>
      <c r="E519" s="8"/>
      <c r="G519" s="8"/>
    </row>
    <row r="520" spans="2:7" ht="14.25" customHeight="1" x14ac:dyDescent="0.3">
      <c r="B520" s="8"/>
      <c r="E520" s="8"/>
      <c r="G520" s="8"/>
    </row>
    <row r="521" spans="2:7" ht="14.25" customHeight="1" x14ac:dyDescent="0.3">
      <c r="B521" s="8"/>
      <c r="E521" s="8"/>
      <c r="G521" s="8"/>
    </row>
    <row r="522" spans="2:7" ht="14.25" customHeight="1" x14ac:dyDescent="0.3">
      <c r="B522" s="8"/>
      <c r="E522" s="8"/>
      <c r="G522" s="8"/>
    </row>
    <row r="523" spans="2:7" ht="14.25" customHeight="1" x14ac:dyDescent="0.3">
      <c r="B523" s="8"/>
      <c r="E523" s="8"/>
      <c r="G523" s="8"/>
    </row>
    <row r="524" spans="2:7" ht="14.25" customHeight="1" x14ac:dyDescent="0.3">
      <c r="B524" s="8"/>
      <c r="E524" s="8"/>
      <c r="G524" s="8"/>
    </row>
    <row r="525" spans="2:7" ht="14.25" customHeight="1" x14ac:dyDescent="0.3">
      <c r="B525" s="8"/>
      <c r="E525" s="8"/>
      <c r="G525" s="8"/>
    </row>
    <row r="526" spans="2:7" ht="14.25" customHeight="1" x14ac:dyDescent="0.3">
      <c r="B526" s="8"/>
      <c r="E526" s="8"/>
      <c r="G526" s="8"/>
    </row>
    <row r="527" spans="2:7" ht="14.25" customHeight="1" x14ac:dyDescent="0.3">
      <c r="B527" s="8"/>
      <c r="E527" s="8"/>
      <c r="G527" s="8"/>
    </row>
    <row r="528" spans="2:7" ht="14.25" customHeight="1" x14ac:dyDescent="0.3">
      <c r="B528" s="8"/>
      <c r="E528" s="8"/>
      <c r="G528" s="8"/>
    </row>
    <row r="529" spans="2:7" ht="14.25" customHeight="1" x14ac:dyDescent="0.3">
      <c r="B529" s="8"/>
      <c r="E529" s="8"/>
      <c r="G529" s="8"/>
    </row>
    <row r="530" spans="2:7" ht="14.25" customHeight="1" x14ac:dyDescent="0.3">
      <c r="B530" s="8"/>
      <c r="E530" s="8"/>
      <c r="G530" s="8"/>
    </row>
    <row r="531" spans="2:7" ht="14.25" customHeight="1" x14ac:dyDescent="0.3">
      <c r="B531" s="8"/>
      <c r="E531" s="8"/>
      <c r="G531" s="8"/>
    </row>
    <row r="532" spans="2:7" ht="14.25" customHeight="1" x14ac:dyDescent="0.3">
      <c r="B532" s="8"/>
      <c r="E532" s="8"/>
      <c r="G532" s="8"/>
    </row>
    <row r="533" spans="2:7" ht="14.25" customHeight="1" x14ac:dyDescent="0.3">
      <c r="B533" s="8"/>
      <c r="E533" s="8"/>
      <c r="G533" s="8"/>
    </row>
    <row r="534" spans="2:7" ht="14.25" customHeight="1" x14ac:dyDescent="0.3">
      <c r="B534" s="8"/>
      <c r="E534" s="8"/>
      <c r="G534" s="8"/>
    </row>
    <row r="535" spans="2:7" ht="14.25" customHeight="1" x14ac:dyDescent="0.3">
      <c r="B535" s="8"/>
      <c r="E535" s="8"/>
      <c r="G535" s="8"/>
    </row>
    <row r="536" spans="2:7" ht="14.25" customHeight="1" x14ac:dyDescent="0.3">
      <c r="B536" s="8"/>
      <c r="E536" s="8"/>
      <c r="G536" s="8"/>
    </row>
    <row r="537" spans="2:7" ht="14.25" customHeight="1" x14ac:dyDescent="0.3">
      <c r="B537" s="8"/>
      <c r="E537" s="8"/>
      <c r="G537" s="8"/>
    </row>
    <row r="538" spans="2:7" ht="14.25" customHeight="1" x14ac:dyDescent="0.3">
      <c r="B538" s="8"/>
      <c r="E538" s="8"/>
      <c r="G538" s="8"/>
    </row>
    <row r="539" spans="2:7" ht="14.25" customHeight="1" x14ac:dyDescent="0.3">
      <c r="B539" s="8"/>
      <c r="E539" s="8"/>
      <c r="G539" s="8"/>
    </row>
    <row r="540" spans="2:7" ht="14.25" customHeight="1" x14ac:dyDescent="0.3">
      <c r="B540" s="8"/>
      <c r="E540" s="8"/>
      <c r="G540" s="8"/>
    </row>
    <row r="541" spans="2:7" ht="14.25" customHeight="1" x14ac:dyDescent="0.3">
      <c r="B541" s="8"/>
      <c r="E541" s="8"/>
      <c r="G541" s="8"/>
    </row>
    <row r="542" spans="2:7" ht="14.25" customHeight="1" x14ac:dyDescent="0.3">
      <c r="B542" s="8"/>
      <c r="E542" s="8"/>
      <c r="G542" s="8"/>
    </row>
    <row r="543" spans="2:7" ht="14.25" customHeight="1" x14ac:dyDescent="0.3">
      <c r="B543" s="8"/>
      <c r="E543" s="8"/>
      <c r="G543" s="8"/>
    </row>
    <row r="544" spans="2:7" ht="14.25" customHeight="1" x14ac:dyDescent="0.3">
      <c r="B544" s="8"/>
      <c r="E544" s="8"/>
      <c r="G544" s="8"/>
    </row>
    <row r="545" spans="2:7" ht="14.25" customHeight="1" x14ac:dyDescent="0.3">
      <c r="B545" s="8"/>
      <c r="E545" s="8"/>
      <c r="G545" s="8"/>
    </row>
    <row r="546" spans="2:7" ht="14.25" customHeight="1" x14ac:dyDescent="0.3">
      <c r="B546" s="8"/>
      <c r="E546" s="8"/>
      <c r="G546" s="8"/>
    </row>
    <row r="547" spans="2:7" ht="14.25" customHeight="1" x14ac:dyDescent="0.3">
      <c r="B547" s="8"/>
      <c r="E547" s="8"/>
      <c r="G547" s="8"/>
    </row>
    <row r="548" spans="2:7" ht="14.25" customHeight="1" x14ac:dyDescent="0.3">
      <c r="B548" s="8"/>
      <c r="E548" s="8"/>
      <c r="G548" s="8"/>
    </row>
    <row r="549" spans="2:7" ht="14.25" customHeight="1" x14ac:dyDescent="0.3">
      <c r="B549" s="8"/>
      <c r="E549" s="8"/>
      <c r="G549" s="8"/>
    </row>
    <row r="550" spans="2:7" ht="14.25" customHeight="1" x14ac:dyDescent="0.3">
      <c r="B550" s="8"/>
      <c r="E550" s="8"/>
      <c r="G550" s="8"/>
    </row>
    <row r="551" spans="2:7" ht="14.25" customHeight="1" x14ac:dyDescent="0.3">
      <c r="B551" s="8"/>
      <c r="E551" s="8"/>
      <c r="G551" s="8"/>
    </row>
    <row r="552" spans="2:7" ht="14.25" customHeight="1" x14ac:dyDescent="0.3">
      <c r="B552" s="8"/>
      <c r="E552" s="8"/>
      <c r="G552" s="8"/>
    </row>
    <row r="553" spans="2:7" ht="14.25" customHeight="1" x14ac:dyDescent="0.3">
      <c r="B553" s="8"/>
      <c r="E553" s="8"/>
      <c r="G553" s="8"/>
    </row>
    <row r="554" spans="2:7" ht="14.25" customHeight="1" x14ac:dyDescent="0.3">
      <c r="B554" s="8"/>
      <c r="E554" s="8"/>
      <c r="G554" s="8"/>
    </row>
    <row r="555" spans="2:7" ht="14.25" customHeight="1" x14ac:dyDescent="0.3">
      <c r="B555" s="8"/>
      <c r="E555" s="8"/>
      <c r="G555" s="8"/>
    </row>
    <row r="556" spans="2:7" ht="14.25" customHeight="1" x14ac:dyDescent="0.3">
      <c r="B556" s="8"/>
      <c r="E556" s="8"/>
      <c r="G556" s="8"/>
    </row>
    <row r="557" spans="2:7" ht="14.25" customHeight="1" x14ac:dyDescent="0.3">
      <c r="B557" s="8"/>
      <c r="E557" s="8"/>
      <c r="G557" s="8"/>
    </row>
    <row r="558" spans="2:7" ht="14.25" customHeight="1" x14ac:dyDescent="0.3">
      <c r="B558" s="8"/>
      <c r="E558" s="8"/>
      <c r="G558" s="8"/>
    </row>
    <row r="559" spans="2:7" ht="14.25" customHeight="1" x14ac:dyDescent="0.3">
      <c r="B559" s="8"/>
      <c r="E559" s="8"/>
      <c r="G559" s="8"/>
    </row>
    <row r="560" spans="2:7" ht="14.25" customHeight="1" x14ac:dyDescent="0.3">
      <c r="B560" s="8"/>
      <c r="E560" s="8"/>
      <c r="G560" s="8"/>
    </row>
    <row r="561" spans="2:7" ht="14.25" customHeight="1" x14ac:dyDescent="0.3">
      <c r="B561" s="8"/>
      <c r="E561" s="8"/>
      <c r="G561" s="8"/>
    </row>
    <row r="562" spans="2:7" ht="14.25" customHeight="1" x14ac:dyDescent="0.3">
      <c r="B562" s="8"/>
      <c r="E562" s="8"/>
      <c r="G562" s="8"/>
    </row>
    <row r="563" spans="2:7" ht="14.25" customHeight="1" x14ac:dyDescent="0.3">
      <c r="B563" s="8"/>
      <c r="E563" s="8"/>
      <c r="G563" s="8"/>
    </row>
    <row r="564" spans="2:7" ht="14.25" customHeight="1" x14ac:dyDescent="0.3">
      <c r="B564" s="8"/>
      <c r="E564" s="8"/>
      <c r="G564" s="8"/>
    </row>
    <row r="565" spans="2:7" ht="14.25" customHeight="1" x14ac:dyDescent="0.3">
      <c r="B565" s="8"/>
      <c r="E565" s="8"/>
      <c r="G565" s="8"/>
    </row>
    <row r="566" spans="2:7" ht="14.25" customHeight="1" x14ac:dyDescent="0.3">
      <c r="B566" s="8"/>
      <c r="E566" s="8"/>
      <c r="G566" s="8"/>
    </row>
    <row r="567" spans="2:7" ht="14.25" customHeight="1" x14ac:dyDescent="0.3">
      <c r="B567" s="8"/>
      <c r="E567" s="8"/>
      <c r="G567" s="8"/>
    </row>
    <row r="568" spans="2:7" ht="14.25" customHeight="1" x14ac:dyDescent="0.3">
      <c r="B568" s="8"/>
      <c r="E568" s="8"/>
      <c r="G568" s="8"/>
    </row>
    <row r="569" spans="2:7" ht="14.25" customHeight="1" x14ac:dyDescent="0.3">
      <c r="B569" s="8"/>
      <c r="E569" s="8"/>
      <c r="G569" s="8"/>
    </row>
    <row r="570" spans="2:7" ht="14.25" customHeight="1" x14ac:dyDescent="0.3">
      <c r="B570" s="8"/>
      <c r="E570" s="8"/>
      <c r="G570" s="8"/>
    </row>
    <row r="571" spans="2:7" ht="14.25" customHeight="1" x14ac:dyDescent="0.3">
      <c r="B571" s="8"/>
      <c r="E571" s="8"/>
      <c r="G571" s="8"/>
    </row>
    <row r="572" spans="2:7" ht="14.25" customHeight="1" x14ac:dyDescent="0.3">
      <c r="B572" s="8"/>
      <c r="E572" s="8"/>
      <c r="G572" s="8"/>
    </row>
    <row r="573" spans="2:7" ht="14.25" customHeight="1" x14ac:dyDescent="0.3">
      <c r="B573" s="8"/>
      <c r="E573" s="8"/>
      <c r="G573" s="8"/>
    </row>
    <row r="574" spans="2:7" ht="14.25" customHeight="1" x14ac:dyDescent="0.3">
      <c r="B574" s="8"/>
      <c r="E574" s="8"/>
      <c r="G574" s="8"/>
    </row>
    <row r="575" spans="2:7" ht="14.25" customHeight="1" x14ac:dyDescent="0.3">
      <c r="B575" s="8"/>
      <c r="E575" s="8"/>
      <c r="G575" s="8"/>
    </row>
    <row r="576" spans="2:7" ht="14.25" customHeight="1" x14ac:dyDescent="0.3">
      <c r="B576" s="8"/>
      <c r="E576" s="8"/>
      <c r="G576" s="8"/>
    </row>
    <row r="577" spans="2:7" ht="14.25" customHeight="1" x14ac:dyDescent="0.3">
      <c r="B577" s="8"/>
      <c r="E577" s="8"/>
      <c r="G577" s="8"/>
    </row>
    <row r="578" spans="2:7" ht="14.25" customHeight="1" x14ac:dyDescent="0.3">
      <c r="B578" s="8"/>
      <c r="E578" s="8"/>
      <c r="G578" s="8"/>
    </row>
    <row r="579" spans="2:7" ht="14.25" customHeight="1" x14ac:dyDescent="0.3">
      <c r="B579" s="8"/>
      <c r="E579" s="8"/>
      <c r="G579" s="8"/>
    </row>
    <row r="580" spans="2:7" ht="14.25" customHeight="1" x14ac:dyDescent="0.3">
      <c r="B580" s="8"/>
      <c r="E580" s="8"/>
      <c r="G580" s="8"/>
    </row>
    <row r="581" spans="2:7" ht="14.25" customHeight="1" x14ac:dyDescent="0.3">
      <c r="B581" s="8"/>
      <c r="E581" s="8"/>
      <c r="G581" s="8"/>
    </row>
    <row r="582" spans="2:7" ht="14.25" customHeight="1" x14ac:dyDescent="0.3">
      <c r="B582" s="8"/>
      <c r="E582" s="8"/>
      <c r="G582" s="8"/>
    </row>
    <row r="583" spans="2:7" ht="14.25" customHeight="1" x14ac:dyDescent="0.3">
      <c r="B583" s="8"/>
      <c r="E583" s="8"/>
      <c r="G583" s="8"/>
    </row>
    <row r="584" spans="2:7" ht="14.25" customHeight="1" x14ac:dyDescent="0.3">
      <c r="B584" s="8"/>
      <c r="E584" s="8"/>
      <c r="G584" s="8"/>
    </row>
    <row r="585" spans="2:7" ht="14.25" customHeight="1" x14ac:dyDescent="0.3">
      <c r="B585" s="8"/>
      <c r="E585" s="8"/>
      <c r="G585" s="8"/>
    </row>
    <row r="586" spans="2:7" ht="14.25" customHeight="1" x14ac:dyDescent="0.3">
      <c r="B586" s="8"/>
      <c r="E586" s="8"/>
      <c r="G586" s="8"/>
    </row>
    <row r="587" spans="2:7" ht="14.25" customHeight="1" x14ac:dyDescent="0.3">
      <c r="B587" s="8"/>
      <c r="E587" s="8"/>
      <c r="G587" s="8"/>
    </row>
    <row r="588" spans="2:7" ht="14.25" customHeight="1" x14ac:dyDescent="0.3">
      <c r="B588" s="8"/>
      <c r="E588" s="8"/>
      <c r="G588" s="8"/>
    </row>
    <row r="589" spans="2:7" ht="14.25" customHeight="1" x14ac:dyDescent="0.3">
      <c r="B589" s="8"/>
      <c r="E589" s="8"/>
      <c r="G589" s="8"/>
    </row>
    <row r="590" spans="2:7" ht="14.25" customHeight="1" x14ac:dyDescent="0.3">
      <c r="B590" s="8"/>
      <c r="E590" s="8"/>
      <c r="G590" s="8"/>
    </row>
    <row r="591" spans="2:7" ht="14.25" customHeight="1" x14ac:dyDescent="0.3">
      <c r="B591" s="8"/>
      <c r="E591" s="8"/>
      <c r="G591" s="8"/>
    </row>
    <row r="592" spans="2:7" ht="14.25" customHeight="1" x14ac:dyDescent="0.3">
      <c r="B592" s="8"/>
      <c r="E592" s="8"/>
      <c r="G592" s="8"/>
    </row>
    <row r="593" spans="2:7" ht="14.25" customHeight="1" x14ac:dyDescent="0.3">
      <c r="B593" s="8"/>
      <c r="E593" s="8"/>
      <c r="G593" s="8"/>
    </row>
    <row r="594" spans="2:7" ht="14.25" customHeight="1" x14ac:dyDescent="0.3">
      <c r="B594" s="8"/>
      <c r="E594" s="8"/>
      <c r="G594" s="8"/>
    </row>
    <row r="595" spans="2:7" ht="14.25" customHeight="1" x14ac:dyDescent="0.3">
      <c r="B595" s="8"/>
      <c r="E595" s="8"/>
      <c r="G595" s="8"/>
    </row>
    <row r="596" spans="2:7" ht="14.25" customHeight="1" x14ac:dyDescent="0.3">
      <c r="B596" s="8"/>
      <c r="E596" s="8"/>
      <c r="G596" s="8"/>
    </row>
    <row r="597" spans="2:7" ht="14.25" customHeight="1" x14ac:dyDescent="0.3">
      <c r="B597" s="8"/>
      <c r="E597" s="8"/>
      <c r="G597" s="8"/>
    </row>
    <row r="598" spans="2:7" ht="14.25" customHeight="1" x14ac:dyDescent="0.3">
      <c r="B598" s="8"/>
      <c r="E598" s="8"/>
      <c r="G598" s="8"/>
    </row>
    <row r="599" spans="2:7" ht="14.25" customHeight="1" x14ac:dyDescent="0.3">
      <c r="B599" s="8"/>
      <c r="E599" s="8"/>
      <c r="G599" s="8"/>
    </row>
    <row r="600" spans="2:7" ht="14.25" customHeight="1" x14ac:dyDescent="0.3">
      <c r="B600" s="8"/>
      <c r="E600" s="8"/>
      <c r="G600" s="8"/>
    </row>
    <row r="601" spans="2:7" ht="14.25" customHeight="1" x14ac:dyDescent="0.3">
      <c r="B601" s="8"/>
      <c r="E601" s="8"/>
      <c r="G601" s="8"/>
    </row>
    <row r="602" spans="2:7" ht="14.25" customHeight="1" x14ac:dyDescent="0.3">
      <c r="B602" s="8"/>
      <c r="E602" s="8"/>
      <c r="G602" s="8"/>
    </row>
    <row r="603" spans="2:7" ht="14.25" customHeight="1" x14ac:dyDescent="0.3">
      <c r="B603" s="8"/>
      <c r="E603" s="8"/>
      <c r="G603" s="8"/>
    </row>
    <row r="604" spans="2:7" ht="14.25" customHeight="1" x14ac:dyDescent="0.3">
      <c r="B604" s="8"/>
      <c r="E604" s="8"/>
      <c r="G604" s="8"/>
    </row>
    <row r="605" spans="2:7" ht="14.25" customHeight="1" x14ac:dyDescent="0.3">
      <c r="B605" s="8"/>
      <c r="E605" s="8"/>
      <c r="G605" s="8"/>
    </row>
    <row r="606" spans="2:7" ht="14.25" customHeight="1" x14ac:dyDescent="0.3">
      <c r="B606" s="8"/>
      <c r="E606" s="8"/>
      <c r="G606" s="8"/>
    </row>
    <row r="607" spans="2:7" ht="14.25" customHeight="1" x14ac:dyDescent="0.3">
      <c r="B607" s="8"/>
      <c r="E607" s="8"/>
      <c r="G607" s="8"/>
    </row>
    <row r="608" spans="2:7" ht="14.25" customHeight="1" x14ac:dyDescent="0.3">
      <c r="B608" s="8"/>
      <c r="E608" s="8"/>
      <c r="G608" s="8"/>
    </row>
    <row r="609" spans="2:7" ht="14.25" customHeight="1" x14ac:dyDescent="0.3">
      <c r="B609" s="8"/>
      <c r="E609" s="8"/>
      <c r="G609" s="8"/>
    </row>
    <row r="610" spans="2:7" ht="14.25" customHeight="1" x14ac:dyDescent="0.3">
      <c r="B610" s="8"/>
      <c r="E610" s="8"/>
      <c r="G610" s="8"/>
    </row>
    <row r="611" spans="2:7" ht="14.25" customHeight="1" x14ac:dyDescent="0.3">
      <c r="B611" s="8"/>
      <c r="E611" s="8"/>
      <c r="G611" s="8"/>
    </row>
    <row r="612" spans="2:7" ht="14.25" customHeight="1" x14ac:dyDescent="0.3">
      <c r="B612" s="8"/>
      <c r="E612" s="8"/>
      <c r="G612" s="8"/>
    </row>
    <row r="613" spans="2:7" ht="14.25" customHeight="1" x14ac:dyDescent="0.3">
      <c r="B613" s="8"/>
      <c r="E613" s="8"/>
      <c r="G613" s="8"/>
    </row>
    <row r="614" spans="2:7" ht="14.25" customHeight="1" x14ac:dyDescent="0.3">
      <c r="B614" s="8"/>
      <c r="E614" s="8"/>
      <c r="G614" s="8"/>
    </row>
    <row r="615" spans="2:7" ht="14.25" customHeight="1" x14ac:dyDescent="0.3">
      <c r="B615" s="8"/>
      <c r="E615" s="8"/>
      <c r="G615" s="8"/>
    </row>
    <row r="616" spans="2:7" ht="14.25" customHeight="1" x14ac:dyDescent="0.3">
      <c r="B616" s="8"/>
      <c r="E616" s="8"/>
      <c r="G616" s="8"/>
    </row>
    <row r="617" spans="2:7" ht="14.25" customHeight="1" x14ac:dyDescent="0.3">
      <c r="B617" s="8"/>
      <c r="E617" s="8"/>
      <c r="G617" s="8"/>
    </row>
    <row r="618" spans="2:7" ht="14.25" customHeight="1" x14ac:dyDescent="0.3">
      <c r="B618" s="8"/>
      <c r="E618" s="8"/>
      <c r="G618" s="8"/>
    </row>
    <row r="619" spans="2:7" ht="14.25" customHeight="1" x14ac:dyDescent="0.3">
      <c r="B619" s="8"/>
      <c r="E619" s="8"/>
      <c r="G619" s="8"/>
    </row>
    <row r="620" spans="2:7" ht="14.25" customHeight="1" x14ac:dyDescent="0.3">
      <c r="B620" s="8"/>
      <c r="E620" s="8"/>
      <c r="G620" s="8"/>
    </row>
    <row r="621" spans="2:7" ht="14.25" customHeight="1" x14ac:dyDescent="0.3">
      <c r="B621" s="8"/>
      <c r="E621" s="8"/>
      <c r="G621" s="8"/>
    </row>
    <row r="622" spans="2:7" ht="14.25" customHeight="1" x14ac:dyDescent="0.3">
      <c r="B622" s="8"/>
      <c r="E622" s="8"/>
      <c r="G622" s="8"/>
    </row>
    <row r="623" spans="2:7" ht="14.25" customHeight="1" x14ac:dyDescent="0.3">
      <c r="B623" s="8"/>
      <c r="E623" s="8"/>
      <c r="G623" s="8"/>
    </row>
    <row r="624" spans="2:7" ht="14.25" customHeight="1" x14ac:dyDescent="0.3">
      <c r="B624" s="8"/>
      <c r="E624" s="8"/>
      <c r="G624" s="8"/>
    </row>
    <row r="625" spans="2:7" ht="14.25" customHeight="1" x14ac:dyDescent="0.3">
      <c r="B625" s="8"/>
      <c r="E625" s="8"/>
      <c r="G625" s="8"/>
    </row>
    <row r="626" spans="2:7" ht="14.25" customHeight="1" x14ac:dyDescent="0.3">
      <c r="B626" s="8"/>
      <c r="E626" s="8"/>
      <c r="G626" s="8"/>
    </row>
    <row r="627" spans="2:7" ht="14.25" customHeight="1" x14ac:dyDescent="0.3">
      <c r="B627" s="8"/>
      <c r="E627" s="8"/>
      <c r="G627" s="8"/>
    </row>
    <row r="628" spans="2:7" ht="14.25" customHeight="1" x14ac:dyDescent="0.3">
      <c r="B628" s="8"/>
      <c r="E628" s="8"/>
      <c r="G628" s="8"/>
    </row>
    <row r="629" spans="2:7" ht="14.25" customHeight="1" x14ac:dyDescent="0.3">
      <c r="B629" s="8"/>
      <c r="E629" s="8"/>
      <c r="G629" s="8"/>
    </row>
    <row r="630" spans="2:7" ht="14.25" customHeight="1" x14ac:dyDescent="0.3">
      <c r="B630" s="8"/>
      <c r="E630" s="8"/>
      <c r="G630" s="8"/>
    </row>
    <row r="631" spans="2:7" ht="14.25" customHeight="1" x14ac:dyDescent="0.3">
      <c r="B631" s="8"/>
      <c r="E631" s="8"/>
      <c r="G631" s="8"/>
    </row>
    <row r="632" spans="2:7" ht="14.25" customHeight="1" x14ac:dyDescent="0.3">
      <c r="B632" s="8"/>
      <c r="E632" s="8"/>
      <c r="G632" s="8"/>
    </row>
    <row r="633" spans="2:7" ht="14.25" customHeight="1" x14ac:dyDescent="0.3">
      <c r="B633" s="8"/>
      <c r="E633" s="8"/>
      <c r="G633" s="8"/>
    </row>
    <row r="634" spans="2:7" ht="14.25" customHeight="1" x14ac:dyDescent="0.3">
      <c r="B634" s="8"/>
      <c r="E634" s="8"/>
      <c r="G634" s="8"/>
    </row>
    <row r="635" spans="2:7" ht="14.25" customHeight="1" x14ac:dyDescent="0.3">
      <c r="B635" s="8"/>
      <c r="E635" s="8"/>
      <c r="G635" s="8"/>
    </row>
    <row r="636" spans="2:7" ht="14.25" customHeight="1" x14ac:dyDescent="0.3">
      <c r="B636" s="8"/>
      <c r="E636" s="8"/>
      <c r="G636" s="8"/>
    </row>
    <row r="637" spans="2:7" ht="14.25" customHeight="1" x14ac:dyDescent="0.3">
      <c r="B637" s="8"/>
      <c r="E637" s="8"/>
      <c r="G637" s="8"/>
    </row>
    <row r="638" spans="2:7" ht="14.25" customHeight="1" x14ac:dyDescent="0.3">
      <c r="B638" s="8"/>
      <c r="E638" s="8"/>
      <c r="G638" s="8"/>
    </row>
    <row r="639" spans="2:7" ht="14.25" customHeight="1" x14ac:dyDescent="0.3">
      <c r="B639" s="8"/>
      <c r="E639" s="8"/>
      <c r="G639" s="8"/>
    </row>
    <row r="640" spans="2:7" ht="14.25" customHeight="1" x14ac:dyDescent="0.3">
      <c r="B640" s="8"/>
      <c r="E640" s="8"/>
      <c r="G640" s="8"/>
    </row>
    <row r="641" spans="2:7" ht="14.25" customHeight="1" x14ac:dyDescent="0.3">
      <c r="B641" s="8"/>
      <c r="E641" s="8"/>
      <c r="G641" s="8"/>
    </row>
    <row r="642" spans="2:7" ht="14.25" customHeight="1" x14ac:dyDescent="0.3">
      <c r="B642" s="8"/>
      <c r="E642" s="8"/>
      <c r="G642" s="8"/>
    </row>
    <row r="643" spans="2:7" ht="14.25" customHeight="1" x14ac:dyDescent="0.3">
      <c r="B643" s="8"/>
      <c r="E643" s="8"/>
      <c r="G643" s="8"/>
    </row>
    <row r="644" spans="2:7" ht="14.25" customHeight="1" x14ac:dyDescent="0.3">
      <c r="B644" s="8"/>
      <c r="E644" s="8"/>
      <c r="G644" s="8"/>
    </row>
    <row r="645" spans="2:7" ht="14.25" customHeight="1" x14ac:dyDescent="0.3">
      <c r="B645" s="8"/>
      <c r="E645" s="8"/>
      <c r="G645" s="8"/>
    </row>
    <row r="646" spans="2:7" ht="14.25" customHeight="1" x14ac:dyDescent="0.3">
      <c r="B646" s="8"/>
      <c r="E646" s="8"/>
      <c r="G646" s="8"/>
    </row>
    <row r="647" spans="2:7" ht="14.25" customHeight="1" x14ac:dyDescent="0.3">
      <c r="B647" s="8"/>
      <c r="E647" s="8"/>
      <c r="G647" s="8"/>
    </row>
    <row r="648" spans="2:7" ht="14.25" customHeight="1" x14ac:dyDescent="0.3">
      <c r="B648" s="8"/>
      <c r="E648" s="8"/>
      <c r="G648" s="8"/>
    </row>
    <row r="649" spans="2:7" ht="14.25" customHeight="1" x14ac:dyDescent="0.3">
      <c r="B649" s="8"/>
      <c r="E649" s="8"/>
      <c r="G649" s="8"/>
    </row>
    <row r="650" spans="2:7" ht="14.25" customHeight="1" x14ac:dyDescent="0.3">
      <c r="B650" s="8"/>
      <c r="E650" s="8"/>
      <c r="G650" s="8"/>
    </row>
    <row r="651" spans="2:7" ht="14.25" customHeight="1" x14ac:dyDescent="0.3">
      <c r="B651" s="8"/>
      <c r="E651" s="8"/>
      <c r="G651" s="8"/>
    </row>
    <row r="652" spans="2:7" ht="14.25" customHeight="1" x14ac:dyDescent="0.3">
      <c r="B652" s="8"/>
      <c r="E652" s="8"/>
      <c r="G652" s="8"/>
    </row>
    <row r="653" spans="2:7" ht="14.25" customHeight="1" x14ac:dyDescent="0.3">
      <c r="B653" s="8"/>
      <c r="E653" s="8"/>
      <c r="G653" s="8"/>
    </row>
    <row r="654" spans="2:7" ht="14.25" customHeight="1" x14ac:dyDescent="0.3">
      <c r="B654" s="8"/>
      <c r="E654" s="8"/>
      <c r="G654" s="8"/>
    </row>
    <row r="655" spans="2:7" ht="14.25" customHeight="1" x14ac:dyDescent="0.3">
      <c r="B655" s="8"/>
      <c r="E655" s="8"/>
      <c r="G655" s="8"/>
    </row>
    <row r="656" spans="2:7" ht="14.25" customHeight="1" x14ac:dyDescent="0.3">
      <c r="B656" s="8"/>
      <c r="E656" s="8"/>
      <c r="G656" s="8"/>
    </row>
    <row r="657" spans="2:7" ht="14.25" customHeight="1" x14ac:dyDescent="0.3">
      <c r="B657" s="8"/>
      <c r="E657" s="8"/>
      <c r="G657" s="8"/>
    </row>
    <row r="658" spans="2:7" ht="14.25" customHeight="1" x14ac:dyDescent="0.3">
      <c r="B658" s="8"/>
      <c r="E658" s="8"/>
      <c r="G658" s="8"/>
    </row>
    <row r="659" spans="2:7" ht="14.25" customHeight="1" x14ac:dyDescent="0.3">
      <c r="B659" s="8"/>
      <c r="E659" s="8"/>
      <c r="G659" s="8"/>
    </row>
    <row r="660" spans="2:7" ht="14.25" customHeight="1" x14ac:dyDescent="0.3">
      <c r="B660" s="8"/>
      <c r="E660" s="8"/>
      <c r="G660" s="8"/>
    </row>
    <row r="661" spans="2:7" ht="14.25" customHeight="1" x14ac:dyDescent="0.3">
      <c r="B661" s="8"/>
      <c r="E661" s="8"/>
      <c r="G661" s="8"/>
    </row>
    <row r="662" spans="2:7" ht="14.25" customHeight="1" x14ac:dyDescent="0.3">
      <c r="B662" s="8"/>
      <c r="E662" s="8"/>
      <c r="G662" s="8"/>
    </row>
    <row r="663" spans="2:7" ht="14.25" customHeight="1" x14ac:dyDescent="0.3">
      <c r="B663" s="8"/>
      <c r="E663" s="8"/>
      <c r="G663" s="8"/>
    </row>
    <row r="664" spans="2:7" ht="14.25" customHeight="1" x14ac:dyDescent="0.3">
      <c r="B664" s="8"/>
      <c r="E664" s="8"/>
      <c r="G664" s="8"/>
    </row>
    <row r="665" spans="2:7" ht="14.25" customHeight="1" x14ac:dyDescent="0.3">
      <c r="B665" s="8"/>
      <c r="E665" s="8"/>
      <c r="G665" s="8"/>
    </row>
    <row r="666" spans="2:7" ht="14.25" customHeight="1" x14ac:dyDescent="0.3">
      <c r="B666" s="8"/>
      <c r="E666" s="8"/>
      <c r="G666" s="8"/>
    </row>
    <row r="667" spans="2:7" ht="14.25" customHeight="1" x14ac:dyDescent="0.3">
      <c r="B667" s="8"/>
      <c r="E667" s="8"/>
      <c r="G667" s="8"/>
    </row>
    <row r="668" spans="2:7" ht="14.25" customHeight="1" x14ac:dyDescent="0.3">
      <c r="B668" s="8"/>
      <c r="E668" s="8"/>
      <c r="G668" s="8"/>
    </row>
    <row r="669" spans="2:7" ht="14.25" customHeight="1" x14ac:dyDescent="0.3">
      <c r="B669" s="8"/>
      <c r="E669" s="8"/>
      <c r="G669" s="8"/>
    </row>
    <row r="670" spans="2:7" ht="14.25" customHeight="1" x14ac:dyDescent="0.3">
      <c r="B670" s="8"/>
      <c r="E670" s="8"/>
      <c r="G670" s="8"/>
    </row>
    <row r="671" spans="2:7" ht="14.25" customHeight="1" x14ac:dyDescent="0.3">
      <c r="B671" s="8"/>
      <c r="E671" s="8"/>
      <c r="G671" s="8"/>
    </row>
    <row r="672" spans="2:7" ht="14.25" customHeight="1" x14ac:dyDescent="0.3">
      <c r="B672" s="8"/>
      <c r="E672" s="8"/>
      <c r="G672" s="8"/>
    </row>
    <row r="673" spans="2:7" ht="14.25" customHeight="1" x14ac:dyDescent="0.3">
      <c r="B673" s="8"/>
      <c r="E673" s="8"/>
      <c r="G673" s="8"/>
    </row>
    <row r="674" spans="2:7" ht="14.25" customHeight="1" x14ac:dyDescent="0.3">
      <c r="B674" s="8"/>
      <c r="E674" s="8"/>
      <c r="G674" s="8"/>
    </row>
    <row r="675" spans="2:7" ht="14.25" customHeight="1" x14ac:dyDescent="0.3">
      <c r="B675" s="8"/>
      <c r="E675" s="8"/>
      <c r="G675" s="8"/>
    </row>
    <row r="676" spans="2:7" ht="14.25" customHeight="1" x14ac:dyDescent="0.3">
      <c r="B676" s="8"/>
      <c r="E676" s="8"/>
      <c r="G676" s="8"/>
    </row>
    <row r="677" spans="2:7" ht="14.25" customHeight="1" x14ac:dyDescent="0.3">
      <c r="B677" s="8"/>
      <c r="E677" s="8"/>
      <c r="G677" s="8"/>
    </row>
    <row r="678" spans="2:7" ht="14.25" customHeight="1" x14ac:dyDescent="0.3">
      <c r="B678" s="8"/>
      <c r="E678" s="8"/>
      <c r="G678" s="8"/>
    </row>
    <row r="679" spans="2:7" ht="14.25" customHeight="1" x14ac:dyDescent="0.3">
      <c r="B679" s="8"/>
      <c r="E679" s="8"/>
      <c r="G679" s="8"/>
    </row>
    <row r="680" spans="2:7" ht="14.25" customHeight="1" x14ac:dyDescent="0.3">
      <c r="B680" s="8"/>
      <c r="E680" s="8"/>
      <c r="G680" s="8"/>
    </row>
    <row r="681" spans="2:7" ht="14.25" customHeight="1" x14ac:dyDescent="0.3">
      <c r="B681" s="8"/>
      <c r="E681" s="8"/>
      <c r="G681" s="8"/>
    </row>
    <row r="682" spans="2:7" ht="14.25" customHeight="1" x14ac:dyDescent="0.3">
      <c r="B682" s="8"/>
      <c r="E682" s="8"/>
      <c r="G682" s="8"/>
    </row>
    <row r="683" spans="2:7" ht="14.25" customHeight="1" x14ac:dyDescent="0.3">
      <c r="B683" s="8"/>
      <c r="E683" s="8"/>
      <c r="G683" s="8"/>
    </row>
    <row r="684" spans="2:7" ht="14.25" customHeight="1" x14ac:dyDescent="0.3">
      <c r="B684" s="8"/>
      <c r="E684" s="8"/>
      <c r="G684" s="8"/>
    </row>
    <row r="685" spans="2:7" ht="14.25" customHeight="1" x14ac:dyDescent="0.3">
      <c r="B685" s="8"/>
      <c r="E685" s="8"/>
      <c r="G685" s="8"/>
    </row>
    <row r="686" spans="2:7" ht="14.25" customHeight="1" x14ac:dyDescent="0.3">
      <c r="B686" s="8"/>
      <c r="E686" s="8"/>
      <c r="G686" s="8"/>
    </row>
    <row r="687" spans="2:7" ht="14.25" customHeight="1" x14ac:dyDescent="0.3">
      <c r="B687" s="8"/>
      <c r="E687" s="8"/>
      <c r="G687" s="8"/>
    </row>
    <row r="688" spans="2:7" ht="14.25" customHeight="1" x14ac:dyDescent="0.3">
      <c r="B688" s="8"/>
      <c r="E688" s="8"/>
      <c r="G688" s="8"/>
    </row>
    <row r="689" spans="2:7" ht="14.25" customHeight="1" x14ac:dyDescent="0.3">
      <c r="B689" s="8"/>
      <c r="E689" s="8"/>
      <c r="G689" s="8"/>
    </row>
    <row r="690" spans="2:7" ht="14.25" customHeight="1" x14ac:dyDescent="0.3">
      <c r="B690" s="8"/>
      <c r="E690" s="8"/>
      <c r="G690" s="8"/>
    </row>
    <row r="691" spans="2:7" ht="14.25" customHeight="1" x14ac:dyDescent="0.3">
      <c r="B691" s="8"/>
      <c r="E691" s="8"/>
      <c r="G691" s="8"/>
    </row>
    <row r="692" spans="2:7" ht="14.25" customHeight="1" x14ac:dyDescent="0.3">
      <c r="B692" s="8"/>
      <c r="E692" s="8"/>
      <c r="G692" s="8"/>
    </row>
    <row r="693" spans="2:7" ht="14.25" customHeight="1" x14ac:dyDescent="0.3">
      <c r="B693" s="8"/>
      <c r="E693" s="8"/>
      <c r="G693" s="8"/>
    </row>
    <row r="694" spans="2:7" ht="14.25" customHeight="1" x14ac:dyDescent="0.3">
      <c r="B694" s="8"/>
      <c r="E694" s="8"/>
      <c r="G694" s="8"/>
    </row>
    <row r="695" spans="2:7" ht="14.25" customHeight="1" x14ac:dyDescent="0.3">
      <c r="B695" s="8"/>
      <c r="E695" s="8"/>
      <c r="G695" s="8"/>
    </row>
    <row r="696" spans="2:7" ht="14.25" customHeight="1" x14ac:dyDescent="0.3">
      <c r="B696" s="8"/>
      <c r="E696" s="8"/>
      <c r="G696" s="8"/>
    </row>
    <row r="697" spans="2:7" ht="14.25" customHeight="1" x14ac:dyDescent="0.3">
      <c r="B697" s="8"/>
      <c r="E697" s="8"/>
      <c r="G697" s="8"/>
    </row>
    <row r="698" spans="2:7" ht="14.25" customHeight="1" x14ac:dyDescent="0.3">
      <c r="B698" s="8"/>
      <c r="E698" s="8"/>
      <c r="G698" s="8"/>
    </row>
    <row r="699" spans="2:7" ht="14.25" customHeight="1" x14ac:dyDescent="0.3">
      <c r="B699" s="8"/>
      <c r="E699" s="8"/>
      <c r="G699" s="8"/>
    </row>
    <row r="700" spans="2:7" ht="14.25" customHeight="1" x14ac:dyDescent="0.3">
      <c r="B700" s="8"/>
      <c r="E700" s="8"/>
      <c r="G700" s="8"/>
    </row>
    <row r="701" spans="2:7" ht="14.25" customHeight="1" x14ac:dyDescent="0.3">
      <c r="B701" s="8"/>
      <c r="E701" s="8"/>
      <c r="G701" s="8"/>
    </row>
    <row r="702" spans="2:7" ht="14.25" customHeight="1" x14ac:dyDescent="0.3">
      <c r="B702" s="8"/>
      <c r="E702" s="8"/>
      <c r="G702" s="8"/>
    </row>
    <row r="703" spans="2:7" ht="14.25" customHeight="1" x14ac:dyDescent="0.3">
      <c r="B703" s="8"/>
      <c r="E703" s="8"/>
      <c r="G703" s="8"/>
    </row>
    <row r="704" spans="2:7" ht="14.25" customHeight="1" x14ac:dyDescent="0.3">
      <c r="B704" s="8"/>
      <c r="E704" s="8"/>
      <c r="G704" s="8"/>
    </row>
    <row r="705" spans="2:7" ht="14.25" customHeight="1" x14ac:dyDescent="0.3">
      <c r="B705" s="8"/>
      <c r="E705" s="8"/>
      <c r="G705" s="8"/>
    </row>
    <row r="706" spans="2:7" ht="14.25" customHeight="1" x14ac:dyDescent="0.3">
      <c r="B706" s="8"/>
      <c r="E706" s="8"/>
      <c r="G706" s="8"/>
    </row>
    <row r="707" spans="2:7" ht="14.25" customHeight="1" x14ac:dyDescent="0.3">
      <c r="B707" s="8"/>
      <c r="E707" s="8"/>
      <c r="G707" s="8"/>
    </row>
    <row r="708" spans="2:7" ht="14.25" customHeight="1" x14ac:dyDescent="0.3">
      <c r="B708" s="8"/>
      <c r="E708" s="8"/>
      <c r="G708" s="8"/>
    </row>
    <row r="709" spans="2:7" ht="14.25" customHeight="1" x14ac:dyDescent="0.3">
      <c r="B709" s="8"/>
      <c r="E709" s="8"/>
      <c r="G709" s="8"/>
    </row>
    <row r="710" spans="2:7" ht="14.25" customHeight="1" x14ac:dyDescent="0.3">
      <c r="B710" s="8"/>
      <c r="E710" s="8"/>
      <c r="G710" s="8"/>
    </row>
    <row r="711" spans="2:7" ht="14.25" customHeight="1" x14ac:dyDescent="0.3">
      <c r="B711" s="8"/>
      <c r="E711" s="8"/>
      <c r="G711" s="8"/>
    </row>
    <row r="712" spans="2:7" ht="14.25" customHeight="1" x14ac:dyDescent="0.3">
      <c r="B712" s="8"/>
      <c r="E712" s="8"/>
      <c r="G712" s="8"/>
    </row>
    <row r="713" spans="2:7" ht="14.25" customHeight="1" x14ac:dyDescent="0.3">
      <c r="B713" s="8"/>
      <c r="E713" s="8"/>
      <c r="G713" s="8"/>
    </row>
    <row r="714" spans="2:7" ht="14.25" customHeight="1" x14ac:dyDescent="0.3">
      <c r="B714" s="8"/>
      <c r="E714" s="8"/>
      <c r="G714" s="8"/>
    </row>
    <row r="715" spans="2:7" ht="14.25" customHeight="1" x14ac:dyDescent="0.3">
      <c r="B715" s="8"/>
      <c r="E715" s="8"/>
      <c r="G715" s="8"/>
    </row>
    <row r="716" spans="2:7" ht="14.25" customHeight="1" x14ac:dyDescent="0.3">
      <c r="B716" s="8"/>
      <c r="E716" s="8"/>
      <c r="G716" s="8"/>
    </row>
    <row r="717" spans="2:7" ht="14.25" customHeight="1" x14ac:dyDescent="0.3">
      <c r="B717" s="8"/>
      <c r="E717" s="8"/>
      <c r="G717" s="8"/>
    </row>
    <row r="718" spans="2:7" ht="14.25" customHeight="1" x14ac:dyDescent="0.3">
      <c r="B718" s="8"/>
      <c r="E718" s="8"/>
      <c r="G718" s="8"/>
    </row>
    <row r="719" spans="2:7" ht="14.25" customHeight="1" x14ac:dyDescent="0.3">
      <c r="B719" s="8"/>
      <c r="E719" s="8"/>
      <c r="G719" s="8"/>
    </row>
    <row r="720" spans="2:7" ht="14.25" customHeight="1" x14ac:dyDescent="0.3">
      <c r="B720" s="8"/>
      <c r="E720" s="8"/>
      <c r="G720" s="8"/>
    </row>
    <row r="721" spans="2:7" ht="14.25" customHeight="1" x14ac:dyDescent="0.3">
      <c r="B721" s="8"/>
      <c r="E721" s="8"/>
      <c r="G721" s="8"/>
    </row>
    <row r="722" spans="2:7" ht="14.25" customHeight="1" x14ac:dyDescent="0.3">
      <c r="B722" s="8"/>
      <c r="E722" s="8"/>
      <c r="G722" s="8"/>
    </row>
    <row r="723" spans="2:7" ht="14.25" customHeight="1" x14ac:dyDescent="0.3">
      <c r="B723" s="8"/>
      <c r="E723" s="8"/>
      <c r="G723" s="8"/>
    </row>
    <row r="724" spans="2:7" ht="14.25" customHeight="1" x14ac:dyDescent="0.3">
      <c r="B724" s="8"/>
      <c r="E724" s="8"/>
      <c r="G724" s="8"/>
    </row>
    <row r="725" spans="2:7" ht="14.25" customHeight="1" x14ac:dyDescent="0.3">
      <c r="B725" s="8"/>
      <c r="E725" s="8"/>
      <c r="G725" s="8"/>
    </row>
    <row r="726" spans="2:7" ht="14.25" customHeight="1" x14ac:dyDescent="0.3">
      <c r="B726" s="8"/>
      <c r="E726" s="8"/>
      <c r="G726" s="8"/>
    </row>
    <row r="727" spans="2:7" ht="14.25" customHeight="1" x14ac:dyDescent="0.3">
      <c r="B727" s="8"/>
      <c r="E727" s="8"/>
      <c r="G727" s="8"/>
    </row>
    <row r="728" spans="2:7" ht="14.25" customHeight="1" x14ac:dyDescent="0.3">
      <c r="B728" s="8"/>
      <c r="E728" s="8"/>
      <c r="G728" s="8"/>
    </row>
    <row r="729" spans="2:7" ht="14.25" customHeight="1" x14ac:dyDescent="0.3">
      <c r="B729" s="8"/>
      <c r="E729" s="8"/>
      <c r="G729" s="8"/>
    </row>
    <row r="730" spans="2:7" ht="14.25" customHeight="1" x14ac:dyDescent="0.3">
      <c r="B730" s="8"/>
      <c r="E730" s="8"/>
      <c r="G730" s="8"/>
    </row>
    <row r="731" spans="2:7" ht="14.25" customHeight="1" x14ac:dyDescent="0.3">
      <c r="B731" s="8"/>
      <c r="E731" s="8"/>
      <c r="G731" s="8"/>
    </row>
    <row r="732" spans="2:7" ht="14.25" customHeight="1" x14ac:dyDescent="0.3">
      <c r="B732" s="8"/>
      <c r="E732" s="8"/>
      <c r="G732" s="8"/>
    </row>
    <row r="733" spans="2:7" ht="14.25" customHeight="1" x14ac:dyDescent="0.3">
      <c r="B733" s="8"/>
      <c r="E733" s="8"/>
      <c r="G733" s="8"/>
    </row>
    <row r="734" spans="2:7" ht="14.25" customHeight="1" x14ac:dyDescent="0.3">
      <c r="B734" s="8"/>
      <c r="E734" s="8"/>
      <c r="G734" s="8"/>
    </row>
    <row r="735" spans="2:7" ht="14.25" customHeight="1" x14ac:dyDescent="0.3">
      <c r="B735" s="8"/>
      <c r="E735" s="8"/>
      <c r="G735" s="8"/>
    </row>
    <row r="736" spans="2:7" ht="14.25" customHeight="1" x14ac:dyDescent="0.3">
      <c r="B736" s="8"/>
      <c r="E736" s="8"/>
      <c r="G736" s="8"/>
    </row>
    <row r="737" spans="2:7" ht="14.25" customHeight="1" x14ac:dyDescent="0.3">
      <c r="B737" s="8"/>
      <c r="E737" s="8"/>
      <c r="G737" s="8"/>
    </row>
    <row r="738" spans="2:7" ht="14.25" customHeight="1" x14ac:dyDescent="0.3">
      <c r="B738" s="8"/>
      <c r="E738" s="8"/>
      <c r="G738" s="8"/>
    </row>
    <row r="739" spans="2:7" ht="14.25" customHeight="1" x14ac:dyDescent="0.3">
      <c r="B739" s="8"/>
      <c r="E739" s="8"/>
      <c r="G739" s="8"/>
    </row>
    <row r="740" spans="2:7" ht="14.25" customHeight="1" x14ac:dyDescent="0.3">
      <c r="B740" s="8"/>
      <c r="E740" s="8"/>
      <c r="G740" s="8"/>
    </row>
    <row r="741" spans="2:7" ht="14.25" customHeight="1" x14ac:dyDescent="0.3">
      <c r="B741" s="8"/>
      <c r="E741" s="8"/>
      <c r="G741" s="8"/>
    </row>
    <row r="742" spans="2:7" ht="14.25" customHeight="1" x14ac:dyDescent="0.3">
      <c r="B742" s="8"/>
      <c r="E742" s="8"/>
      <c r="G742" s="8"/>
    </row>
    <row r="743" spans="2:7" ht="14.25" customHeight="1" x14ac:dyDescent="0.3">
      <c r="B743" s="8"/>
      <c r="E743" s="8"/>
      <c r="G743" s="8"/>
    </row>
    <row r="744" spans="2:7" ht="14.25" customHeight="1" x14ac:dyDescent="0.3">
      <c r="B744" s="8"/>
      <c r="E744" s="8"/>
      <c r="G744" s="8"/>
    </row>
    <row r="745" spans="2:7" ht="14.25" customHeight="1" x14ac:dyDescent="0.3">
      <c r="B745" s="8"/>
      <c r="E745" s="8"/>
      <c r="G745" s="8"/>
    </row>
    <row r="746" spans="2:7" ht="14.25" customHeight="1" x14ac:dyDescent="0.3">
      <c r="B746" s="8"/>
      <c r="E746" s="8"/>
      <c r="G746" s="8"/>
    </row>
    <row r="747" spans="2:7" ht="14.25" customHeight="1" x14ac:dyDescent="0.3">
      <c r="B747" s="8"/>
      <c r="E747" s="8"/>
      <c r="G747" s="8"/>
    </row>
    <row r="748" spans="2:7" ht="14.25" customHeight="1" x14ac:dyDescent="0.3">
      <c r="B748" s="8"/>
      <c r="E748" s="8"/>
      <c r="G748" s="8"/>
    </row>
    <row r="749" spans="2:7" ht="14.25" customHeight="1" x14ac:dyDescent="0.3">
      <c r="B749" s="8"/>
      <c r="E749" s="8"/>
      <c r="G749" s="8"/>
    </row>
    <row r="750" spans="2:7" ht="14.25" customHeight="1" x14ac:dyDescent="0.3">
      <c r="B750" s="8"/>
      <c r="E750" s="8"/>
      <c r="G750" s="8"/>
    </row>
    <row r="751" spans="2:7" ht="14.25" customHeight="1" x14ac:dyDescent="0.3">
      <c r="B751" s="8"/>
      <c r="E751" s="8"/>
      <c r="G751" s="8"/>
    </row>
    <row r="752" spans="2:7" ht="14.25" customHeight="1" x14ac:dyDescent="0.3">
      <c r="B752" s="8"/>
      <c r="E752" s="8"/>
      <c r="G752" s="8"/>
    </row>
    <row r="753" spans="2:7" ht="14.25" customHeight="1" x14ac:dyDescent="0.3">
      <c r="B753" s="8"/>
      <c r="E753" s="8"/>
      <c r="G753" s="8"/>
    </row>
    <row r="754" spans="2:7" ht="14.25" customHeight="1" x14ac:dyDescent="0.3">
      <c r="B754" s="8"/>
      <c r="E754" s="8"/>
      <c r="G754" s="8"/>
    </row>
    <row r="755" spans="2:7" ht="14.25" customHeight="1" x14ac:dyDescent="0.3">
      <c r="B755" s="8"/>
      <c r="E755" s="8"/>
      <c r="G755" s="8"/>
    </row>
    <row r="756" spans="2:7" ht="14.25" customHeight="1" x14ac:dyDescent="0.3">
      <c r="B756" s="8"/>
      <c r="E756" s="8"/>
      <c r="G756" s="8"/>
    </row>
    <row r="757" spans="2:7" ht="14.25" customHeight="1" x14ac:dyDescent="0.3">
      <c r="B757" s="8"/>
      <c r="E757" s="8"/>
      <c r="G757" s="8"/>
    </row>
    <row r="758" spans="2:7" ht="14.25" customHeight="1" x14ac:dyDescent="0.3">
      <c r="B758" s="8"/>
      <c r="E758" s="8"/>
      <c r="G758" s="8"/>
    </row>
    <row r="759" spans="2:7" ht="14.25" customHeight="1" x14ac:dyDescent="0.3">
      <c r="B759" s="8"/>
      <c r="E759" s="8"/>
      <c r="G759" s="8"/>
    </row>
    <row r="760" spans="2:7" ht="14.25" customHeight="1" x14ac:dyDescent="0.3">
      <c r="B760" s="8"/>
      <c r="E760" s="8"/>
      <c r="G760" s="8"/>
    </row>
    <row r="761" spans="2:7" ht="14.25" customHeight="1" x14ac:dyDescent="0.3">
      <c r="B761" s="8"/>
      <c r="E761" s="8"/>
      <c r="G761" s="8"/>
    </row>
    <row r="762" spans="2:7" ht="14.25" customHeight="1" x14ac:dyDescent="0.3">
      <c r="B762" s="8"/>
      <c r="E762" s="8"/>
      <c r="G762" s="8"/>
    </row>
    <row r="763" spans="2:7" ht="14.25" customHeight="1" x14ac:dyDescent="0.3">
      <c r="B763" s="8"/>
      <c r="E763" s="8"/>
      <c r="G763" s="8"/>
    </row>
    <row r="764" spans="2:7" ht="14.25" customHeight="1" x14ac:dyDescent="0.3">
      <c r="B764" s="8"/>
      <c r="E764" s="8"/>
      <c r="G764" s="8"/>
    </row>
    <row r="765" spans="2:7" ht="14.25" customHeight="1" x14ac:dyDescent="0.3">
      <c r="B765" s="8"/>
      <c r="E765" s="8"/>
      <c r="G765" s="8"/>
    </row>
    <row r="766" spans="2:7" ht="14.25" customHeight="1" x14ac:dyDescent="0.3">
      <c r="B766" s="8"/>
      <c r="E766" s="8"/>
      <c r="G766" s="8"/>
    </row>
    <row r="767" spans="2:7" ht="14.25" customHeight="1" x14ac:dyDescent="0.3">
      <c r="B767" s="8"/>
      <c r="E767" s="8"/>
      <c r="G767" s="8"/>
    </row>
    <row r="768" spans="2:7" ht="14.25" customHeight="1" x14ac:dyDescent="0.3">
      <c r="B768" s="8"/>
      <c r="E768" s="8"/>
      <c r="G768" s="8"/>
    </row>
    <row r="769" spans="2:7" ht="14.25" customHeight="1" x14ac:dyDescent="0.3">
      <c r="B769" s="8"/>
      <c r="E769" s="8"/>
      <c r="G769" s="8"/>
    </row>
    <row r="770" spans="2:7" ht="14.25" customHeight="1" x14ac:dyDescent="0.3">
      <c r="B770" s="8"/>
      <c r="E770" s="8"/>
      <c r="G770" s="8"/>
    </row>
    <row r="771" spans="2:7" ht="14.25" customHeight="1" x14ac:dyDescent="0.3">
      <c r="B771" s="8"/>
      <c r="E771" s="8"/>
      <c r="G771" s="8"/>
    </row>
    <row r="772" spans="2:7" ht="14.25" customHeight="1" x14ac:dyDescent="0.3">
      <c r="B772" s="8"/>
      <c r="E772" s="8"/>
      <c r="G772" s="8"/>
    </row>
    <row r="773" spans="2:7" ht="14.25" customHeight="1" x14ac:dyDescent="0.3">
      <c r="B773" s="8"/>
      <c r="E773" s="8"/>
      <c r="G773" s="8"/>
    </row>
    <row r="774" spans="2:7" ht="14.25" customHeight="1" x14ac:dyDescent="0.3">
      <c r="B774" s="8"/>
      <c r="E774" s="8"/>
      <c r="G774" s="8"/>
    </row>
    <row r="775" spans="2:7" ht="14.25" customHeight="1" x14ac:dyDescent="0.3">
      <c r="B775" s="8"/>
      <c r="E775" s="8"/>
      <c r="G775" s="8"/>
    </row>
    <row r="776" spans="2:7" ht="14.25" customHeight="1" x14ac:dyDescent="0.3">
      <c r="B776" s="8"/>
      <c r="E776" s="8"/>
      <c r="G776" s="8"/>
    </row>
    <row r="777" spans="2:7" ht="14.25" customHeight="1" x14ac:dyDescent="0.3">
      <c r="B777" s="8"/>
      <c r="E777" s="8"/>
      <c r="G777" s="8"/>
    </row>
    <row r="778" spans="2:7" ht="14.25" customHeight="1" x14ac:dyDescent="0.3">
      <c r="B778" s="8"/>
      <c r="E778" s="8"/>
      <c r="G778" s="8"/>
    </row>
    <row r="779" spans="2:7" ht="14.25" customHeight="1" x14ac:dyDescent="0.3">
      <c r="B779" s="8"/>
      <c r="E779" s="8"/>
      <c r="G779" s="8"/>
    </row>
    <row r="780" spans="2:7" ht="14.25" customHeight="1" x14ac:dyDescent="0.3">
      <c r="B780" s="8"/>
      <c r="E780" s="8"/>
      <c r="G780" s="8"/>
    </row>
    <row r="781" spans="2:7" ht="14.25" customHeight="1" x14ac:dyDescent="0.3">
      <c r="B781" s="8"/>
      <c r="E781" s="8"/>
      <c r="G781" s="8"/>
    </row>
    <row r="782" spans="2:7" ht="14.25" customHeight="1" x14ac:dyDescent="0.3">
      <c r="B782" s="8"/>
      <c r="E782" s="8"/>
      <c r="G782" s="8"/>
    </row>
    <row r="783" spans="2:7" ht="14.25" customHeight="1" x14ac:dyDescent="0.3">
      <c r="B783" s="8"/>
      <c r="E783" s="8"/>
      <c r="G783" s="8"/>
    </row>
    <row r="784" spans="2:7" ht="14.25" customHeight="1" x14ac:dyDescent="0.3">
      <c r="B784" s="8"/>
      <c r="E784" s="8"/>
      <c r="G784" s="8"/>
    </row>
    <row r="785" spans="2:7" ht="14.25" customHeight="1" x14ac:dyDescent="0.3">
      <c r="B785" s="8"/>
      <c r="E785" s="8"/>
      <c r="G785" s="8"/>
    </row>
    <row r="786" spans="2:7" ht="14.25" customHeight="1" x14ac:dyDescent="0.3">
      <c r="B786" s="8"/>
      <c r="E786" s="8"/>
      <c r="G786" s="8"/>
    </row>
    <row r="787" spans="2:7" ht="14.25" customHeight="1" x14ac:dyDescent="0.3">
      <c r="B787" s="8"/>
      <c r="E787" s="8"/>
      <c r="G787" s="8"/>
    </row>
    <row r="788" spans="2:7" ht="14.25" customHeight="1" x14ac:dyDescent="0.3">
      <c r="B788" s="8"/>
      <c r="E788" s="8"/>
      <c r="G788" s="8"/>
    </row>
    <row r="789" spans="2:7" ht="14.25" customHeight="1" x14ac:dyDescent="0.3">
      <c r="B789" s="8"/>
      <c r="E789" s="8"/>
      <c r="G789" s="8"/>
    </row>
    <row r="790" spans="2:7" ht="14.25" customHeight="1" x14ac:dyDescent="0.3">
      <c r="B790" s="8"/>
      <c r="E790" s="8"/>
      <c r="G790" s="8"/>
    </row>
    <row r="791" spans="2:7" ht="14.25" customHeight="1" x14ac:dyDescent="0.3">
      <c r="B791" s="8"/>
      <c r="E791" s="8"/>
      <c r="G791" s="8"/>
    </row>
    <row r="792" spans="2:7" ht="14.25" customHeight="1" x14ac:dyDescent="0.3">
      <c r="B792" s="8"/>
      <c r="E792" s="8"/>
      <c r="G792" s="8"/>
    </row>
    <row r="793" spans="2:7" ht="14.25" customHeight="1" x14ac:dyDescent="0.3">
      <c r="B793" s="8"/>
      <c r="E793" s="8"/>
      <c r="G793" s="8"/>
    </row>
    <row r="794" spans="2:7" ht="14.25" customHeight="1" x14ac:dyDescent="0.3">
      <c r="B794" s="8"/>
      <c r="E794" s="8"/>
      <c r="G794" s="8"/>
    </row>
    <row r="795" spans="2:7" ht="14.25" customHeight="1" x14ac:dyDescent="0.3">
      <c r="B795" s="8"/>
      <c r="E795" s="8"/>
      <c r="G795" s="8"/>
    </row>
    <row r="796" spans="2:7" ht="14.25" customHeight="1" x14ac:dyDescent="0.3">
      <c r="B796" s="8"/>
      <c r="E796" s="8"/>
      <c r="G796" s="8"/>
    </row>
    <row r="797" spans="2:7" ht="14.25" customHeight="1" x14ac:dyDescent="0.3">
      <c r="B797" s="8"/>
      <c r="E797" s="8"/>
      <c r="G797" s="8"/>
    </row>
    <row r="798" spans="2:7" ht="14.25" customHeight="1" x14ac:dyDescent="0.3">
      <c r="B798" s="8"/>
      <c r="E798" s="8"/>
      <c r="G798" s="8"/>
    </row>
    <row r="799" spans="2:7" ht="14.25" customHeight="1" x14ac:dyDescent="0.3">
      <c r="B799" s="8"/>
      <c r="E799" s="8"/>
      <c r="G799" s="8"/>
    </row>
    <row r="800" spans="2:7" ht="14.25" customHeight="1" x14ac:dyDescent="0.3">
      <c r="B800" s="8"/>
      <c r="E800" s="8"/>
      <c r="G800" s="8"/>
    </row>
    <row r="801" spans="2:7" ht="14.25" customHeight="1" x14ac:dyDescent="0.3">
      <c r="B801" s="8"/>
      <c r="E801" s="8"/>
      <c r="G801" s="8"/>
    </row>
    <row r="802" spans="2:7" ht="14.25" customHeight="1" x14ac:dyDescent="0.3">
      <c r="B802" s="8"/>
      <c r="E802" s="8"/>
      <c r="G802" s="8"/>
    </row>
    <row r="803" spans="2:7" ht="14.25" customHeight="1" x14ac:dyDescent="0.3">
      <c r="B803" s="8"/>
      <c r="E803" s="8"/>
      <c r="G803" s="8"/>
    </row>
    <row r="804" spans="2:7" ht="14.25" customHeight="1" x14ac:dyDescent="0.3">
      <c r="B804" s="8"/>
      <c r="E804" s="8"/>
      <c r="G804" s="8"/>
    </row>
    <row r="805" spans="2:7" ht="14.25" customHeight="1" x14ac:dyDescent="0.3">
      <c r="B805" s="8"/>
      <c r="E805" s="8"/>
      <c r="G805" s="8"/>
    </row>
    <row r="806" spans="2:7" ht="14.25" customHeight="1" x14ac:dyDescent="0.3">
      <c r="B806" s="8"/>
      <c r="E806" s="8"/>
      <c r="G806" s="8"/>
    </row>
    <row r="807" spans="2:7" ht="14.25" customHeight="1" x14ac:dyDescent="0.3">
      <c r="B807" s="8"/>
      <c r="E807" s="8"/>
      <c r="G807" s="8"/>
    </row>
    <row r="808" spans="2:7" ht="14.25" customHeight="1" x14ac:dyDescent="0.3">
      <c r="B808" s="8"/>
      <c r="E808" s="8"/>
      <c r="G808" s="8"/>
    </row>
    <row r="809" spans="2:7" ht="14.25" customHeight="1" x14ac:dyDescent="0.3">
      <c r="B809" s="8"/>
      <c r="E809" s="8"/>
      <c r="G809" s="8"/>
    </row>
    <row r="810" spans="2:7" ht="14.25" customHeight="1" x14ac:dyDescent="0.3">
      <c r="B810" s="8"/>
      <c r="E810" s="8"/>
      <c r="G810" s="8"/>
    </row>
    <row r="811" spans="2:7" ht="14.25" customHeight="1" x14ac:dyDescent="0.3">
      <c r="B811" s="8"/>
      <c r="E811" s="8"/>
      <c r="G811" s="8"/>
    </row>
    <row r="812" spans="2:7" ht="14.25" customHeight="1" x14ac:dyDescent="0.3">
      <c r="B812" s="8"/>
      <c r="E812" s="8"/>
      <c r="G812" s="8"/>
    </row>
    <row r="813" spans="2:7" ht="14.25" customHeight="1" x14ac:dyDescent="0.3">
      <c r="B813" s="8"/>
      <c r="E813" s="8"/>
      <c r="G813" s="8"/>
    </row>
    <row r="814" spans="2:7" ht="14.25" customHeight="1" x14ac:dyDescent="0.3">
      <c r="B814" s="8"/>
      <c r="E814" s="8"/>
      <c r="G814" s="8"/>
    </row>
    <row r="815" spans="2:7" ht="14.25" customHeight="1" x14ac:dyDescent="0.3">
      <c r="B815" s="8"/>
      <c r="E815" s="8"/>
      <c r="G815" s="8"/>
    </row>
    <row r="816" spans="2:7" ht="14.25" customHeight="1" x14ac:dyDescent="0.3">
      <c r="B816" s="8"/>
      <c r="E816" s="8"/>
      <c r="G816" s="8"/>
    </row>
    <row r="817" spans="2:7" ht="14.25" customHeight="1" x14ac:dyDescent="0.3">
      <c r="B817" s="8"/>
      <c r="E817" s="8"/>
      <c r="G817" s="8"/>
    </row>
    <row r="818" spans="2:7" ht="14.25" customHeight="1" x14ac:dyDescent="0.3">
      <c r="B818" s="8"/>
      <c r="E818" s="8"/>
      <c r="G818" s="8"/>
    </row>
    <row r="819" spans="2:7" ht="14.25" customHeight="1" x14ac:dyDescent="0.3">
      <c r="B819" s="8"/>
      <c r="E819" s="8"/>
      <c r="G819" s="8"/>
    </row>
    <row r="820" spans="2:7" ht="14.25" customHeight="1" x14ac:dyDescent="0.3">
      <c r="B820" s="8"/>
      <c r="E820" s="8"/>
      <c r="G820" s="8"/>
    </row>
    <row r="821" spans="2:7" ht="14.25" customHeight="1" x14ac:dyDescent="0.3">
      <c r="B821" s="8"/>
      <c r="E821" s="8"/>
      <c r="G821" s="8"/>
    </row>
    <row r="822" spans="2:7" ht="14.25" customHeight="1" x14ac:dyDescent="0.3">
      <c r="B822" s="8"/>
      <c r="E822" s="8"/>
      <c r="G822" s="8"/>
    </row>
    <row r="823" spans="2:7" ht="14.25" customHeight="1" x14ac:dyDescent="0.3">
      <c r="B823" s="8"/>
      <c r="E823" s="8"/>
      <c r="G823" s="8"/>
    </row>
    <row r="824" spans="2:7" ht="14.25" customHeight="1" x14ac:dyDescent="0.3">
      <c r="B824" s="8"/>
      <c r="E824" s="8"/>
      <c r="G824" s="8"/>
    </row>
    <row r="825" spans="2:7" ht="14.25" customHeight="1" x14ac:dyDescent="0.3">
      <c r="B825" s="8"/>
      <c r="E825" s="8"/>
      <c r="G825" s="8"/>
    </row>
    <row r="826" spans="2:7" ht="14.25" customHeight="1" x14ac:dyDescent="0.3">
      <c r="B826" s="8"/>
      <c r="E826" s="8"/>
      <c r="G826" s="8"/>
    </row>
    <row r="827" spans="2:7" ht="14.25" customHeight="1" x14ac:dyDescent="0.3">
      <c r="B827" s="8"/>
      <c r="E827" s="8"/>
      <c r="G827" s="8"/>
    </row>
    <row r="828" spans="2:7" ht="14.25" customHeight="1" x14ac:dyDescent="0.3">
      <c r="B828" s="8"/>
      <c r="E828" s="8"/>
      <c r="G828" s="8"/>
    </row>
    <row r="829" spans="2:7" ht="14.25" customHeight="1" x14ac:dyDescent="0.3">
      <c r="B829" s="8"/>
      <c r="E829" s="8"/>
      <c r="G829" s="8"/>
    </row>
    <row r="830" spans="2:7" ht="14.25" customHeight="1" x14ac:dyDescent="0.3">
      <c r="B830" s="8"/>
      <c r="E830" s="8"/>
      <c r="G830" s="8"/>
    </row>
    <row r="831" spans="2:7" ht="14.25" customHeight="1" x14ac:dyDescent="0.3">
      <c r="B831" s="8"/>
      <c r="E831" s="8"/>
      <c r="G831" s="8"/>
    </row>
    <row r="832" spans="2:7" ht="14.25" customHeight="1" x14ac:dyDescent="0.3">
      <c r="B832" s="8"/>
      <c r="E832" s="8"/>
      <c r="G832" s="8"/>
    </row>
    <row r="833" spans="2:7" ht="14.25" customHeight="1" x14ac:dyDescent="0.3">
      <c r="B833" s="8"/>
      <c r="E833" s="8"/>
      <c r="G833" s="8"/>
    </row>
    <row r="834" spans="2:7" ht="14.25" customHeight="1" x14ac:dyDescent="0.3">
      <c r="B834" s="8"/>
      <c r="E834" s="8"/>
      <c r="G834" s="8"/>
    </row>
    <row r="835" spans="2:7" ht="14.25" customHeight="1" x14ac:dyDescent="0.3">
      <c r="B835" s="8"/>
      <c r="E835" s="8"/>
      <c r="G835" s="8"/>
    </row>
    <row r="836" spans="2:7" ht="14.25" customHeight="1" x14ac:dyDescent="0.3">
      <c r="B836" s="8"/>
      <c r="E836" s="8"/>
      <c r="G836" s="8"/>
    </row>
    <row r="837" spans="2:7" ht="14.25" customHeight="1" x14ac:dyDescent="0.3">
      <c r="B837" s="8"/>
      <c r="E837" s="8"/>
      <c r="G837" s="8"/>
    </row>
    <row r="838" spans="2:7" ht="14.25" customHeight="1" x14ac:dyDescent="0.3">
      <c r="B838" s="8"/>
      <c r="E838" s="8"/>
      <c r="G838" s="8"/>
    </row>
    <row r="839" spans="2:7" ht="14.25" customHeight="1" x14ac:dyDescent="0.3">
      <c r="B839" s="8"/>
      <c r="E839" s="8"/>
      <c r="G839" s="8"/>
    </row>
    <row r="840" spans="2:7" ht="14.25" customHeight="1" x14ac:dyDescent="0.3">
      <c r="B840" s="8"/>
      <c r="E840" s="8"/>
      <c r="G840" s="8"/>
    </row>
    <row r="841" spans="2:7" ht="14.25" customHeight="1" x14ac:dyDescent="0.3">
      <c r="B841" s="8"/>
      <c r="E841" s="8"/>
      <c r="G841" s="8"/>
    </row>
    <row r="842" spans="2:7" ht="14.25" customHeight="1" x14ac:dyDescent="0.3">
      <c r="B842" s="8"/>
      <c r="E842" s="8"/>
      <c r="G842" s="8"/>
    </row>
    <row r="843" spans="2:7" ht="14.25" customHeight="1" x14ac:dyDescent="0.3">
      <c r="B843" s="8"/>
      <c r="E843" s="8"/>
      <c r="G843" s="8"/>
    </row>
    <row r="844" spans="2:7" ht="14.25" customHeight="1" x14ac:dyDescent="0.3">
      <c r="B844" s="8"/>
      <c r="E844" s="8"/>
      <c r="G844" s="8"/>
    </row>
    <row r="845" spans="2:7" ht="14.25" customHeight="1" x14ac:dyDescent="0.3">
      <c r="B845" s="8"/>
      <c r="E845" s="8"/>
      <c r="G845" s="8"/>
    </row>
    <row r="846" spans="2:7" ht="14.25" customHeight="1" x14ac:dyDescent="0.3">
      <c r="B846" s="8"/>
      <c r="E846" s="8"/>
      <c r="G846" s="8"/>
    </row>
    <row r="847" spans="2:7" ht="14.25" customHeight="1" x14ac:dyDescent="0.3">
      <c r="B847" s="8"/>
      <c r="E847" s="8"/>
      <c r="G847" s="8"/>
    </row>
    <row r="848" spans="2:7" ht="14.25" customHeight="1" x14ac:dyDescent="0.3">
      <c r="B848" s="8"/>
      <c r="E848" s="8"/>
      <c r="G848" s="8"/>
    </row>
    <row r="849" spans="2:7" ht="14.25" customHeight="1" x14ac:dyDescent="0.3">
      <c r="B849" s="8"/>
      <c r="E849" s="8"/>
      <c r="G849" s="8"/>
    </row>
    <row r="850" spans="2:7" ht="14.25" customHeight="1" x14ac:dyDescent="0.3">
      <c r="B850" s="8"/>
      <c r="E850" s="8"/>
      <c r="G850" s="8"/>
    </row>
    <row r="851" spans="2:7" ht="14.25" customHeight="1" x14ac:dyDescent="0.3">
      <c r="B851" s="8"/>
      <c r="E851" s="8"/>
      <c r="G851" s="8"/>
    </row>
    <row r="852" spans="2:7" ht="14.25" customHeight="1" x14ac:dyDescent="0.3">
      <c r="B852" s="8"/>
      <c r="E852" s="8"/>
      <c r="G852" s="8"/>
    </row>
    <row r="853" spans="2:7" ht="14.25" customHeight="1" x14ac:dyDescent="0.3">
      <c r="B853" s="8"/>
      <c r="E853" s="8"/>
      <c r="G853" s="8"/>
    </row>
    <row r="854" spans="2:7" ht="14.25" customHeight="1" x14ac:dyDescent="0.3">
      <c r="B854" s="8"/>
      <c r="E854" s="8"/>
      <c r="G854" s="8"/>
    </row>
    <row r="855" spans="2:7" ht="14.25" customHeight="1" x14ac:dyDescent="0.3">
      <c r="B855" s="8"/>
      <c r="E855" s="8"/>
      <c r="G855" s="8"/>
    </row>
    <row r="856" spans="2:7" ht="14.25" customHeight="1" x14ac:dyDescent="0.3">
      <c r="B856" s="8"/>
      <c r="E856" s="8"/>
      <c r="G856" s="8"/>
    </row>
    <row r="857" spans="2:7" ht="14.25" customHeight="1" x14ac:dyDescent="0.3">
      <c r="B857" s="8"/>
      <c r="E857" s="8"/>
      <c r="G857" s="8"/>
    </row>
    <row r="858" spans="2:7" ht="14.25" customHeight="1" x14ac:dyDescent="0.3">
      <c r="B858" s="8"/>
      <c r="E858" s="8"/>
      <c r="G858" s="8"/>
    </row>
    <row r="859" spans="2:7" ht="14.25" customHeight="1" x14ac:dyDescent="0.3">
      <c r="B859" s="8"/>
      <c r="E859" s="8"/>
      <c r="G859" s="8"/>
    </row>
    <row r="860" spans="2:7" ht="14.25" customHeight="1" x14ac:dyDescent="0.3">
      <c r="B860" s="8"/>
      <c r="E860" s="8"/>
      <c r="G860" s="8"/>
    </row>
    <row r="861" spans="2:7" ht="14.25" customHeight="1" x14ac:dyDescent="0.3">
      <c r="B861" s="8"/>
      <c r="E861" s="8"/>
      <c r="G861" s="8"/>
    </row>
    <row r="862" spans="2:7" ht="14.25" customHeight="1" x14ac:dyDescent="0.3">
      <c r="B862" s="8"/>
      <c r="E862" s="8"/>
      <c r="G862" s="8"/>
    </row>
    <row r="863" spans="2:7" ht="14.25" customHeight="1" x14ac:dyDescent="0.3">
      <c r="B863" s="8"/>
      <c r="E863" s="8"/>
      <c r="G863" s="8"/>
    </row>
    <row r="864" spans="2:7" ht="14.25" customHeight="1" x14ac:dyDescent="0.3">
      <c r="B864" s="8"/>
      <c r="E864" s="8"/>
      <c r="G864" s="8"/>
    </row>
    <row r="865" spans="2:7" ht="14.25" customHeight="1" x14ac:dyDescent="0.3">
      <c r="B865" s="8"/>
      <c r="E865" s="8"/>
      <c r="G865" s="8"/>
    </row>
    <row r="866" spans="2:7" ht="14.25" customHeight="1" x14ac:dyDescent="0.3">
      <c r="B866" s="8"/>
      <c r="E866" s="8"/>
      <c r="G866" s="8"/>
    </row>
    <row r="867" spans="2:7" ht="14.25" customHeight="1" x14ac:dyDescent="0.3">
      <c r="B867" s="8"/>
      <c r="E867" s="8"/>
      <c r="G867" s="8"/>
    </row>
    <row r="868" spans="2:7" ht="14.25" customHeight="1" x14ac:dyDescent="0.3">
      <c r="B868" s="8"/>
      <c r="E868" s="8"/>
      <c r="G868" s="8"/>
    </row>
    <row r="869" spans="2:7" ht="14.25" customHeight="1" x14ac:dyDescent="0.3">
      <c r="B869" s="8"/>
      <c r="E869" s="8"/>
      <c r="G869" s="8"/>
    </row>
    <row r="870" spans="2:7" ht="14.25" customHeight="1" x14ac:dyDescent="0.3">
      <c r="B870" s="8"/>
      <c r="E870" s="8"/>
      <c r="G870" s="8"/>
    </row>
    <row r="871" spans="2:7" ht="14.25" customHeight="1" x14ac:dyDescent="0.3">
      <c r="B871" s="8"/>
      <c r="E871" s="8"/>
      <c r="G871" s="8"/>
    </row>
    <row r="872" spans="2:7" ht="14.25" customHeight="1" x14ac:dyDescent="0.3">
      <c r="B872" s="8"/>
      <c r="E872" s="8"/>
      <c r="G872" s="8"/>
    </row>
    <row r="873" spans="2:7" ht="14.25" customHeight="1" x14ac:dyDescent="0.3">
      <c r="B873" s="8"/>
      <c r="E873" s="8"/>
      <c r="G873" s="8"/>
    </row>
    <row r="874" spans="2:7" ht="14.25" customHeight="1" x14ac:dyDescent="0.3">
      <c r="B874" s="8"/>
      <c r="E874" s="8"/>
      <c r="G874" s="8"/>
    </row>
    <row r="875" spans="2:7" ht="14.25" customHeight="1" x14ac:dyDescent="0.3">
      <c r="B875" s="8"/>
      <c r="E875" s="8"/>
      <c r="G875" s="8"/>
    </row>
    <row r="876" spans="2:7" ht="14.25" customHeight="1" x14ac:dyDescent="0.3">
      <c r="B876" s="8"/>
      <c r="E876" s="8"/>
      <c r="G876" s="8"/>
    </row>
    <row r="877" spans="2:7" ht="14.25" customHeight="1" x14ac:dyDescent="0.3">
      <c r="B877" s="8"/>
      <c r="E877" s="8"/>
      <c r="G877" s="8"/>
    </row>
    <row r="878" spans="2:7" ht="14.25" customHeight="1" x14ac:dyDescent="0.3">
      <c r="B878" s="8"/>
      <c r="E878" s="8"/>
      <c r="G878" s="8"/>
    </row>
    <row r="879" spans="2:7" ht="14.25" customHeight="1" x14ac:dyDescent="0.3">
      <c r="B879" s="8"/>
      <c r="E879" s="8"/>
      <c r="G879" s="8"/>
    </row>
    <row r="880" spans="2:7" ht="14.25" customHeight="1" x14ac:dyDescent="0.3">
      <c r="B880" s="8"/>
      <c r="E880" s="8"/>
      <c r="G880" s="8"/>
    </row>
    <row r="881" spans="2:7" ht="14.25" customHeight="1" x14ac:dyDescent="0.3">
      <c r="B881" s="8"/>
      <c r="E881" s="8"/>
      <c r="G881" s="8"/>
    </row>
    <row r="882" spans="2:7" ht="14.25" customHeight="1" x14ac:dyDescent="0.3">
      <c r="B882" s="8"/>
      <c r="E882" s="8"/>
      <c r="G882" s="8"/>
    </row>
    <row r="883" spans="2:7" ht="14.25" customHeight="1" x14ac:dyDescent="0.3">
      <c r="B883" s="8"/>
      <c r="E883" s="8"/>
      <c r="G883" s="8"/>
    </row>
    <row r="884" spans="2:7" ht="14.25" customHeight="1" x14ac:dyDescent="0.3">
      <c r="B884" s="8"/>
      <c r="E884" s="8"/>
      <c r="G884" s="8"/>
    </row>
    <row r="885" spans="2:7" ht="14.25" customHeight="1" x14ac:dyDescent="0.3">
      <c r="B885" s="8"/>
      <c r="E885" s="8"/>
      <c r="G885" s="8"/>
    </row>
    <row r="886" spans="2:7" ht="14.25" customHeight="1" x14ac:dyDescent="0.3">
      <c r="B886" s="8"/>
      <c r="E886" s="8"/>
      <c r="G886" s="8"/>
    </row>
    <row r="887" spans="2:7" ht="14.25" customHeight="1" x14ac:dyDescent="0.3">
      <c r="B887" s="8"/>
      <c r="E887" s="8"/>
      <c r="G887" s="8"/>
    </row>
    <row r="888" spans="2:7" ht="14.25" customHeight="1" x14ac:dyDescent="0.3">
      <c r="B888" s="8"/>
      <c r="E888" s="8"/>
      <c r="G888" s="8"/>
    </row>
    <row r="889" spans="2:7" ht="14.25" customHeight="1" x14ac:dyDescent="0.3">
      <c r="B889" s="8"/>
      <c r="E889" s="8"/>
      <c r="G889" s="8"/>
    </row>
    <row r="890" spans="2:7" ht="14.25" customHeight="1" x14ac:dyDescent="0.3">
      <c r="B890" s="8"/>
      <c r="E890" s="8"/>
      <c r="G890" s="8"/>
    </row>
    <row r="891" spans="2:7" ht="14.25" customHeight="1" x14ac:dyDescent="0.3">
      <c r="B891" s="8"/>
      <c r="E891" s="8"/>
      <c r="G891" s="8"/>
    </row>
    <row r="892" spans="2:7" ht="14.25" customHeight="1" x14ac:dyDescent="0.3">
      <c r="B892" s="8"/>
      <c r="E892" s="8"/>
      <c r="G892" s="8"/>
    </row>
    <row r="893" spans="2:7" ht="14.25" customHeight="1" x14ac:dyDescent="0.3">
      <c r="B893" s="8"/>
      <c r="E893" s="8"/>
      <c r="G893" s="8"/>
    </row>
    <row r="894" spans="2:7" ht="14.25" customHeight="1" x14ac:dyDescent="0.3">
      <c r="B894" s="8"/>
      <c r="E894" s="8"/>
      <c r="G894" s="8"/>
    </row>
    <row r="895" spans="2:7" ht="14.25" customHeight="1" x14ac:dyDescent="0.3">
      <c r="B895" s="8"/>
      <c r="E895" s="8"/>
      <c r="G895" s="8"/>
    </row>
    <row r="896" spans="2:7" ht="14.25" customHeight="1" x14ac:dyDescent="0.3">
      <c r="B896" s="8"/>
      <c r="E896" s="8"/>
      <c r="G896" s="8"/>
    </row>
    <row r="897" spans="2:7" ht="14.25" customHeight="1" x14ac:dyDescent="0.3">
      <c r="B897" s="8"/>
      <c r="E897" s="8"/>
      <c r="G897" s="8"/>
    </row>
    <row r="898" spans="2:7" ht="14.25" customHeight="1" x14ac:dyDescent="0.3">
      <c r="B898" s="8"/>
      <c r="E898" s="8"/>
      <c r="G898" s="8"/>
    </row>
    <row r="899" spans="2:7" ht="14.25" customHeight="1" x14ac:dyDescent="0.3">
      <c r="B899" s="8"/>
      <c r="E899" s="8"/>
      <c r="G899" s="8"/>
    </row>
    <row r="900" spans="2:7" ht="14.25" customHeight="1" x14ac:dyDescent="0.3">
      <c r="B900" s="8"/>
      <c r="E900" s="8"/>
      <c r="G900" s="8"/>
    </row>
    <row r="901" spans="2:7" ht="14.25" customHeight="1" x14ac:dyDescent="0.3">
      <c r="B901" s="8"/>
      <c r="E901" s="8"/>
      <c r="G901" s="8"/>
    </row>
    <row r="902" spans="2:7" ht="14.25" customHeight="1" x14ac:dyDescent="0.3">
      <c r="B902" s="8"/>
      <c r="E902" s="8"/>
      <c r="G902" s="8"/>
    </row>
    <row r="903" spans="2:7" ht="14.25" customHeight="1" x14ac:dyDescent="0.3">
      <c r="B903" s="8"/>
      <c r="E903" s="8"/>
      <c r="G903" s="8"/>
    </row>
    <row r="904" spans="2:7" ht="14.25" customHeight="1" x14ac:dyDescent="0.3">
      <c r="B904" s="8"/>
      <c r="E904" s="8"/>
      <c r="G904" s="8"/>
    </row>
    <row r="905" spans="2:7" ht="14.25" customHeight="1" x14ac:dyDescent="0.3">
      <c r="B905" s="8"/>
      <c r="E905" s="8"/>
      <c r="G905" s="8"/>
    </row>
    <row r="906" spans="2:7" ht="14.25" customHeight="1" x14ac:dyDescent="0.3">
      <c r="B906" s="8"/>
      <c r="E906" s="8"/>
      <c r="G906" s="8"/>
    </row>
    <row r="907" spans="2:7" ht="14.25" customHeight="1" x14ac:dyDescent="0.3">
      <c r="B907" s="8"/>
      <c r="E907" s="8"/>
      <c r="G907" s="8"/>
    </row>
    <row r="908" spans="2:7" ht="14.25" customHeight="1" x14ac:dyDescent="0.3">
      <c r="B908" s="8"/>
      <c r="E908" s="8"/>
      <c r="G908" s="8"/>
    </row>
    <row r="909" spans="2:7" ht="14.25" customHeight="1" x14ac:dyDescent="0.3">
      <c r="B909" s="8"/>
      <c r="E909" s="8"/>
      <c r="G909" s="8"/>
    </row>
    <row r="910" spans="2:7" ht="14.25" customHeight="1" x14ac:dyDescent="0.3">
      <c r="B910" s="8"/>
      <c r="E910" s="8"/>
      <c r="G910" s="8"/>
    </row>
    <row r="911" spans="2:7" ht="14.25" customHeight="1" x14ac:dyDescent="0.3">
      <c r="B911" s="8"/>
      <c r="E911" s="8"/>
      <c r="G911" s="8"/>
    </row>
    <row r="912" spans="2:7" ht="14.25" customHeight="1" x14ac:dyDescent="0.3">
      <c r="B912" s="8"/>
      <c r="E912" s="8"/>
      <c r="G912" s="8"/>
    </row>
    <row r="913" spans="2:7" ht="14.25" customHeight="1" x14ac:dyDescent="0.3">
      <c r="B913" s="8"/>
      <c r="E913" s="8"/>
      <c r="G913" s="8"/>
    </row>
    <row r="914" spans="2:7" ht="14.25" customHeight="1" x14ac:dyDescent="0.3">
      <c r="B914" s="8"/>
      <c r="E914" s="8"/>
      <c r="G914" s="8"/>
    </row>
    <row r="915" spans="2:7" ht="14.25" customHeight="1" x14ac:dyDescent="0.3">
      <c r="B915" s="8"/>
      <c r="E915" s="8"/>
      <c r="G915" s="8"/>
    </row>
    <row r="916" spans="2:7" ht="14.25" customHeight="1" x14ac:dyDescent="0.3">
      <c r="B916" s="8"/>
      <c r="E916" s="8"/>
      <c r="G916" s="8"/>
    </row>
    <row r="917" spans="2:7" ht="14.25" customHeight="1" x14ac:dyDescent="0.3">
      <c r="B917" s="8"/>
      <c r="E917" s="8"/>
      <c r="G917" s="8"/>
    </row>
    <row r="918" spans="2:7" ht="14.25" customHeight="1" x14ac:dyDescent="0.3">
      <c r="B918" s="8"/>
      <c r="E918" s="8"/>
      <c r="G918" s="8"/>
    </row>
    <row r="919" spans="2:7" ht="14.25" customHeight="1" x14ac:dyDescent="0.3">
      <c r="B919" s="8"/>
      <c r="E919" s="8"/>
      <c r="G919" s="8"/>
    </row>
    <row r="920" spans="2:7" ht="14.25" customHeight="1" x14ac:dyDescent="0.3">
      <c r="B920" s="8"/>
      <c r="E920" s="8"/>
      <c r="G920" s="8"/>
    </row>
    <row r="921" spans="2:7" ht="14.25" customHeight="1" x14ac:dyDescent="0.3">
      <c r="B921" s="8"/>
      <c r="E921" s="8"/>
      <c r="G921" s="8"/>
    </row>
    <row r="922" spans="2:7" ht="14.25" customHeight="1" x14ac:dyDescent="0.3">
      <c r="B922" s="8"/>
      <c r="E922" s="8"/>
      <c r="G922" s="8"/>
    </row>
    <row r="923" spans="2:7" ht="14.25" customHeight="1" x14ac:dyDescent="0.3">
      <c r="B923" s="8"/>
      <c r="E923" s="8"/>
      <c r="G923" s="8"/>
    </row>
    <row r="924" spans="2:7" ht="14.25" customHeight="1" x14ac:dyDescent="0.3">
      <c r="B924" s="8"/>
      <c r="E924" s="8"/>
      <c r="G924" s="8"/>
    </row>
    <row r="925" spans="2:7" ht="14.25" customHeight="1" x14ac:dyDescent="0.3">
      <c r="B925" s="8"/>
      <c r="E925" s="8"/>
      <c r="G925" s="8"/>
    </row>
    <row r="926" spans="2:7" ht="14.25" customHeight="1" x14ac:dyDescent="0.3">
      <c r="B926" s="8"/>
      <c r="E926" s="8"/>
      <c r="G926" s="8"/>
    </row>
    <row r="927" spans="2:7" ht="14.25" customHeight="1" x14ac:dyDescent="0.3">
      <c r="B927" s="8"/>
      <c r="E927" s="8"/>
      <c r="G927" s="8"/>
    </row>
    <row r="928" spans="2:7" ht="14.25" customHeight="1" x14ac:dyDescent="0.3">
      <c r="B928" s="8"/>
      <c r="E928" s="8"/>
      <c r="G928" s="8"/>
    </row>
    <row r="929" spans="2:7" ht="14.25" customHeight="1" x14ac:dyDescent="0.3">
      <c r="B929" s="8"/>
      <c r="E929" s="8"/>
      <c r="G929" s="8"/>
    </row>
    <row r="930" spans="2:7" ht="14.25" customHeight="1" x14ac:dyDescent="0.3">
      <c r="B930" s="8"/>
      <c r="E930" s="8"/>
      <c r="G930" s="8"/>
    </row>
    <row r="931" spans="2:7" ht="14.25" customHeight="1" x14ac:dyDescent="0.3">
      <c r="B931" s="8"/>
      <c r="E931" s="8"/>
      <c r="G931" s="8"/>
    </row>
    <row r="932" spans="2:7" ht="14.25" customHeight="1" x14ac:dyDescent="0.3">
      <c r="B932" s="8"/>
      <c r="E932" s="8"/>
      <c r="G932" s="8"/>
    </row>
    <row r="933" spans="2:7" ht="14.25" customHeight="1" x14ac:dyDescent="0.3">
      <c r="B933" s="8"/>
      <c r="E933" s="8"/>
      <c r="G933" s="8"/>
    </row>
    <row r="934" spans="2:7" ht="14.25" customHeight="1" x14ac:dyDescent="0.3">
      <c r="B934" s="8"/>
      <c r="E934" s="8"/>
      <c r="G934" s="8"/>
    </row>
    <row r="935" spans="2:7" ht="14.25" customHeight="1" x14ac:dyDescent="0.3">
      <c r="B935" s="8"/>
      <c r="E935" s="8"/>
      <c r="G935" s="8"/>
    </row>
    <row r="936" spans="2:7" ht="14.25" customHeight="1" x14ac:dyDescent="0.3">
      <c r="B936" s="8"/>
      <c r="E936" s="8"/>
      <c r="G936" s="8"/>
    </row>
    <row r="937" spans="2:7" ht="14.25" customHeight="1" x14ac:dyDescent="0.3">
      <c r="B937" s="8"/>
      <c r="E937" s="8"/>
      <c r="G937" s="8"/>
    </row>
    <row r="938" spans="2:7" ht="14.25" customHeight="1" x14ac:dyDescent="0.3">
      <c r="B938" s="8"/>
      <c r="E938" s="8"/>
      <c r="G938" s="8"/>
    </row>
    <row r="939" spans="2:7" ht="14.25" customHeight="1" x14ac:dyDescent="0.3">
      <c r="B939" s="8"/>
      <c r="E939" s="8"/>
      <c r="G939" s="8"/>
    </row>
    <row r="940" spans="2:7" ht="14.25" customHeight="1" x14ac:dyDescent="0.3">
      <c r="B940" s="8"/>
      <c r="E940" s="8"/>
      <c r="G940" s="8"/>
    </row>
    <row r="941" spans="2:7" ht="14.25" customHeight="1" x14ac:dyDescent="0.3">
      <c r="B941" s="8"/>
      <c r="E941" s="8"/>
      <c r="G941" s="8"/>
    </row>
    <row r="942" spans="2:7" ht="14.25" customHeight="1" x14ac:dyDescent="0.3">
      <c r="B942" s="8"/>
      <c r="E942" s="8"/>
      <c r="G942" s="8"/>
    </row>
    <row r="943" spans="2:7" ht="14.25" customHeight="1" x14ac:dyDescent="0.3">
      <c r="B943" s="8"/>
      <c r="E943" s="8"/>
      <c r="G943" s="8"/>
    </row>
    <row r="944" spans="2:7" ht="14.25" customHeight="1" x14ac:dyDescent="0.3">
      <c r="B944" s="8"/>
      <c r="E944" s="8"/>
      <c r="G944" s="8"/>
    </row>
    <row r="945" spans="2:7" ht="14.25" customHeight="1" x14ac:dyDescent="0.3">
      <c r="B945" s="8"/>
      <c r="E945" s="8"/>
      <c r="G945" s="8"/>
    </row>
    <row r="946" spans="2:7" ht="14.25" customHeight="1" x14ac:dyDescent="0.3">
      <c r="B946" s="8"/>
      <c r="E946" s="8"/>
      <c r="G946" s="8"/>
    </row>
    <row r="947" spans="2:7" ht="14.25" customHeight="1" x14ac:dyDescent="0.3">
      <c r="B947" s="8"/>
      <c r="E947" s="8"/>
      <c r="G947" s="8"/>
    </row>
    <row r="948" spans="2:7" ht="14.25" customHeight="1" x14ac:dyDescent="0.3">
      <c r="B948" s="8"/>
      <c r="E948" s="8"/>
      <c r="G948" s="8"/>
    </row>
    <row r="949" spans="2:7" ht="14.25" customHeight="1" x14ac:dyDescent="0.3">
      <c r="B949" s="8"/>
      <c r="E949" s="8"/>
      <c r="G949" s="8"/>
    </row>
    <row r="950" spans="2:7" ht="14.25" customHeight="1" x14ac:dyDescent="0.3">
      <c r="B950" s="8"/>
      <c r="E950" s="8"/>
      <c r="G950" s="8"/>
    </row>
    <row r="951" spans="2:7" ht="14.25" customHeight="1" x14ac:dyDescent="0.3">
      <c r="B951" s="8"/>
      <c r="E951" s="8"/>
      <c r="G951" s="8"/>
    </row>
    <row r="952" spans="2:7" ht="14.25" customHeight="1" x14ac:dyDescent="0.3">
      <c r="B952" s="8"/>
      <c r="E952" s="8"/>
      <c r="G952" s="8"/>
    </row>
    <row r="953" spans="2:7" ht="14.25" customHeight="1" x14ac:dyDescent="0.3">
      <c r="B953" s="8"/>
      <c r="E953" s="8"/>
      <c r="G953" s="8"/>
    </row>
    <row r="954" spans="2:7" ht="14.25" customHeight="1" x14ac:dyDescent="0.3">
      <c r="B954" s="8"/>
      <c r="E954" s="8"/>
      <c r="G954" s="8"/>
    </row>
    <row r="955" spans="2:7" ht="14.25" customHeight="1" x14ac:dyDescent="0.3">
      <c r="B955" s="8"/>
      <c r="E955" s="8"/>
      <c r="G955" s="8"/>
    </row>
    <row r="956" spans="2:7" ht="14.25" customHeight="1" x14ac:dyDescent="0.3">
      <c r="B956" s="8"/>
      <c r="E956" s="8"/>
      <c r="G956" s="8"/>
    </row>
    <row r="957" spans="2:7" ht="14.25" customHeight="1" x14ac:dyDescent="0.3">
      <c r="B957" s="8"/>
      <c r="E957" s="8"/>
      <c r="G957" s="8"/>
    </row>
    <row r="958" spans="2:7" ht="14.25" customHeight="1" x14ac:dyDescent="0.3">
      <c r="B958" s="8"/>
      <c r="E958" s="8"/>
      <c r="G958" s="8"/>
    </row>
    <row r="959" spans="2:7" ht="14.25" customHeight="1" x14ac:dyDescent="0.3">
      <c r="B959" s="8"/>
      <c r="E959" s="8"/>
      <c r="G959" s="8"/>
    </row>
    <row r="960" spans="2:7" ht="14.25" customHeight="1" x14ac:dyDescent="0.3">
      <c r="B960" s="8"/>
      <c r="E960" s="8"/>
      <c r="G960" s="8"/>
    </row>
    <row r="961" spans="2:7" ht="14.25" customHeight="1" x14ac:dyDescent="0.3">
      <c r="B961" s="8"/>
      <c r="E961" s="8"/>
      <c r="G961" s="8"/>
    </row>
    <row r="962" spans="2:7" ht="14.25" customHeight="1" x14ac:dyDescent="0.3">
      <c r="B962" s="8"/>
      <c r="E962" s="8"/>
      <c r="G962" s="8"/>
    </row>
    <row r="963" spans="2:7" ht="14.25" customHeight="1" x14ac:dyDescent="0.3">
      <c r="B963" s="8"/>
      <c r="E963" s="8"/>
      <c r="G963" s="8"/>
    </row>
    <row r="964" spans="2:7" ht="14.25" customHeight="1" x14ac:dyDescent="0.3">
      <c r="B964" s="8"/>
      <c r="E964" s="8"/>
      <c r="G964" s="8"/>
    </row>
    <row r="965" spans="2:7" ht="14.25" customHeight="1" x14ac:dyDescent="0.3">
      <c r="B965" s="8"/>
      <c r="E965" s="8"/>
      <c r="G965" s="8"/>
    </row>
    <row r="966" spans="2:7" ht="14.25" customHeight="1" x14ac:dyDescent="0.3">
      <c r="B966" s="8"/>
      <c r="E966" s="8"/>
      <c r="G966" s="8"/>
    </row>
    <row r="967" spans="2:7" ht="14.25" customHeight="1" x14ac:dyDescent="0.3">
      <c r="B967" s="8"/>
      <c r="E967" s="8"/>
      <c r="G967" s="8"/>
    </row>
    <row r="968" spans="2:7" ht="14.25" customHeight="1" x14ac:dyDescent="0.3">
      <c r="B968" s="8"/>
      <c r="E968" s="8"/>
      <c r="G968" s="8"/>
    </row>
    <row r="969" spans="2:7" ht="14.25" customHeight="1" x14ac:dyDescent="0.3">
      <c r="B969" s="8"/>
      <c r="E969" s="8"/>
      <c r="G969" s="8"/>
    </row>
    <row r="970" spans="2:7" ht="14.25" customHeight="1" x14ac:dyDescent="0.3">
      <c r="B970" s="8"/>
      <c r="E970" s="8"/>
      <c r="G970" s="8"/>
    </row>
    <row r="971" spans="2:7" ht="14.25" customHeight="1" x14ac:dyDescent="0.3">
      <c r="B971" s="8"/>
      <c r="E971" s="8"/>
      <c r="G971" s="8"/>
    </row>
    <row r="972" spans="2:7" ht="14.25" customHeight="1" x14ac:dyDescent="0.3">
      <c r="B972" s="8"/>
      <c r="E972" s="8"/>
      <c r="G972" s="8"/>
    </row>
    <row r="973" spans="2:7" ht="14.25" customHeight="1" x14ac:dyDescent="0.3">
      <c r="B973" s="8"/>
      <c r="E973" s="8"/>
      <c r="G973" s="8"/>
    </row>
    <row r="974" spans="2:7" ht="14.25" customHeight="1" x14ac:dyDescent="0.3">
      <c r="B974" s="8"/>
      <c r="E974" s="8"/>
      <c r="G974" s="8"/>
    </row>
    <row r="975" spans="2:7" ht="14.25" customHeight="1" x14ac:dyDescent="0.3">
      <c r="B975" s="8"/>
      <c r="E975" s="8"/>
      <c r="G975" s="8"/>
    </row>
    <row r="976" spans="2:7" ht="14.25" customHeight="1" x14ac:dyDescent="0.3">
      <c r="B976" s="8"/>
      <c r="E976" s="8"/>
      <c r="G976" s="8"/>
    </row>
    <row r="977" spans="2:7" ht="14.25" customHeight="1" x14ac:dyDescent="0.3">
      <c r="B977" s="8"/>
      <c r="E977" s="8"/>
      <c r="G977" s="8"/>
    </row>
    <row r="978" spans="2:7" ht="14.25" customHeight="1" x14ac:dyDescent="0.3">
      <c r="B978" s="8"/>
      <c r="E978" s="8"/>
      <c r="G978" s="8"/>
    </row>
    <row r="979" spans="2:7" ht="14.25" customHeight="1" x14ac:dyDescent="0.3">
      <c r="B979" s="8"/>
      <c r="E979" s="8"/>
      <c r="G979" s="8"/>
    </row>
    <row r="980" spans="2:7" ht="14.25" customHeight="1" x14ac:dyDescent="0.3">
      <c r="B980" s="8"/>
      <c r="E980" s="8"/>
      <c r="G980" s="8"/>
    </row>
    <row r="981" spans="2:7" ht="14.25" customHeight="1" x14ac:dyDescent="0.3">
      <c r="B981" s="8"/>
      <c r="E981" s="8"/>
      <c r="G981" s="8"/>
    </row>
    <row r="982" spans="2:7" ht="14.25" customHeight="1" x14ac:dyDescent="0.3">
      <c r="B982" s="8"/>
      <c r="E982" s="8"/>
      <c r="G982" s="8"/>
    </row>
    <row r="983" spans="2:7" ht="14.25" customHeight="1" x14ac:dyDescent="0.3">
      <c r="B983" s="8"/>
      <c r="E983" s="8"/>
      <c r="G983" s="8"/>
    </row>
    <row r="984" spans="2:7" ht="14.25" customHeight="1" x14ac:dyDescent="0.3">
      <c r="B984" s="8"/>
      <c r="E984" s="8"/>
      <c r="G984" s="8"/>
    </row>
    <row r="985" spans="2:7" ht="14.25" customHeight="1" x14ac:dyDescent="0.3">
      <c r="B985" s="8"/>
      <c r="E985" s="8"/>
      <c r="G985" s="8"/>
    </row>
    <row r="986" spans="2:7" ht="14.25" customHeight="1" x14ac:dyDescent="0.3">
      <c r="B986" s="8"/>
      <c r="E986" s="8"/>
      <c r="G986" s="8"/>
    </row>
    <row r="987" spans="2:7" ht="14.25" customHeight="1" x14ac:dyDescent="0.3">
      <c r="B987" s="8"/>
      <c r="E987" s="8"/>
      <c r="G987" s="8"/>
    </row>
    <row r="988" spans="2:7" ht="14.25" customHeight="1" x14ac:dyDescent="0.3">
      <c r="B988" s="8"/>
      <c r="E988" s="8"/>
      <c r="G988" s="8"/>
    </row>
    <row r="989" spans="2:7" ht="14.25" customHeight="1" x14ac:dyDescent="0.3">
      <c r="B989" s="8"/>
      <c r="E989" s="8"/>
      <c r="G989" s="8"/>
    </row>
    <row r="990" spans="2:7" ht="14.25" customHeight="1" x14ac:dyDescent="0.3">
      <c r="B990" s="8"/>
      <c r="E990" s="8"/>
      <c r="G990" s="8"/>
    </row>
    <row r="991" spans="2:7" ht="14.25" customHeight="1" x14ac:dyDescent="0.3">
      <c r="B991" s="8"/>
      <c r="E991" s="8"/>
      <c r="G991" s="8"/>
    </row>
    <row r="992" spans="2:7" ht="14.25" customHeight="1" x14ac:dyDescent="0.3">
      <c r="B992" s="8"/>
      <c r="E992" s="8"/>
      <c r="G992" s="8"/>
    </row>
    <row r="993" spans="2:7" ht="14.25" customHeight="1" x14ac:dyDescent="0.3">
      <c r="B993" s="8"/>
      <c r="E993" s="8"/>
      <c r="G993" s="8"/>
    </row>
    <row r="994" spans="2:7" ht="14.25" customHeight="1" x14ac:dyDescent="0.3">
      <c r="B994" s="8"/>
      <c r="E994" s="8"/>
      <c r="G994" s="8"/>
    </row>
    <row r="995" spans="2:7" ht="14.25" customHeight="1" x14ac:dyDescent="0.3">
      <c r="B995" s="8"/>
      <c r="E995" s="8"/>
      <c r="G995" s="8"/>
    </row>
    <row r="996" spans="2:7" ht="14.25" customHeight="1" x14ac:dyDescent="0.3">
      <c r="B996" s="8"/>
      <c r="E996" s="8"/>
      <c r="G996" s="8"/>
    </row>
    <row r="997" spans="2:7" ht="14.25" customHeight="1" x14ac:dyDescent="0.3">
      <c r="B997" s="8"/>
      <c r="E997" s="8"/>
      <c r="G997" s="8"/>
    </row>
    <row r="998" spans="2:7" ht="14.25" customHeight="1" x14ac:dyDescent="0.3">
      <c r="B998" s="8"/>
      <c r="E998" s="8"/>
      <c r="G998" s="8"/>
    </row>
    <row r="999" spans="2:7" ht="14.25" customHeight="1" x14ac:dyDescent="0.3">
      <c r="B999" s="8"/>
      <c r="E999" s="8"/>
      <c r="G999" s="8"/>
    </row>
    <row r="1000" spans="2:7" ht="14.25" customHeight="1" x14ac:dyDescent="0.3">
      <c r="B1000" s="8"/>
      <c r="E1000" s="8"/>
      <c r="G1000" s="8"/>
    </row>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C570B-2D51-4E63-9C84-7BBEBF4E7B03}">
  <sheetPr codeName="Sheet19"/>
  <dimension ref="A1:K1000"/>
  <sheetViews>
    <sheetView topLeftCell="E1" zoomScale="87" workbookViewId="0">
      <selection activeCell="K5" sqref="K5"/>
    </sheetView>
  </sheetViews>
  <sheetFormatPr defaultColWidth="14.44140625" defaultRowHeight="15" customHeight="1" x14ac:dyDescent="0.3"/>
  <cols>
    <col min="1" max="6" width="17.6640625" customWidth="1"/>
    <col min="7" max="7" width="20.6640625" bestFit="1" customWidth="1"/>
    <col min="8" max="8" width="27.6640625" bestFit="1" customWidth="1"/>
    <col min="9" max="10" width="27.109375" bestFit="1" customWidth="1"/>
    <col min="11" max="11" width="23" bestFit="1" customWidth="1"/>
    <col min="12" max="26" width="17.6640625" customWidth="1"/>
  </cols>
  <sheetData>
    <row r="1" spans="1:11" ht="14.25" customHeight="1" x14ac:dyDescent="0.3">
      <c r="A1" s="18" t="s">
        <v>12</v>
      </c>
      <c r="B1" s="10" t="s">
        <v>591</v>
      </c>
      <c r="C1" s="9" t="s">
        <v>592</v>
      </c>
      <c r="D1" s="9" t="s">
        <v>593</v>
      </c>
      <c r="E1" s="10" t="s">
        <v>594</v>
      </c>
      <c r="F1" s="9" t="s">
        <v>595</v>
      </c>
      <c r="G1" s="19" t="s">
        <v>596</v>
      </c>
      <c r="H1" s="9" t="s">
        <v>659</v>
      </c>
      <c r="I1" s="74" t="s">
        <v>660</v>
      </c>
      <c r="J1" s="74" t="s">
        <v>661</v>
      </c>
      <c r="K1" s="74" t="s">
        <v>662</v>
      </c>
    </row>
    <row r="2" spans="1:11" ht="14.25" customHeight="1" x14ac:dyDescent="0.3">
      <c r="A2" s="16" t="s">
        <v>19</v>
      </c>
      <c r="B2" s="23">
        <v>45458</v>
      </c>
      <c r="C2" s="25">
        <v>45488</v>
      </c>
      <c r="D2" s="6" t="s">
        <v>598</v>
      </c>
      <c r="E2" s="27">
        <v>150000</v>
      </c>
      <c r="F2" s="6" t="s">
        <v>599</v>
      </c>
      <c r="G2" s="17" t="s">
        <v>41</v>
      </c>
      <c r="H2" s="71">
        <f>(Table3[[#This Row],[Start_Date]]-30)</f>
        <v>45428</v>
      </c>
      <c r="I2" s="75">
        <f>AVERAGEIFS(Cleaned_Data!$O:$O, Cleaned_Data!$C:$C, "&gt;="&amp;B2, Cleaned_Data!$C:$C, "&lt;="&amp;C2)</f>
        <v>0.10340277163772085</v>
      </c>
      <c r="J2" s="75">
        <f>AVERAGEIFS(Cleaned_Data!$O:$O, Cleaned_Data!$C:$C, "&gt;="&amp;H2, Cleaned_Data!$C:$C, "&lt;"&amp;B2)</f>
        <v>0.22901998206289689</v>
      </c>
      <c r="K2" s="76">
        <f t="shared" ref="K2:K5" si="0">(I2-J2)/J2</f>
        <v>-0.54849890954352254</v>
      </c>
    </row>
    <row r="3" spans="1:11" ht="14.25" customHeight="1" x14ac:dyDescent="0.3">
      <c r="A3" s="16" t="s">
        <v>25</v>
      </c>
      <c r="B3" s="23">
        <v>45566</v>
      </c>
      <c r="C3" s="25">
        <v>45596</v>
      </c>
      <c r="D3" s="6" t="s">
        <v>601</v>
      </c>
      <c r="E3" s="27">
        <v>200000</v>
      </c>
      <c r="F3" s="6" t="s">
        <v>602</v>
      </c>
      <c r="G3" s="17" t="s">
        <v>603</v>
      </c>
      <c r="H3" s="72">
        <f>(Table3[[#This Row],[Start_Date]]-30)</f>
        <v>45536</v>
      </c>
      <c r="I3" s="75">
        <f>AVERAGEIFS(Cleaned_Data!$O:$O, Cleaned_Data!$C:$C, "&gt;="&amp;B3, Cleaned_Data!$C:$C, "&lt;="&amp;C3)</f>
        <v>0.13223504562639771</v>
      </c>
      <c r="J3" s="75">
        <f>AVERAGEIFS(Cleaned_Data!$O:$O, Cleaned_Data!$C:$C, "&gt;="&amp;H3, Cleaned_Data!$C:$C, "&lt;"&amp;B3)</f>
        <v>0.12967079393925871</v>
      </c>
      <c r="K3" s="76">
        <f t="shared" si="0"/>
        <v>1.9775090513752591E-2</v>
      </c>
    </row>
    <row r="4" spans="1:11" ht="14.25" customHeight="1" x14ac:dyDescent="0.3">
      <c r="A4" s="16" t="s">
        <v>31</v>
      </c>
      <c r="B4" s="23">
        <v>45651</v>
      </c>
      <c r="C4" s="25">
        <v>45667</v>
      </c>
      <c r="D4" s="6" t="s">
        <v>605</v>
      </c>
      <c r="E4" s="27">
        <v>250000</v>
      </c>
      <c r="F4" s="6" t="s">
        <v>606</v>
      </c>
      <c r="G4" s="17" t="s">
        <v>607</v>
      </c>
      <c r="H4" s="72">
        <f>(Table3[[#This Row],[Start_Date]]-30)</f>
        <v>45621</v>
      </c>
      <c r="I4" s="75">
        <f>AVERAGEIFS(Cleaned_Data!$O:$O, Cleaned_Data!$C:$C, "&gt;="&amp;B4, Cleaned_Data!$C:$C, "&lt;="&amp;C4)</f>
        <v>0.15012452603301554</v>
      </c>
      <c r="J4" s="75">
        <f>AVERAGEIFS(Cleaned_Data!$O:$O, Cleaned_Data!$C:$C, "&gt;="&amp;H4, Cleaned_Data!$C:$C, "&lt;"&amp;B4)</f>
        <v>0.14479916935875103</v>
      </c>
      <c r="K4" s="76">
        <f t="shared" si="0"/>
        <v>3.6777536071843961E-2</v>
      </c>
    </row>
    <row r="5" spans="1:11" ht="14.25" customHeight="1" x14ac:dyDescent="0.3">
      <c r="A5" s="20" t="s">
        <v>38</v>
      </c>
      <c r="B5" s="24">
        <v>45717</v>
      </c>
      <c r="C5" s="26">
        <v>45747</v>
      </c>
      <c r="D5" s="21" t="s">
        <v>609</v>
      </c>
      <c r="E5" s="28">
        <v>180000</v>
      </c>
      <c r="F5" s="21" t="s">
        <v>610</v>
      </c>
      <c r="G5" s="22" t="s">
        <v>611</v>
      </c>
      <c r="H5" s="73">
        <f>(Table3[[#This Row],[Start_Date]]-30)</f>
        <v>45687</v>
      </c>
      <c r="I5" s="75">
        <f>AVERAGEIFS(Cleaned_Data!$O:$O, Cleaned_Data!$C:$C, "&gt;="&amp;B5, Cleaned_Data!$C:$C, "&lt;="&amp;C5)</f>
        <v>0.12121037527354303</v>
      </c>
      <c r="J5" s="75">
        <f>AVERAGEIFS(Cleaned_Data!$O:$O, Cleaned_Data!$C:$C, "&gt;="&amp;H5, Cleaned_Data!$C:$C, "&lt;"&amp;B5)</f>
        <v>0.19313845276821626</v>
      </c>
      <c r="K5" s="76">
        <f t="shared" si="0"/>
        <v>-0.37241717774861471</v>
      </c>
    </row>
    <row r="6" spans="1:11" ht="14.25" customHeight="1" x14ac:dyDescent="0.3">
      <c r="B6" s="8"/>
      <c r="E6" s="8"/>
      <c r="G6" s="8"/>
    </row>
    <row r="7" spans="1:11" ht="14.25" customHeight="1" x14ac:dyDescent="0.3">
      <c r="B7" s="8"/>
      <c r="E7" s="8"/>
      <c r="G7" s="8"/>
    </row>
    <row r="8" spans="1:11" ht="14.25" customHeight="1" x14ac:dyDescent="0.3">
      <c r="B8" s="8"/>
      <c r="E8" s="8"/>
      <c r="G8" s="8"/>
    </row>
    <row r="9" spans="1:11" ht="14.25" customHeight="1" x14ac:dyDescent="0.3">
      <c r="B9" s="8"/>
      <c r="E9" s="8"/>
      <c r="G9" s="8"/>
    </row>
    <row r="10" spans="1:11" ht="14.25" customHeight="1" x14ac:dyDescent="0.3">
      <c r="B10" s="8"/>
      <c r="E10" s="8"/>
      <c r="G10" s="8"/>
    </row>
    <row r="11" spans="1:11" ht="14.25" customHeight="1" x14ac:dyDescent="0.3">
      <c r="B11" s="8"/>
      <c r="E11" s="8"/>
      <c r="G11" s="8"/>
    </row>
    <row r="12" spans="1:11" ht="14.25" customHeight="1" x14ac:dyDescent="0.3">
      <c r="B12" s="8"/>
      <c r="E12" s="8"/>
      <c r="G12" s="8"/>
    </row>
    <row r="13" spans="1:11" ht="14.25" customHeight="1" x14ac:dyDescent="0.3">
      <c r="B13" s="8"/>
      <c r="E13" s="8"/>
      <c r="G13" s="8"/>
    </row>
    <row r="14" spans="1:11" ht="14.25" customHeight="1" x14ac:dyDescent="0.3">
      <c r="B14" s="8"/>
      <c r="E14" s="8"/>
      <c r="G14" s="8"/>
    </row>
    <row r="15" spans="1:11" ht="14.25" customHeight="1" x14ac:dyDescent="0.3">
      <c r="B15" s="8"/>
      <c r="E15" s="8"/>
      <c r="G15" s="8"/>
    </row>
    <row r="16" spans="1:11" ht="14.25" customHeight="1" x14ac:dyDescent="0.3">
      <c r="B16" s="8"/>
      <c r="E16" s="8"/>
      <c r="G16" s="8"/>
    </row>
    <row r="17" spans="2:7" ht="14.25" customHeight="1" x14ac:dyDescent="0.3">
      <c r="B17" s="8"/>
      <c r="E17" s="8"/>
      <c r="G17" s="8"/>
    </row>
    <row r="18" spans="2:7" ht="14.25" customHeight="1" x14ac:dyDescent="0.3">
      <c r="B18" s="8"/>
      <c r="E18" s="8"/>
      <c r="G18" s="8"/>
    </row>
    <row r="19" spans="2:7" ht="14.25" customHeight="1" x14ac:dyDescent="0.3">
      <c r="B19" s="8"/>
      <c r="E19" s="8"/>
      <c r="G19" s="8"/>
    </row>
    <row r="20" spans="2:7" ht="14.25" customHeight="1" x14ac:dyDescent="0.3">
      <c r="B20" s="8"/>
      <c r="E20" s="8"/>
      <c r="G20" s="8"/>
    </row>
    <row r="21" spans="2:7" ht="14.25" customHeight="1" x14ac:dyDescent="0.3">
      <c r="B21" s="8"/>
      <c r="E21" s="8"/>
      <c r="G21" s="8"/>
    </row>
    <row r="22" spans="2:7" ht="14.25" customHeight="1" x14ac:dyDescent="0.3">
      <c r="B22" s="8"/>
      <c r="E22" s="8"/>
      <c r="G22" s="8"/>
    </row>
    <row r="23" spans="2:7" ht="14.25" customHeight="1" x14ac:dyDescent="0.3">
      <c r="B23" s="8"/>
      <c r="E23" s="8"/>
      <c r="G23" s="8"/>
    </row>
    <row r="24" spans="2:7" ht="14.25" customHeight="1" x14ac:dyDescent="0.3">
      <c r="B24" s="8"/>
      <c r="E24" s="8"/>
      <c r="G24" s="8"/>
    </row>
    <row r="25" spans="2:7" ht="14.25" customHeight="1" x14ac:dyDescent="0.3">
      <c r="B25" s="8"/>
      <c r="E25" s="8"/>
      <c r="G25" s="8"/>
    </row>
    <row r="26" spans="2:7" ht="14.25" customHeight="1" x14ac:dyDescent="0.3">
      <c r="B26" s="8"/>
      <c r="E26" s="8"/>
      <c r="G26" s="8"/>
    </row>
    <row r="27" spans="2:7" ht="14.25" customHeight="1" x14ac:dyDescent="0.3">
      <c r="B27" s="8"/>
      <c r="E27" s="8"/>
      <c r="G27" s="8"/>
    </row>
    <row r="28" spans="2:7" ht="14.25" customHeight="1" x14ac:dyDescent="0.3">
      <c r="B28" s="8"/>
      <c r="E28" s="8"/>
      <c r="G28" s="8"/>
    </row>
    <row r="29" spans="2:7" ht="14.25" customHeight="1" x14ac:dyDescent="0.3">
      <c r="B29" s="8"/>
      <c r="E29" s="8"/>
      <c r="G29" s="8"/>
    </row>
    <row r="30" spans="2:7" ht="14.25" customHeight="1" x14ac:dyDescent="0.3">
      <c r="B30" s="8"/>
      <c r="E30" s="8"/>
      <c r="G30" s="8"/>
    </row>
    <row r="31" spans="2:7" ht="14.25" customHeight="1" x14ac:dyDescent="0.3">
      <c r="B31" s="8"/>
      <c r="E31" s="8"/>
      <c r="G31" s="8"/>
    </row>
    <row r="32" spans="2:7" ht="14.25" customHeight="1" x14ac:dyDescent="0.3">
      <c r="B32" s="8"/>
      <c r="E32" s="8"/>
      <c r="G32" s="8"/>
    </row>
    <row r="33" spans="2:7" ht="14.25" customHeight="1" x14ac:dyDescent="0.3">
      <c r="B33" s="8"/>
      <c r="E33" s="8"/>
      <c r="G33" s="8"/>
    </row>
    <row r="34" spans="2:7" ht="14.25" customHeight="1" x14ac:dyDescent="0.3">
      <c r="B34" s="8"/>
      <c r="E34" s="8"/>
      <c r="G34" s="8"/>
    </row>
    <row r="35" spans="2:7" ht="14.25" customHeight="1" x14ac:dyDescent="0.3">
      <c r="B35" s="8"/>
      <c r="E35" s="8"/>
      <c r="G35" s="8"/>
    </row>
    <row r="36" spans="2:7" ht="14.25" customHeight="1" x14ac:dyDescent="0.3">
      <c r="B36" s="8"/>
      <c r="E36" s="8"/>
      <c r="G36" s="8"/>
    </row>
    <row r="37" spans="2:7" ht="14.25" customHeight="1" x14ac:dyDescent="0.3">
      <c r="B37" s="8"/>
      <c r="E37" s="8"/>
      <c r="G37" s="8"/>
    </row>
    <row r="38" spans="2:7" ht="14.25" customHeight="1" x14ac:dyDescent="0.3">
      <c r="B38" s="8"/>
      <c r="E38" s="8"/>
      <c r="G38" s="8"/>
    </row>
    <row r="39" spans="2:7" ht="14.25" customHeight="1" x14ac:dyDescent="0.3">
      <c r="B39" s="8"/>
      <c r="E39" s="8"/>
      <c r="G39" s="8"/>
    </row>
    <row r="40" spans="2:7" ht="14.25" customHeight="1" x14ac:dyDescent="0.3">
      <c r="B40" s="8"/>
      <c r="E40" s="8"/>
      <c r="G40" s="8"/>
    </row>
    <row r="41" spans="2:7" ht="14.25" customHeight="1" x14ac:dyDescent="0.3">
      <c r="B41" s="8"/>
      <c r="E41" s="8"/>
      <c r="G41" s="8"/>
    </row>
    <row r="42" spans="2:7" ht="14.25" customHeight="1" x14ac:dyDescent="0.3">
      <c r="B42" s="8"/>
      <c r="E42" s="8"/>
      <c r="G42" s="8"/>
    </row>
    <row r="43" spans="2:7" ht="14.25" customHeight="1" x14ac:dyDescent="0.3">
      <c r="B43" s="8"/>
      <c r="E43" s="8"/>
      <c r="G43" s="8"/>
    </row>
    <row r="44" spans="2:7" ht="14.25" customHeight="1" x14ac:dyDescent="0.3">
      <c r="B44" s="8"/>
      <c r="E44" s="8"/>
      <c r="G44" s="8"/>
    </row>
    <row r="45" spans="2:7" ht="14.25" customHeight="1" x14ac:dyDescent="0.3">
      <c r="B45" s="8"/>
      <c r="E45" s="8"/>
      <c r="G45" s="8"/>
    </row>
    <row r="46" spans="2:7" ht="14.25" customHeight="1" x14ac:dyDescent="0.3">
      <c r="B46" s="8"/>
      <c r="E46" s="8"/>
      <c r="G46" s="8"/>
    </row>
    <row r="47" spans="2:7" ht="14.25" customHeight="1" x14ac:dyDescent="0.3">
      <c r="B47" s="8"/>
      <c r="E47" s="8"/>
      <c r="G47" s="8"/>
    </row>
    <row r="48" spans="2:7" ht="14.25" customHeight="1" x14ac:dyDescent="0.3">
      <c r="B48" s="8"/>
      <c r="E48" s="8"/>
      <c r="G48" s="8"/>
    </row>
    <row r="49" spans="2:7" ht="14.25" customHeight="1" x14ac:dyDescent="0.3">
      <c r="B49" s="8"/>
      <c r="E49" s="8"/>
      <c r="G49" s="8"/>
    </row>
    <row r="50" spans="2:7" ht="14.25" customHeight="1" x14ac:dyDescent="0.3">
      <c r="B50" s="8"/>
      <c r="E50" s="8"/>
      <c r="G50" s="8"/>
    </row>
    <row r="51" spans="2:7" ht="14.25" customHeight="1" x14ac:dyDescent="0.3">
      <c r="B51" s="8"/>
      <c r="E51" s="8"/>
      <c r="G51" s="8"/>
    </row>
    <row r="52" spans="2:7" ht="14.25" customHeight="1" x14ac:dyDescent="0.3">
      <c r="B52" s="8"/>
      <c r="E52" s="8"/>
      <c r="G52" s="8"/>
    </row>
    <row r="53" spans="2:7" ht="14.25" customHeight="1" x14ac:dyDescent="0.3">
      <c r="B53" s="8"/>
      <c r="E53" s="8"/>
      <c r="G53" s="8"/>
    </row>
    <row r="54" spans="2:7" ht="14.25" customHeight="1" x14ac:dyDescent="0.3">
      <c r="B54" s="8"/>
      <c r="E54" s="8"/>
      <c r="G54" s="8"/>
    </row>
    <row r="55" spans="2:7" ht="14.25" customHeight="1" x14ac:dyDescent="0.3">
      <c r="B55" s="8"/>
      <c r="E55" s="8"/>
      <c r="G55" s="8"/>
    </row>
    <row r="56" spans="2:7" ht="14.25" customHeight="1" x14ac:dyDescent="0.3">
      <c r="B56" s="8"/>
      <c r="E56" s="8"/>
      <c r="G56" s="8"/>
    </row>
    <row r="57" spans="2:7" ht="14.25" customHeight="1" x14ac:dyDescent="0.3">
      <c r="B57" s="8"/>
      <c r="E57" s="8"/>
      <c r="G57" s="8"/>
    </row>
    <row r="58" spans="2:7" ht="14.25" customHeight="1" x14ac:dyDescent="0.3">
      <c r="B58" s="8"/>
      <c r="E58" s="8"/>
      <c r="G58" s="8"/>
    </row>
    <row r="59" spans="2:7" ht="14.25" customHeight="1" x14ac:dyDescent="0.3">
      <c r="B59" s="8"/>
      <c r="E59" s="8"/>
      <c r="G59" s="8"/>
    </row>
    <row r="60" spans="2:7" ht="14.25" customHeight="1" x14ac:dyDescent="0.3">
      <c r="B60" s="8"/>
      <c r="E60" s="8"/>
      <c r="G60" s="8"/>
    </row>
    <row r="61" spans="2:7" ht="14.25" customHeight="1" x14ac:dyDescent="0.3">
      <c r="B61" s="8"/>
      <c r="E61" s="8"/>
      <c r="G61" s="8"/>
    </row>
    <row r="62" spans="2:7" ht="14.25" customHeight="1" x14ac:dyDescent="0.3">
      <c r="B62" s="8"/>
      <c r="E62" s="8"/>
      <c r="G62" s="8"/>
    </row>
    <row r="63" spans="2:7" ht="14.25" customHeight="1" x14ac:dyDescent="0.3">
      <c r="B63" s="8"/>
      <c r="E63" s="8"/>
      <c r="G63" s="8"/>
    </row>
    <row r="64" spans="2:7" ht="14.25" customHeight="1" x14ac:dyDescent="0.3">
      <c r="B64" s="8"/>
      <c r="E64" s="8"/>
      <c r="G64" s="8"/>
    </row>
    <row r="65" spans="2:7" ht="14.25" customHeight="1" x14ac:dyDescent="0.3">
      <c r="B65" s="8"/>
      <c r="E65" s="8"/>
      <c r="G65" s="8"/>
    </row>
    <row r="66" spans="2:7" ht="14.25" customHeight="1" x14ac:dyDescent="0.3">
      <c r="B66" s="8"/>
      <c r="E66" s="8"/>
      <c r="G66" s="8"/>
    </row>
    <row r="67" spans="2:7" ht="14.25" customHeight="1" x14ac:dyDescent="0.3">
      <c r="B67" s="8"/>
      <c r="E67" s="8"/>
      <c r="G67" s="8"/>
    </row>
    <row r="68" spans="2:7" ht="14.25" customHeight="1" x14ac:dyDescent="0.3">
      <c r="B68" s="8"/>
      <c r="E68" s="8"/>
      <c r="G68" s="8"/>
    </row>
    <row r="69" spans="2:7" ht="14.25" customHeight="1" x14ac:dyDescent="0.3">
      <c r="B69" s="8"/>
      <c r="E69" s="8"/>
      <c r="G69" s="8"/>
    </row>
    <row r="70" spans="2:7" ht="14.25" customHeight="1" x14ac:dyDescent="0.3">
      <c r="B70" s="8"/>
      <c r="E70" s="8"/>
      <c r="G70" s="8"/>
    </row>
    <row r="71" spans="2:7" ht="14.25" customHeight="1" x14ac:dyDescent="0.3">
      <c r="B71" s="8"/>
      <c r="E71" s="8"/>
      <c r="G71" s="8"/>
    </row>
    <row r="72" spans="2:7" ht="14.25" customHeight="1" x14ac:dyDescent="0.3">
      <c r="B72" s="8"/>
      <c r="E72" s="8"/>
      <c r="G72" s="8"/>
    </row>
    <row r="73" spans="2:7" ht="14.25" customHeight="1" x14ac:dyDescent="0.3">
      <c r="B73" s="8"/>
      <c r="E73" s="8"/>
      <c r="G73" s="8"/>
    </row>
    <row r="74" spans="2:7" ht="14.25" customHeight="1" x14ac:dyDescent="0.3">
      <c r="B74" s="8"/>
      <c r="E74" s="8"/>
      <c r="G74" s="8"/>
    </row>
    <row r="75" spans="2:7" ht="14.25" customHeight="1" x14ac:dyDescent="0.3">
      <c r="B75" s="8"/>
      <c r="E75" s="8"/>
      <c r="G75" s="8"/>
    </row>
    <row r="76" spans="2:7" ht="14.25" customHeight="1" x14ac:dyDescent="0.3">
      <c r="B76" s="8"/>
      <c r="E76" s="8"/>
      <c r="G76" s="8"/>
    </row>
    <row r="77" spans="2:7" ht="14.25" customHeight="1" x14ac:dyDescent="0.3">
      <c r="B77" s="8"/>
      <c r="E77" s="8"/>
      <c r="G77" s="8"/>
    </row>
    <row r="78" spans="2:7" ht="14.25" customHeight="1" x14ac:dyDescent="0.3">
      <c r="B78" s="8"/>
      <c r="E78" s="8"/>
      <c r="G78" s="8"/>
    </row>
    <row r="79" spans="2:7" ht="14.25" customHeight="1" x14ac:dyDescent="0.3">
      <c r="B79" s="8"/>
      <c r="E79" s="8"/>
      <c r="G79" s="8"/>
    </row>
    <row r="80" spans="2:7" ht="14.25" customHeight="1" x14ac:dyDescent="0.3">
      <c r="B80" s="8"/>
      <c r="E80" s="8"/>
      <c r="G80" s="8"/>
    </row>
    <row r="81" spans="2:7" ht="14.25" customHeight="1" x14ac:dyDescent="0.3">
      <c r="B81" s="8"/>
      <c r="E81" s="8"/>
      <c r="G81" s="8"/>
    </row>
    <row r="82" spans="2:7" ht="14.25" customHeight="1" x14ac:dyDescent="0.3">
      <c r="B82" s="8"/>
      <c r="E82" s="8"/>
      <c r="G82" s="8"/>
    </row>
    <row r="83" spans="2:7" ht="14.25" customHeight="1" x14ac:dyDescent="0.3">
      <c r="B83" s="8"/>
      <c r="E83" s="8"/>
      <c r="G83" s="8"/>
    </row>
    <row r="84" spans="2:7" ht="14.25" customHeight="1" x14ac:dyDescent="0.3">
      <c r="B84" s="8"/>
      <c r="E84" s="8"/>
      <c r="G84" s="8"/>
    </row>
    <row r="85" spans="2:7" ht="14.25" customHeight="1" x14ac:dyDescent="0.3">
      <c r="B85" s="8"/>
      <c r="E85" s="8"/>
      <c r="G85" s="8"/>
    </row>
    <row r="86" spans="2:7" ht="14.25" customHeight="1" x14ac:dyDescent="0.3">
      <c r="B86" s="8"/>
      <c r="E86" s="8"/>
      <c r="G86" s="8"/>
    </row>
    <row r="87" spans="2:7" ht="14.25" customHeight="1" x14ac:dyDescent="0.3">
      <c r="B87" s="8"/>
      <c r="E87" s="8"/>
      <c r="G87" s="8"/>
    </row>
    <row r="88" spans="2:7" ht="14.25" customHeight="1" x14ac:dyDescent="0.3">
      <c r="B88" s="8"/>
      <c r="E88" s="8"/>
      <c r="G88" s="8"/>
    </row>
    <row r="89" spans="2:7" ht="14.25" customHeight="1" x14ac:dyDescent="0.3">
      <c r="B89" s="8"/>
      <c r="E89" s="8"/>
      <c r="G89" s="8"/>
    </row>
    <row r="90" spans="2:7" ht="14.25" customHeight="1" x14ac:dyDescent="0.3">
      <c r="B90" s="8"/>
      <c r="E90" s="8"/>
      <c r="G90" s="8"/>
    </row>
    <row r="91" spans="2:7" ht="14.25" customHeight="1" x14ac:dyDescent="0.3">
      <c r="B91" s="8"/>
      <c r="E91" s="8"/>
      <c r="G91" s="8"/>
    </row>
    <row r="92" spans="2:7" ht="14.25" customHeight="1" x14ac:dyDescent="0.3">
      <c r="B92" s="8"/>
      <c r="E92" s="8"/>
      <c r="G92" s="8"/>
    </row>
    <row r="93" spans="2:7" ht="14.25" customHeight="1" x14ac:dyDescent="0.3">
      <c r="B93" s="8"/>
      <c r="E93" s="8"/>
      <c r="G93" s="8"/>
    </row>
    <row r="94" spans="2:7" ht="14.25" customHeight="1" x14ac:dyDescent="0.3">
      <c r="B94" s="8"/>
      <c r="E94" s="8"/>
      <c r="G94" s="8"/>
    </row>
    <row r="95" spans="2:7" ht="14.25" customHeight="1" x14ac:dyDescent="0.3">
      <c r="B95" s="8"/>
      <c r="E95" s="8"/>
      <c r="G95" s="8"/>
    </row>
    <row r="96" spans="2:7" ht="14.25" customHeight="1" x14ac:dyDescent="0.3">
      <c r="B96" s="8"/>
      <c r="E96" s="8"/>
      <c r="G96" s="8"/>
    </row>
    <row r="97" spans="2:7" ht="14.25" customHeight="1" x14ac:dyDescent="0.3">
      <c r="B97" s="8"/>
      <c r="E97" s="8"/>
      <c r="G97" s="8"/>
    </row>
    <row r="98" spans="2:7" ht="14.25" customHeight="1" x14ac:dyDescent="0.3">
      <c r="B98" s="8"/>
      <c r="E98" s="8"/>
      <c r="G98" s="8"/>
    </row>
    <row r="99" spans="2:7" ht="14.25" customHeight="1" x14ac:dyDescent="0.3">
      <c r="B99" s="8"/>
      <c r="E99" s="8"/>
      <c r="G99" s="8"/>
    </row>
    <row r="100" spans="2:7" ht="14.25" customHeight="1" x14ac:dyDescent="0.3">
      <c r="B100" s="8"/>
      <c r="E100" s="8"/>
      <c r="G100" s="8"/>
    </row>
    <row r="101" spans="2:7" ht="14.25" customHeight="1" x14ac:dyDescent="0.3">
      <c r="B101" s="8"/>
      <c r="E101" s="8"/>
      <c r="G101" s="8"/>
    </row>
    <row r="102" spans="2:7" ht="14.25" customHeight="1" x14ac:dyDescent="0.3">
      <c r="B102" s="8"/>
      <c r="E102" s="8"/>
      <c r="G102" s="8"/>
    </row>
    <row r="103" spans="2:7" ht="14.25" customHeight="1" x14ac:dyDescent="0.3">
      <c r="B103" s="8"/>
      <c r="E103" s="8"/>
      <c r="G103" s="8"/>
    </row>
    <row r="104" spans="2:7" ht="14.25" customHeight="1" x14ac:dyDescent="0.3">
      <c r="B104" s="8"/>
      <c r="E104" s="8"/>
      <c r="G104" s="8"/>
    </row>
    <row r="105" spans="2:7" ht="14.25" customHeight="1" x14ac:dyDescent="0.3">
      <c r="B105" s="8"/>
      <c r="E105" s="8"/>
      <c r="G105" s="8"/>
    </row>
    <row r="106" spans="2:7" ht="14.25" customHeight="1" x14ac:dyDescent="0.3">
      <c r="B106" s="8"/>
      <c r="E106" s="8"/>
      <c r="G106" s="8"/>
    </row>
    <row r="107" spans="2:7" ht="14.25" customHeight="1" x14ac:dyDescent="0.3">
      <c r="B107" s="8"/>
      <c r="E107" s="8"/>
      <c r="G107" s="8"/>
    </row>
    <row r="108" spans="2:7" ht="14.25" customHeight="1" x14ac:dyDescent="0.3">
      <c r="B108" s="8"/>
      <c r="E108" s="8"/>
      <c r="G108" s="8"/>
    </row>
    <row r="109" spans="2:7" ht="14.25" customHeight="1" x14ac:dyDescent="0.3">
      <c r="B109" s="8"/>
      <c r="E109" s="8"/>
      <c r="G109" s="8"/>
    </row>
    <row r="110" spans="2:7" ht="14.25" customHeight="1" x14ac:dyDescent="0.3">
      <c r="B110" s="8"/>
      <c r="E110" s="8"/>
      <c r="G110" s="8"/>
    </row>
    <row r="111" spans="2:7" ht="14.25" customHeight="1" x14ac:dyDescent="0.3">
      <c r="B111" s="8"/>
      <c r="E111" s="8"/>
      <c r="G111" s="8"/>
    </row>
    <row r="112" spans="2:7" ht="14.25" customHeight="1" x14ac:dyDescent="0.3">
      <c r="B112" s="8"/>
      <c r="E112" s="8"/>
      <c r="G112" s="8"/>
    </row>
    <row r="113" spans="2:7" ht="14.25" customHeight="1" x14ac:dyDescent="0.3">
      <c r="B113" s="8"/>
      <c r="E113" s="8"/>
      <c r="G113" s="8"/>
    </row>
    <row r="114" spans="2:7" ht="14.25" customHeight="1" x14ac:dyDescent="0.3">
      <c r="B114" s="8"/>
      <c r="E114" s="8"/>
      <c r="G114" s="8"/>
    </row>
    <row r="115" spans="2:7" ht="14.25" customHeight="1" x14ac:dyDescent="0.3">
      <c r="B115" s="8"/>
      <c r="E115" s="8"/>
      <c r="G115" s="8"/>
    </row>
    <row r="116" spans="2:7" ht="14.25" customHeight="1" x14ac:dyDescent="0.3">
      <c r="B116" s="8"/>
      <c r="E116" s="8"/>
      <c r="G116" s="8"/>
    </row>
    <row r="117" spans="2:7" ht="14.25" customHeight="1" x14ac:dyDescent="0.3">
      <c r="B117" s="8"/>
      <c r="E117" s="8"/>
      <c r="G117" s="8"/>
    </row>
    <row r="118" spans="2:7" ht="14.25" customHeight="1" x14ac:dyDescent="0.3">
      <c r="B118" s="8"/>
      <c r="E118" s="8"/>
      <c r="G118" s="8"/>
    </row>
    <row r="119" spans="2:7" ht="14.25" customHeight="1" x14ac:dyDescent="0.3">
      <c r="B119" s="8"/>
      <c r="E119" s="8"/>
      <c r="G119" s="8"/>
    </row>
    <row r="120" spans="2:7" ht="14.25" customHeight="1" x14ac:dyDescent="0.3">
      <c r="B120" s="8"/>
      <c r="E120" s="8"/>
      <c r="G120" s="8"/>
    </row>
    <row r="121" spans="2:7" ht="14.25" customHeight="1" x14ac:dyDescent="0.3">
      <c r="B121" s="8"/>
      <c r="E121" s="8"/>
      <c r="G121" s="8"/>
    </row>
    <row r="122" spans="2:7" ht="14.25" customHeight="1" x14ac:dyDescent="0.3">
      <c r="B122" s="8"/>
      <c r="E122" s="8"/>
      <c r="G122" s="8"/>
    </row>
    <row r="123" spans="2:7" ht="14.25" customHeight="1" x14ac:dyDescent="0.3">
      <c r="B123" s="8"/>
      <c r="E123" s="8"/>
      <c r="G123" s="8"/>
    </row>
    <row r="124" spans="2:7" ht="14.25" customHeight="1" x14ac:dyDescent="0.3">
      <c r="B124" s="8"/>
      <c r="E124" s="8"/>
      <c r="G124" s="8"/>
    </row>
    <row r="125" spans="2:7" ht="14.25" customHeight="1" x14ac:dyDescent="0.3">
      <c r="B125" s="8"/>
      <c r="E125" s="8"/>
      <c r="G125" s="8"/>
    </row>
    <row r="126" spans="2:7" ht="14.25" customHeight="1" x14ac:dyDescent="0.3">
      <c r="B126" s="8"/>
      <c r="E126" s="8"/>
      <c r="G126" s="8"/>
    </row>
    <row r="127" spans="2:7" ht="14.25" customHeight="1" x14ac:dyDescent="0.3">
      <c r="B127" s="8"/>
      <c r="E127" s="8"/>
      <c r="G127" s="8"/>
    </row>
    <row r="128" spans="2:7" ht="14.25" customHeight="1" x14ac:dyDescent="0.3">
      <c r="B128" s="8"/>
      <c r="E128" s="8"/>
      <c r="G128" s="8"/>
    </row>
    <row r="129" spans="2:7" ht="14.25" customHeight="1" x14ac:dyDescent="0.3">
      <c r="B129" s="8"/>
      <c r="E129" s="8"/>
      <c r="G129" s="8"/>
    </row>
    <row r="130" spans="2:7" ht="14.25" customHeight="1" x14ac:dyDescent="0.3">
      <c r="B130" s="8"/>
      <c r="E130" s="8"/>
      <c r="G130" s="8"/>
    </row>
    <row r="131" spans="2:7" ht="14.25" customHeight="1" x14ac:dyDescent="0.3">
      <c r="B131" s="8"/>
      <c r="E131" s="8"/>
      <c r="G131" s="8"/>
    </row>
    <row r="132" spans="2:7" ht="14.25" customHeight="1" x14ac:dyDescent="0.3">
      <c r="B132" s="8"/>
      <c r="E132" s="8"/>
      <c r="G132" s="8"/>
    </row>
    <row r="133" spans="2:7" ht="14.25" customHeight="1" x14ac:dyDescent="0.3">
      <c r="B133" s="8"/>
      <c r="E133" s="8"/>
      <c r="G133" s="8"/>
    </row>
    <row r="134" spans="2:7" ht="14.25" customHeight="1" x14ac:dyDescent="0.3">
      <c r="B134" s="8"/>
      <c r="E134" s="8"/>
      <c r="G134" s="8"/>
    </row>
    <row r="135" spans="2:7" ht="14.25" customHeight="1" x14ac:dyDescent="0.3">
      <c r="B135" s="8"/>
      <c r="E135" s="8"/>
      <c r="G135" s="8"/>
    </row>
    <row r="136" spans="2:7" ht="14.25" customHeight="1" x14ac:dyDescent="0.3">
      <c r="B136" s="8"/>
      <c r="E136" s="8"/>
      <c r="G136" s="8"/>
    </row>
    <row r="137" spans="2:7" ht="14.25" customHeight="1" x14ac:dyDescent="0.3">
      <c r="B137" s="8"/>
      <c r="E137" s="8"/>
      <c r="G137" s="8"/>
    </row>
    <row r="138" spans="2:7" ht="14.25" customHeight="1" x14ac:dyDescent="0.3">
      <c r="B138" s="8"/>
      <c r="E138" s="8"/>
      <c r="G138" s="8"/>
    </row>
    <row r="139" spans="2:7" ht="14.25" customHeight="1" x14ac:dyDescent="0.3">
      <c r="B139" s="8"/>
      <c r="E139" s="8"/>
      <c r="G139" s="8"/>
    </row>
    <row r="140" spans="2:7" ht="14.25" customHeight="1" x14ac:dyDescent="0.3">
      <c r="B140" s="8"/>
      <c r="E140" s="8"/>
      <c r="G140" s="8"/>
    </row>
    <row r="141" spans="2:7" ht="14.25" customHeight="1" x14ac:dyDescent="0.3">
      <c r="B141" s="8"/>
      <c r="E141" s="8"/>
      <c r="G141" s="8"/>
    </row>
    <row r="142" spans="2:7" ht="14.25" customHeight="1" x14ac:dyDescent="0.3">
      <c r="B142" s="8"/>
      <c r="E142" s="8"/>
      <c r="G142" s="8"/>
    </row>
    <row r="143" spans="2:7" ht="14.25" customHeight="1" x14ac:dyDescent="0.3">
      <c r="B143" s="8"/>
      <c r="E143" s="8"/>
      <c r="G143" s="8"/>
    </row>
    <row r="144" spans="2:7" ht="14.25" customHeight="1" x14ac:dyDescent="0.3">
      <c r="B144" s="8"/>
      <c r="E144" s="8"/>
      <c r="G144" s="8"/>
    </row>
    <row r="145" spans="2:7" ht="14.25" customHeight="1" x14ac:dyDescent="0.3">
      <c r="B145" s="8"/>
      <c r="E145" s="8"/>
      <c r="G145" s="8"/>
    </row>
    <row r="146" spans="2:7" ht="14.25" customHeight="1" x14ac:dyDescent="0.3">
      <c r="B146" s="8"/>
      <c r="E146" s="8"/>
      <c r="G146" s="8"/>
    </row>
    <row r="147" spans="2:7" ht="14.25" customHeight="1" x14ac:dyDescent="0.3">
      <c r="B147" s="8"/>
      <c r="E147" s="8"/>
      <c r="G147" s="8"/>
    </row>
    <row r="148" spans="2:7" ht="14.25" customHeight="1" x14ac:dyDescent="0.3">
      <c r="B148" s="8"/>
      <c r="E148" s="8"/>
      <c r="G148" s="8"/>
    </row>
    <row r="149" spans="2:7" ht="14.25" customHeight="1" x14ac:dyDescent="0.3">
      <c r="B149" s="8"/>
      <c r="E149" s="8"/>
      <c r="G149" s="8"/>
    </row>
    <row r="150" spans="2:7" ht="14.25" customHeight="1" x14ac:dyDescent="0.3">
      <c r="B150" s="8"/>
      <c r="E150" s="8"/>
      <c r="G150" s="8"/>
    </row>
    <row r="151" spans="2:7" ht="14.25" customHeight="1" x14ac:dyDescent="0.3">
      <c r="B151" s="8"/>
      <c r="E151" s="8"/>
      <c r="G151" s="8"/>
    </row>
    <row r="152" spans="2:7" ht="14.25" customHeight="1" x14ac:dyDescent="0.3">
      <c r="B152" s="8"/>
      <c r="E152" s="8"/>
      <c r="G152" s="8"/>
    </row>
    <row r="153" spans="2:7" ht="14.25" customHeight="1" x14ac:dyDescent="0.3">
      <c r="B153" s="8"/>
      <c r="E153" s="8"/>
      <c r="G153" s="8"/>
    </row>
    <row r="154" spans="2:7" ht="14.25" customHeight="1" x14ac:dyDescent="0.3">
      <c r="B154" s="8"/>
      <c r="E154" s="8"/>
      <c r="G154" s="8"/>
    </row>
    <row r="155" spans="2:7" ht="14.25" customHeight="1" x14ac:dyDescent="0.3">
      <c r="B155" s="8"/>
      <c r="E155" s="8"/>
      <c r="G155" s="8"/>
    </row>
    <row r="156" spans="2:7" ht="14.25" customHeight="1" x14ac:dyDescent="0.3">
      <c r="B156" s="8"/>
      <c r="E156" s="8"/>
      <c r="G156" s="8"/>
    </row>
    <row r="157" spans="2:7" ht="14.25" customHeight="1" x14ac:dyDescent="0.3">
      <c r="B157" s="8"/>
      <c r="E157" s="8"/>
      <c r="G157" s="8"/>
    </row>
    <row r="158" spans="2:7" ht="14.25" customHeight="1" x14ac:dyDescent="0.3">
      <c r="B158" s="8"/>
      <c r="E158" s="8"/>
      <c r="G158" s="8"/>
    </row>
    <row r="159" spans="2:7" ht="14.25" customHeight="1" x14ac:dyDescent="0.3">
      <c r="B159" s="8"/>
      <c r="E159" s="8"/>
      <c r="G159" s="8"/>
    </row>
    <row r="160" spans="2:7" ht="14.25" customHeight="1" x14ac:dyDescent="0.3">
      <c r="B160" s="8"/>
      <c r="E160" s="8"/>
      <c r="G160" s="8"/>
    </row>
    <row r="161" spans="2:7" ht="14.25" customHeight="1" x14ac:dyDescent="0.3">
      <c r="B161" s="8"/>
      <c r="E161" s="8"/>
      <c r="G161" s="8"/>
    </row>
    <row r="162" spans="2:7" ht="14.25" customHeight="1" x14ac:dyDescent="0.3">
      <c r="B162" s="8"/>
      <c r="E162" s="8"/>
      <c r="G162" s="8"/>
    </row>
    <row r="163" spans="2:7" ht="14.25" customHeight="1" x14ac:dyDescent="0.3">
      <c r="B163" s="8"/>
      <c r="E163" s="8"/>
      <c r="G163" s="8"/>
    </row>
    <row r="164" spans="2:7" ht="14.25" customHeight="1" x14ac:dyDescent="0.3">
      <c r="B164" s="8"/>
      <c r="E164" s="8"/>
      <c r="G164" s="8"/>
    </row>
    <row r="165" spans="2:7" ht="14.25" customHeight="1" x14ac:dyDescent="0.3">
      <c r="B165" s="8"/>
      <c r="E165" s="8"/>
      <c r="G165" s="8"/>
    </row>
    <row r="166" spans="2:7" ht="14.25" customHeight="1" x14ac:dyDescent="0.3">
      <c r="B166" s="8"/>
      <c r="E166" s="8"/>
      <c r="G166" s="8"/>
    </row>
    <row r="167" spans="2:7" ht="14.25" customHeight="1" x14ac:dyDescent="0.3">
      <c r="B167" s="8"/>
      <c r="E167" s="8"/>
      <c r="G167" s="8"/>
    </row>
    <row r="168" spans="2:7" ht="14.25" customHeight="1" x14ac:dyDescent="0.3">
      <c r="B168" s="8"/>
      <c r="E168" s="8"/>
      <c r="G168" s="8"/>
    </row>
    <row r="169" spans="2:7" ht="14.25" customHeight="1" x14ac:dyDescent="0.3">
      <c r="B169" s="8"/>
      <c r="E169" s="8"/>
      <c r="G169" s="8"/>
    </row>
    <row r="170" spans="2:7" ht="14.25" customHeight="1" x14ac:dyDescent="0.3">
      <c r="B170" s="8"/>
      <c r="E170" s="8"/>
      <c r="G170" s="8"/>
    </row>
    <row r="171" spans="2:7" ht="14.25" customHeight="1" x14ac:dyDescent="0.3">
      <c r="B171" s="8"/>
      <c r="E171" s="8"/>
      <c r="G171" s="8"/>
    </row>
    <row r="172" spans="2:7" ht="14.25" customHeight="1" x14ac:dyDescent="0.3">
      <c r="B172" s="8"/>
      <c r="E172" s="8"/>
      <c r="G172" s="8"/>
    </row>
    <row r="173" spans="2:7" ht="14.25" customHeight="1" x14ac:dyDescent="0.3">
      <c r="B173" s="8"/>
      <c r="E173" s="8"/>
      <c r="G173" s="8"/>
    </row>
    <row r="174" spans="2:7" ht="14.25" customHeight="1" x14ac:dyDescent="0.3">
      <c r="B174" s="8"/>
      <c r="E174" s="8"/>
      <c r="G174" s="8"/>
    </row>
    <row r="175" spans="2:7" ht="14.25" customHeight="1" x14ac:dyDescent="0.3">
      <c r="B175" s="8"/>
      <c r="E175" s="8"/>
      <c r="G175" s="8"/>
    </row>
    <row r="176" spans="2:7" ht="14.25" customHeight="1" x14ac:dyDescent="0.3">
      <c r="B176" s="8"/>
      <c r="E176" s="8"/>
      <c r="G176" s="8"/>
    </row>
    <row r="177" spans="2:7" ht="14.25" customHeight="1" x14ac:dyDescent="0.3">
      <c r="B177" s="8"/>
      <c r="E177" s="8"/>
      <c r="G177" s="8"/>
    </row>
    <row r="178" spans="2:7" ht="14.25" customHeight="1" x14ac:dyDescent="0.3">
      <c r="B178" s="8"/>
      <c r="E178" s="8"/>
      <c r="G178" s="8"/>
    </row>
    <row r="179" spans="2:7" ht="14.25" customHeight="1" x14ac:dyDescent="0.3">
      <c r="B179" s="8"/>
      <c r="E179" s="8"/>
      <c r="G179" s="8"/>
    </row>
    <row r="180" spans="2:7" ht="14.25" customHeight="1" x14ac:dyDescent="0.3">
      <c r="B180" s="8"/>
      <c r="E180" s="8"/>
      <c r="G180" s="8"/>
    </row>
    <row r="181" spans="2:7" ht="14.25" customHeight="1" x14ac:dyDescent="0.3">
      <c r="B181" s="8"/>
      <c r="E181" s="8"/>
      <c r="G181" s="8"/>
    </row>
    <row r="182" spans="2:7" ht="14.25" customHeight="1" x14ac:dyDescent="0.3">
      <c r="B182" s="8"/>
      <c r="E182" s="8"/>
      <c r="G182" s="8"/>
    </row>
    <row r="183" spans="2:7" ht="14.25" customHeight="1" x14ac:dyDescent="0.3">
      <c r="B183" s="8"/>
      <c r="E183" s="8"/>
      <c r="G183" s="8"/>
    </row>
    <row r="184" spans="2:7" ht="14.25" customHeight="1" x14ac:dyDescent="0.3">
      <c r="B184" s="8"/>
      <c r="E184" s="8"/>
      <c r="G184" s="8"/>
    </row>
    <row r="185" spans="2:7" ht="14.25" customHeight="1" x14ac:dyDescent="0.3">
      <c r="B185" s="8"/>
      <c r="E185" s="8"/>
      <c r="G185" s="8"/>
    </row>
    <row r="186" spans="2:7" ht="14.25" customHeight="1" x14ac:dyDescent="0.3">
      <c r="B186" s="8"/>
      <c r="E186" s="8"/>
      <c r="G186" s="8"/>
    </row>
    <row r="187" spans="2:7" ht="14.25" customHeight="1" x14ac:dyDescent="0.3">
      <c r="B187" s="8"/>
      <c r="E187" s="8"/>
      <c r="G187" s="8"/>
    </row>
    <row r="188" spans="2:7" ht="14.25" customHeight="1" x14ac:dyDescent="0.3">
      <c r="B188" s="8"/>
      <c r="E188" s="8"/>
      <c r="G188" s="8"/>
    </row>
    <row r="189" spans="2:7" ht="14.25" customHeight="1" x14ac:dyDescent="0.3">
      <c r="B189" s="8"/>
      <c r="E189" s="8"/>
      <c r="G189" s="8"/>
    </row>
    <row r="190" spans="2:7" ht="14.25" customHeight="1" x14ac:dyDescent="0.3">
      <c r="B190" s="8"/>
      <c r="E190" s="8"/>
      <c r="G190" s="8"/>
    </row>
    <row r="191" spans="2:7" ht="14.25" customHeight="1" x14ac:dyDescent="0.3">
      <c r="B191" s="8"/>
      <c r="E191" s="8"/>
      <c r="G191" s="8"/>
    </row>
    <row r="192" spans="2:7" ht="14.25" customHeight="1" x14ac:dyDescent="0.3">
      <c r="B192" s="8"/>
      <c r="E192" s="8"/>
      <c r="G192" s="8"/>
    </row>
    <row r="193" spans="2:7" ht="14.25" customHeight="1" x14ac:dyDescent="0.3">
      <c r="B193" s="8"/>
      <c r="E193" s="8"/>
      <c r="G193" s="8"/>
    </row>
    <row r="194" spans="2:7" ht="14.25" customHeight="1" x14ac:dyDescent="0.3">
      <c r="B194" s="8"/>
      <c r="E194" s="8"/>
      <c r="G194" s="8"/>
    </row>
    <row r="195" spans="2:7" ht="14.25" customHeight="1" x14ac:dyDescent="0.3">
      <c r="B195" s="8"/>
      <c r="E195" s="8"/>
      <c r="G195" s="8"/>
    </row>
    <row r="196" spans="2:7" ht="14.25" customHeight="1" x14ac:dyDescent="0.3">
      <c r="B196" s="8"/>
      <c r="E196" s="8"/>
      <c r="G196" s="8"/>
    </row>
    <row r="197" spans="2:7" ht="14.25" customHeight="1" x14ac:dyDescent="0.3">
      <c r="B197" s="8"/>
      <c r="E197" s="8"/>
      <c r="G197" s="8"/>
    </row>
    <row r="198" spans="2:7" ht="14.25" customHeight="1" x14ac:dyDescent="0.3">
      <c r="B198" s="8"/>
      <c r="E198" s="8"/>
      <c r="G198" s="8"/>
    </row>
    <row r="199" spans="2:7" ht="14.25" customHeight="1" x14ac:dyDescent="0.3">
      <c r="B199" s="8"/>
      <c r="E199" s="8"/>
      <c r="G199" s="8"/>
    </row>
    <row r="200" spans="2:7" ht="14.25" customHeight="1" x14ac:dyDescent="0.3">
      <c r="B200" s="8"/>
      <c r="E200" s="8"/>
      <c r="G200" s="8"/>
    </row>
    <row r="201" spans="2:7" ht="14.25" customHeight="1" x14ac:dyDescent="0.3">
      <c r="B201" s="8"/>
      <c r="E201" s="8"/>
      <c r="G201" s="8"/>
    </row>
    <row r="202" spans="2:7" ht="14.25" customHeight="1" x14ac:dyDescent="0.3">
      <c r="B202" s="8"/>
      <c r="E202" s="8"/>
      <c r="G202" s="8"/>
    </row>
    <row r="203" spans="2:7" ht="14.25" customHeight="1" x14ac:dyDescent="0.3">
      <c r="B203" s="8"/>
      <c r="E203" s="8"/>
      <c r="G203" s="8"/>
    </row>
    <row r="204" spans="2:7" ht="14.25" customHeight="1" x14ac:dyDescent="0.3">
      <c r="B204" s="8"/>
      <c r="E204" s="8"/>
      <c r="G204" s="8"/>
    </row>
    <row r="205" spans="2:7" ht="14.25" customHeight="1" x14ac:dyDescent="0.3">
      <c r="B205" s="8"/>
      <c r="E205" s="8"/>
      <c r="G205" s="8"/>
    </row>
    <row r="206" spans="2:7" ht="14.25" customHeight="1" x14ac:dyDescent="0.3">
      <c r="B206" s="8"/>
      <c r="E206" s="8"/>
      <c r="G206" s="8"/>
    </row>
    <row r="207" spans="2:7" ht="14.25" customHeight="1" x14ac:dyDescent="0.3">
      <c r="B207" s="8"/>
      <c r="E207" s="8"/>
      <c r="G207" s="8"/>
    </row>
    <row r="208" spans="2:7" ht="14.25" customHeight="1" x14ac:dyDescent="0.3">
      <c r="B208" s="8"/>
      <c r="E208" s="8"/>
      <c r="G208" s="8"/>
    </row>
    <row r="209" spans="2:7" ht="14.25" customHeight="1" x14ac:dyDescent="0.3">
      <c r="B209" s="8"/>
      <c r="E209" s="8"/>
      <c r="G209" s="8"/>
    </row>
    <row r="210" spans="2:7" ht="14.25" customHeight="1" x14ac:dyDescent="0.3">
      <c r="B210" s="8"/>
      <c r="E210" s="8"/>
      <c r="G210" s="8"/>
    </row>
    <row r="211" spans="2:7" ht="14.25" customHeight="1" x14ac:dyDescent="0.3">
      <c r="B211" s="8"/>
      <c r="E211" s="8"/>
      <c r="G211" s="8"/>
    </row>
    <row r="212" spans="2:7" ht="14.25" customHeight="1" x14ac:dyDescent="0.3">
      <c r="B212" s="8"/>
      <c r="E212" s="8"/>
      <c r="G212" s="8"/>
    </row>
    <row r="213" spans="2:7" ht="14.25" customHeight="1" x14ac:dyDescent="0.3">
      <c r="B213" s="8"/>
      <c r="E213" s="8"/>
      <c r="G213" s="8"/>
    </row>
    <row r="214" spans="2:7" ht="14.25" customHeight="1" x14ac:dyDescent="0.3">
      <c r="B214" s="8"/>
      <c r="E214" s="8"/>
      <c r="G214" s="8"/>
    </row>
    <row r="215" spans="2:7" ht="14.25" customHeight="1" x14ac:dyDescent="0.3">
      <c r="B215" s="8"/>
      <c r="E215" s="8"/>
      <c r="G215" s="8"/>
    </row>
    <row r="216" spans="2:7" ht="14.25" customHeight="1" x14ac:dyDescent="0.3">
      <c r="B216" s="8"/>
      <c r="E216" s="8"/>
      <c r="G216" s="8"/>
    </row>
    <row r="217" spans="2:7" ht="14.25" customHeight="1" x14ac:dyDescent="0.3">
      <c r="B217" s="8"/>
      <c r="E217" s="8"/>
      <c r="G217" s="8"/>
    </row>
    <row r="218" spans="2:7" ht="14.25" customHeight="1" x14ac:dyDescent="0.3">
      <c r="B218" s="8"/>
      <c r="E218" s="8"/>
      <c r="G218" s="8"/>
    </row>
    <row r="219" spans="2:7" ht="14.25" customHeight="1" x14ac:dyDescent="0.3">
      <c r="B219" s="8"/>
      <c r="E219" s="8"/>
      <c r="G219" s="8"/>
    </row>
    <row r="220" spans="2:7" ht="14.25" customHeight="1" x14ac:dyDescent="0.3">
      <c r="B220" s="8"/>
      <c r="E220" s="8"/>
      <c r="G220" s="8"/>
    </row>
    <row r="221" spans="2:7" ht="14.25" customHeight="1" x14ac:dyDescent="0.3">
      <c r="B221" s="8"/>
      <c r="E221" s="8"/>
      <c r="G221" s="8"/>
    </row>
    <row r="222" spans="2:7" ht="14.25" customHeight="1" x14ac:dyDescent="0.3">
      <c r="B222" s="8"/>
      <c r="E222" s="8"/>
      <c r="G222" s="8"/>
    </row>
    <row r="223" spans="2:7" ht="14.25" customHeight="1" x14ac:dyDescent="0.3">
      <c r="B223" s="8"/>
      <c r="E223" s="8"/>
      <c r="G223" s="8"/>
    </row>
    <row r="224" spans="2:7" ht="14.25" customHeight="1" x14ac:dyDescent="0.3">
      <c r="B224" s="8"/>
      <c r="E224" s="8"/>
      <c r="G224" s="8"/>
    </row>
    <row r="225" spans="2:7" ht="14.25" customHeight="1" x14ac:dyDescent="0.3">
      <c r="B225" s="8"/>
      <c r="E225" s="8"/>
      <c r="G225" s="8"/>
    </row>
    <row r="226" spans="2:7" ht="14.25" customHeight="1" x14ac:dyDescent="0.3">
      <c r="B226" s="8"/>
      <c r="E226" s="8"/>
      <c r="G226" s="8"/>
    </row>
    <row r="227" spans="2:7" ht="14.25" customHeight="1" x14ac:dyDescent="0.3">
      <c r="B227" s="8"/>
      <c r="E227" s="8"/>
      <c r="G227" s="8"/>
    </row>
    <row r="228" spans="2:7" ht="14.25" customHeight="1" x14ac:dyDescent="0.3">
      <c r="B228" s="8"/>
      <c r="E228" s="8"/>
      <c r="G228" s="8"/>
    </row>
    <row r="229" spans="2:7" ht="14.25" customHeight="1" x14ac:dyDescent="0.3">
      <c r="B229" s="8"/>
      <c r="E229" s="8"/>
      <c r="G229" s="8"/>
    </row>
    <row r="230" spans="2:7" ht="14.25" customHeight="1" x14ac:dyDescent="0.3">
      <c r="B230" s="8"/>
      <c r="E230" s="8"/>
      <c r="G230" s="8"/>
    </row>
    <row r="231" spans="2:7" ht="14.25" customHeight="1" x14ac:dyDescent="0.3">
      <c r="B231" s="8"/>
      <c r="E231" s="8"/>
      <c r="G231" s="8"/>
    </row>
    <row r="232" spans="2:7" ht="14.25" customHeight="1" x14ac:dyDescent="0.3">
      <c r="B232" s="8"/>
      <c r="E232" s="8"/>
      <c r="G232" s="8"/>
    </row>
    <row r="233" spans="2:7" ht="14.25" customHeight="1" x14ac:dyDescent="0.3">
      <c r="B233" s="8"/>
      <c r="E233" s="8"/>
      <c r="G233" s="8"/>
    </row>
    <row r="234" spans="2:7" ht="14.25" customHeight="1" x14ac:dyDescent="0.3">
      <c r="B234" s="8"/>
      <c r="E234" s="8"/>
      <c r="G234" s="8"/>
    </row>
    <row r="235" spans="2:7" ht="14.25" customHeight="1" x14ac:dyDescent="0.3">
      <c r="B235" s="8"/>
      <c r="E235" s="8"/>
      <c r="G235" s="8"/>
    </row>
    <row r="236" spans="2:7" ht="14.25" customHeight="1" x14ac:dyDescent="0.3">
      <c r="B236" s="8"/>
      <c r="E236" s="8"/>
      <c r="G236" s="8"/>
    </row>
    <row r="237" spans="2:7" ht="14.25" customHeight="1" x14ac:dyDescent="0.3">
      <c r="B237" s="8"/>
      <c r="E237" s="8"/>
      <c r="G237" s="8"/>
    </row>
    <row r="238" spans="2:7" ht="14.25" customHeight="1" x14ac:dyDescent="0.3">
      <c r="B238" s="8"/>
      <c r="E238" s="8"/>
      <c r="G238" s="8"/>
    </row>
    <row r="239" spans="2:7" ht="14.25" customHeight="1" x14ac:dyDescent="0.3">
      <c r="B239" s="8"/>
      <c r="E239" s="8"/>
      <c r="G239" s="8"/>
    </row>
    <row r="240" spans="2:7" ht="14.25" customHeight="1" x14ac:dyDescent="0.3">
      <c r="B240" s="8"/>
      <c r="E240" s="8"/>
      <c r="G240" s="8"/>
    </row>
    <row r="241" spans="2:7" ht="14.25" customHeight="1" x14ac:dyDescent="0.3">
      <c r="B241" s="8"/>
      <c r="E241" s="8"/>
      <c r="G241" s="8"/>
    </row>
    <row r="242" spans="2:7" ht="14.25" customHeight="1" x14ac:dyDescent="0.3">
      <c r="B242" s="8"/>
      <c r="E242" s="8"/>
      <c r="G242" s="8"/>
    </row>
    <row r="243" spans="2:7" ht="14.25" customHeight="1" x14ac:dyDescent="0.3">
      <c r="B243" s="8"/>
      <c r="E243" s="8"/>
      <c r="G243" s="8"/>
    </row>
    <row r="244" spans="2:7" ht="14.25" customHeight="1" x14ac:dyDescent="0.3">
      <c r="B244" s="8"/>
      <c r="E244" s="8"/>
      <c r="G244" s="8"/>
    </row>
    <row r="245" spans="2:7" ht="14.25" customHeight="1" x14ac:dyDescent="0.3">
      <c r="B245" s="8"/>
      <c r="E245" s="8"/>
      <c r="G245" s="8"/>
    </row>
    <row r="246" spans="2:7" ht="14.25" customHeight="1" x14ac:dyDescent="0.3">
      <c r="B246" s="8"/>
      <c r="E246" s="8"/>
      <c r="G246" s="8"/>
    </row>
    <row r="247" spans="2:7" ht="14.25" customHeight="1" x14ac:dyDescent="0.3">
      <c r="B247" s="8"/>
      <c r="E247" s="8"/>
      <c r="G247" s="8"/>
    </row>
    <row r="248" spans="2:7" ht="14.25" customHeight="1" x14ac:dyDescent="0.3">
      <c r="B248" s="8"/>
      <c r="E248" s="8"/>
      <c r="G248" s="8"/>
    </row>
    <row r="249" spans="2:7" ht="14.25" customHeight="1" x14ac:dyDescent="0.3">
      <c r="B249" s="8"/>
      <c r="E249" s="8"/>
      <c r="G249" s="8"/>
    </row>
    <row r="250" spans="2:7" ht="14.25" customHeight="1" x14ac:dyDescent="0.3">
      <c r="B250" s="8"/>
      <c r="E250" s="8"/>
      <c r="G250" s="8"/>
    </row>
    <row r="251" spans="2:7" ht="14.25" customHeight="1" x14ac:dyDescent="0.3">
      <c r="B251" s="8"/>
      <c r="E251" s="8"/>
      <c r="G251" s="8"/>
    </row>
    <row r="252" spans="2:7" ht="14.25" customHeight="1" x14ac:dyDescent="0.3">
      <c r="B252" s="8"/>
      <c r="E252" s="8"/>
      <c r="G252" s="8"/>
    </row>
    <row r="253" spans="2:7" ht="14.25" customHeight="1" x14ac:dyDescent="0.3">
      <c r="B253" s="8"/>
      <c r="E253" s="8"/>
      <c r="G253" s="8"/>
    </row>
    <row r="254" spans="2:7" ht="14.25" customHeight="1" x14ac:dyDescent="0.3">
      <c r="B254" s="8"/>
      <c r="E254" s="8"/>
      <c r="G254" s="8"/>
    </row>
    <row r="255" spans="2:7" ht="14.25" customHeight="1" x14ac:dyDescent="0.3">
      <c r="B255" s="8"/>
      <c r="E255" s="8"/>
      <c r="G255" s="8"/>
    </row>
    <row r="256" spans="2:7" ht="14.25" customHeight="1" x14ac:dyDescent="0.3">
      <c r="B256" s="8"/>
      <c r="E256" s="8"/>
      <c r="G256" s="8"/>
    </row>
    <row r="257" spans="2:7" ht="14.25" customHeight="1" x14ac:dyDescent="0.3">
      <c r="B257" s="8"/>
      <c r="E257" s="8"/>
      <c r="G257" s="8"/>
    </row>
    <row r="258" spans="2:7" ht="14.25" customHeight="1" x14ac:dyDescent="0.3">
      <c r="B258" s="8"/>
      <c r="E258" s="8"/>
      <c r="G258" s="8"/>
    </row>
    <row r="259" spans="2:7" ht="14.25" customHeight="1" x14ac:dyDescent="0.3">
      <c r="B259" s="8"/>
      <c r="E259" s="8"/>
      <c r="G259" s="8"/>
    </row>
    <row r="260" spans="2:7" ht="14.25" customHeight="1" x14ac:dyDescent="0.3">
      <c r="B260" s="8"/>
      <c r="E260" s="8"/>
      <c r="G260" s="8"/>
    </row>
    <row r="261" spans="2:7" ht="14.25" customHeight="1" x14ac:dyDescent="0.3">
      <c r="B261" s="8"/>
      <c r="E261" s="8"/>
      <c r="G261" s="8"/>
    </row>
    <row r="262" spans="2:7" ht="14.25" customHeight="1" x14ac:dyDescent="0.3">
      <c r="B262" s="8"/>
      <c r="E262" s="8"/>
      <c r="G262" s="8"/>
    </row>
    <row r="263" spans="2:7" ht="14.25" customHeight="1" x14ac:dyDescent="0.3">
      <c r="B263" s="8"/>
      <c r="E263" s="8"/>
      <c r="G263" s="8"/>
    </row>
    <row r="264" spans="2:7" ht="14.25" customHeight="1" x14ac:dyDescent="0.3">
      <c r="B264" s="8"/>
      <c r="E264" s="8"/>
      <c r="G264" s="8"/>
    </row>
    <row r="265" spans="2:7" ht="14.25" customHeight="1" x14ac:dyDescent="0.3">
      <c r="B265" s="8"/>
      <c r="E265" s="8"/>
      <c r="G265" s="8"/>
    </row>
    <row r="266" spans="2:7" ht="14.25" customHeight="1" x14ac:dyDescent="0.3">
      <c r="B266" s="8"/>
      <c r="E266" s="8"/>
      <c r="G266" s="8"/>
    </row>
    <row r="267" spans="2:7" ht="14.25" customHeight="1" x14ac:dyDescent="0.3">
      <c r="B267" s="8"/>
      <c r="E267" s="8"/>
      <c r="G267" s="8"/>
    </row>
    <row r="268" spans="2:7" ht="14.25" customHeight="1" x14ac:dyDescent="0.3">
      <c r="B268" s="8"/>
      <c r="E268" s="8"/>
      <c r="G268" s="8"/>
    </row>
    <row r="269" spans="2:7" ht="14.25" customHeight="1" x14ac:dyDescent="0.3">
      <c r="B269" s="8"/>
      <c r="E269" s="8"/>
      <c r="G269" s="8"/>
    </row>
    <row r="270" spans="2:7" ht="14.25" customHeight="1" x14ac:dyDescent="0.3">
      <c r="B270" s="8"/>
      <c r="E270" s="8"/>
      <c r="G270" s="8"/>
    </row>
    <row r="271" spans="2:7" ht="14.25" customHeight="1" x14ac:dyDescent="0.3">
      <c r="B271" s="8"/>
      <c r="E271" s="8"/>
      <c r="G271" s="8"/>
    </row>
    <row r="272" spans="2:7" ht="14.25" customHeight="1" x14ac:dyDescent="0.3">
      <c r="B272" s="8"/>
      <c r="E272" s="8"/>
      <c r="G272" s="8"/>
    </row>
    <row r="273" spans="2:7" ht="14.25" customHeight="1" x14ac:dyDescent="0.3">
      <c r="B273" s="8"/>
      <c r="E273" s="8"/>
      <c r="G273" s="8"/>
    </row>
    <row r="274" spans="2:7" ht="14.25" customHeight="1" x14ac:dyDescent="0.3">
      <c r="B274" s="8"/>
      <c r="E274" s="8"/>
      <c r="G274" s="8"/>
    </row>
    <row r="275" spans="2:7" ht="14.25" customHeight="1" x14ac:dyDescent="0.3">
      <c r="B275" s="8"/>
      <c r="E275" s="8"/>
      <c r="G275" s="8"/>
    </row>
    <row r="276" spans="2:7" ht="14.25" customHeight="1" x14ac:dyDescent="0.3">
      <c r="B276" s="8"/>
      <c r="E276" s="8"/>
      <c r="G276" s="8"/>
    </row>
    <row r="277" spans="2:7" ht="14.25" customHeight="1" x14ac:dyDescent="0.3">
      <c r="B277" s="8"/>
      <c r="E277" s="8"/>
      <c r="G277" s="8"/>
    </row>
    <row r="278" spans="2:7" ht="14.25" customHeight="1" x14ac:dyDescent="0.3">
      <c r="B278" s="8"/>
      <c r="E278" s="8"/>
      <c r="G278" s="8"/>
    </row>
    <row r="279" spans="2:7" ht="14.25" customHeight="1" x14ac:dyDescent="0.3">
      <c r="B279" s="8"/>
      <c r="E279" s="8"/>
      <c r="G279" s="8"/>
    </row>
    <row r="280" spans="2:7" ht="14.25" customHeight="1" x14ac:dyDescent="0.3">
      <c r="B280" s="8"/>
      <c r="E280" s="8"/>
      <c r="G280" s="8"/>
    </row>
    <row r="281" spans="2:7" ht="14.25" customHeight="1" x14ac:dyDescent="0.3">
      <c r="B281" s="8"/>
      <c r="E281" s="8"/>
      <c r="G281" s="8"/>
    </row>
    <row r="282" spans="2:7" ht="14.25" customHeight="1" x14ac:dyDescent="0.3">
      <c r="B282" s="8"/>
      <c r="E282" s="8"/>
      <c r="G282" s="8"/>
    </row>
    <row r="283" spans="2:7" ht="14.25" customHeight="1" x14ac:dyDescent="0.3">
      <c r="B283" s="8"/>
      <c r="E283" s="8"/>
      <c r="G283" s="8"/>
    </row>
    <row r="284" spans="2:7" ht="14.25" customHeight="1" x14ac:dyDescent="0.3">
      <c r="B284" s="8"/>
      <c r="E284" s="8"/>
      <c r="G284" s="8"/>
    </row>
    <row r="285" spans="2:7" ht="14.25" customHeight="1" x14ac:dyDescent="0.3">
      <c r="B285" s="8"/>
      <c r="E285" s="8"/>
      <c r="G285" s="8"/>
    </row>
    <row r="286" spans="2:7" ht="14.25" customHeight="1" x14ac:dyDescent="0.3">
      <c r="B286" s="8"/>
      <c r="E286" s="8"/>
      <c r="G286" s="8"/>
    </row>
    <row r="287" spans="2:7" ht="14.25" customHeight="1" x14ac:dyDescent="0.3">
      <c r="B287" s="8"/>
      <c r="E287" s="8"/>
      <c r="G287" s="8"/>
    </row>
    <row r="288" spans="2:7" ht="14.25" customHeight="1" x14ac:dyDescent="0.3">
      <c r="B288" s="8"/>
      <c r="E288" s="8"/>
      <c r="G288" s="8"/>
    </row>
    <row r="289" spans="2:7" ht="14.25" customHeight="1" x14ac:dyDescent="0.3">
      <c r="B289" s="8"/>
      <c r="E289" s="8"/>
      <c r="G289" s="8"/>
    </row>
    <row r="290" spans="2:7" ht="14.25" customHeight="1" x14ac:dyDescent="0.3">
      <c r="B290" s="8"/>
      <c r="E290" s="8"/>
      <c r="G290" s="8"/>
    </row>
    <row r="291" spans="2:7" ht="14.25" customHeight="1" x14ac:dyDescent="0.3">
      <c r="B291" s="8"/>
      <c r="E291" s="8"/>
      <c r="G291" s="8"/>
    </row>
    <row r="292" spans="2:7" ht="14.25" customHeight="1" x14ac:dyDescent="0.3">
      <c r="B292" s="8"/>
      <c r="E292" s="8"/>
      <c r="G292" s="8"/>
    </row>
    <row r="293" spans="2:7" ht="14.25" customHeight="1" x14ac:dyDescent="0.3">
      <c r="B293" s="8"/>
      <c r="E293" s="8"/>
      <c r="G293" s="8"/>
    </row>
    <row r="294" spans="2:7" ht="14.25" customHeight="1" x14ac:dyDescent="0.3">
      <c r="B294" s="8"/>
      <c r="E294" s="8"/>
      <c r="G294" s="8"/>
    </row>
    <row r="295" spans="2:7" ht="14.25" customHeight="1" x14ac:dyDescent="0.3">
      <c r="B295" s="8"/>
      <c r="E295" s="8"/>
      <c r="G295" s="8"/>
    </row>
    <row r="296" spans="2:7" ht="14.25" customHeight="1" x14ac:dyDescent="0.3">
      <c r="B296" s="8"/>
      <c r="E296" s="8"/>
      <c r="G296" s="8"/>
    </row>
    <row r="297" spans="2:7" ht="14.25" customHeight="1" x14ac:dyDescent="0.3">
      <c r="B297" s="8"/>
      <c r="E297" s="8"/>
      <c r="G297" s="8"/>
    </row>
    <row r="298" spans="2:7" ht="14.25" customHeight="1" x14ac:dyDescent="0.3">
      <c r="B298" s="8"/>
      <c r="E298" s="8"/>
      <c r="G298" s="8"/>
    </row>
    <row r="299" spans="2:7" ht="14.25" customHeight="1" x14ac:dyDescent="0.3">
      <c r="B299" s="8"/>
      <c r="E299" s="8"/>
      <c r="G299" s="8"/>
    </row>
    <row r="300" spans="2:7" ht="14.25" customHeight="1" x14ac:dyDescent="0.3">
      <c r="B300" s="8"/>
      <c r="E300" s="8"/>
      <c r="G300" s="8"/>
    </row>
    <row r="301" spans="2:7" ht="14.25" customHeight="1" x14ac:dyDescent="0.3">
      <c r="B301" s="8"/>
      <c r="E301" s="8"/>
      <c r="G301" s="8"/>
    </row>
    <row r="302" spans="2:7" ht="14.25" customHeight="1" x14ac:dyDescent="0.3">
      <c r="B302" s="8"/>
      <c r="E302" s="8"/>
      <c r="G302" s="8"/>
    </row>
    <row r="303" spans="2:7" ht="14.25" customHeight="1" x14ac:dyDescent="0.3">
      <c r="B303" s="8"/>
      <c r="E303" s="8"/>
      <c r="G303" s="8"/>
    </row>
    <row r="304" spans="2:7" ht="14.25" customHeight="1" x14ac:dyDescent="0.3">
      <c r="B304" s="8"/>
      <c r="E304" s="8"/>
      <c r="G304" s="8"/>
    </row>
    <row r="305" spans="2:7" ht="14.25" customHeight="1" x14ac:dyDescent="0.3">
      <c r="B305" s="8"/>
      <c r="E305" s="8"/>
      <c r="G305" s="8"/>
    </row>
    <row r="306" spans="2:7" ht="14.25" customHeight="1" x14ac:dyDescent="0.3">
      <c r="B306" s="8"/>
      <c r="E306" s="8"/>
      <c r="G306" s="8"/>
    </row>
    <row r="307" spans="2:7" ht="14.25" customHeight="1" x14ac:dyDescent="0.3">
      <c r="B307" s="8"/>
      <c r="E307" s="8"/>
      <c r="G307" s="8"/>
    </row>
    <row r="308" spans="2:7" ht="14.25" customHeight="1" x14ac:dyDescent="0.3">
      <c r="B308" s="8"/>
      <c r="E308" s="8"/>
      <c r="G308" s="8"/>
    </row>
    <row r="309" spans="2:7" ht="14.25" customHeight="1" x14ac:dyDescent="0.3">
      <c r="B309" s="8"/>
      <c r="E309" s="8"/>
      <c r="G309" s="8"/>
    </row>
    <row r="310" spans="2:7" ht="14.25" customHeight="1" x14ac:dyDescent="0.3">
      <c r="B310" s="8"/>
      <c r="E310" s="8"/>
      <c r="G310" s="8"/>
    </row>
    <row r="311" spans="2:7" ht="14.25" customHeight="1" x14ac:dyDescent="0.3">
      <c r="B311" s="8"/>
      <c r="E311" s="8"/>
      <c r="G311" s="8"/>
    </row>
    <row r="312" spans="2:7" ht="14.25" customHeight="1" x14ac:dyDescent="0.3">
      <c r="B312" s="8"/>
      <c r="E312" s="8"/>
      <c r="G312" s="8"/>
    </row>
    <row r="313" spans="2:7" ht="14.25" customHeight="1" x14ac:dyDescent="0.3">
      <c r="B313" s="8"/>
      <c r="E313" s="8"/>
      <c r="G313" s="8"/>
    </row>
    <row r="314" spans="2:7" ht="14.25" customHeight="1" x14ac:dyDescent="0.3">
      <c r="B314" s="8"/>
      <c r="E314" s="8"/>
      <c r="G314" s="8"/>
    </row>
    <row r="315" spans="2:7" ht="14.25" customHeight="1" x14ac:dyDescent="0.3">
      <c r="B315" s="8"/>
      <c r="E315" s="8"/>
      <c r="G315" s="8"/>
    </row>
    <row r="316" spans="2:7" ht="14.25" customHeight="1" x14ac:dyDescent="0.3">
      <c r="B316" s="8"/>
      <c r="E316" s="8"/>
      <c r="G316" s="8"/>
    </row>
    <row r="317" spans="2:7" ht="14.25" customHeight="1" x14ac:dyDescent="0.3">
      <c r="B317" s="8"/>
      <c r="E317" s="8"/>
      <c r="G317" s="8"/>
    </row>
    <row r="318" spans="2:7" ht="14.25" customHeight="1" x14ac:dyDescent="0.3">
      <c r="B318" s="8"/>
      <c r="E318" s="8"/>
      <c r="G318" s="8"/>
    </row>
    <row r="319" spans="2:7" ht="14.25" customHeight="1" x14ac:dyDescent="0.3">
      <c r="B319" s="8"/>
      <c r="E319" s="8"/>
      <c r="G319" s="8"/>
    </row>
    <row r="320" spans="2:7" ht="14.25" customHeight="1" x14ac:dyDescent="0.3">
      <c r="B320" s="8"/>
      <c r="E320" s="8"/>
      <c r="G320" s="8"/>
    </row>
    <row r="321" spans="2:7" ht="14.25" customHeight="1" x14ac:dyDescent="0.3">
      <c r="B321" s="8"/>
      <c r="E321" s="8"/>
      <c r="G321" s="8"/>
    </row>
    <row r="322" spans="2:7" ht="14.25" customHeight="1" x14ac:dyDescent="0.3">
      <c r="B322" s="8"/>
      <c r="E322" s="8"/>
      <c r="G322" s="8"/>
    </row>
    <row r="323" spans="2:7" ht="14.25" customHeight="1" x14ac:dyDescent="0.3">
      <c r="B323" s="8"/>
      <c r="E323" s="8"/>
      <c r="G323" s="8"/>
    </row>
    <row r="324" spans="2:7" ht="14.25" customHeight="1" x14ac:dyDescent="0.3">
      <c r="B324" s="8"/>
      <c r="E324" s="8"/>
      <c r="G324" s="8"/>
    </row>
    <row r="325" spans="2:7" ht="14.25" customHeight="1" x14ac:dyDescent="0.3">
      <c r="B325" s="8"/>
      <c r="E325" s="8"/>
      <c r="G325" s="8"/>
    </row>
    <row r="326" spans="2:7" ht="14.25" customHeight="1" x14ac:dyDescent="0.3">
      <c r="B326" s="8"/>
      <c r="E326" s="8"/>
      <c r="G326" s="8"/>
    </row>
    <row r="327" spans="2:7" ht="14.25" customHeight="1" x14ac:dyDescent="0.3">
      <c r="B327" s="8"/>
      <c r="E327" s="8"/>
      <c r="G327" s="8"/>
    </row>
    <row r="328" spans="2:7" ht="14.25" customHeight="1" x14ac:dyDescent="0.3">
      <c r="B328" s="8"/>
      <c r="E328" s="8"/>
      <c r="G328" s="8"/>
    </row>
    <row r="329" spans="2:7" ht="14.25" customHeight="1" x14ac:dyDescent="0.3">
      <c r="B329" s="8"/>
      <c r="E329" s="8"/>
      <c r="G329" s="8"/>
    </row>
    <row r="330" spans="2:7" ht="14.25" customHeight="1" x14ac:dyDescent="0.3">
      <c r="B330" s="8"/>
      <c r="E330" s="8"/>
      <c r="G330" s="8"/>
    </row>
    <row r="331" spans="2:7" ht="14.25" customHeight="1" x14ac:dyDescent="0.3">
      <c r="B331" s="8"/>
      <c r="E331" s="8"/>
      <c r="G331" s="8"/>
    </row>
    <row r="332" spans="2:7" ht="14.25" customHeight="1" x14ac:dyDescent="0.3">
      <c r="B332" s="8"/>
      <c r="E332" s="8"/>
      <c r="G332" s="8"/>
    </row>
    <row r="333" spans="2:7" ht="14.25" customHeight="1" x14ac:dyDescent="0.3">
      <c r="B333" s="8"/>
      <c r="E333" s="8"/>
      <c r="G333" s="8"/>
    </row>
    <row r="334" spans="2:7" ht="14.25" customHeight="1" x14ac:dyDescent="0.3">
      <c r="B334" s="8"/>
      <c r="E334" s="8"/>
      <c r="G334" s="8"/>
    </row>
    <row r="335" spans="2:7" ht="14.25" customHeight="1" x14ac:dyDescent="0.3">
      <c r="B335" s="8"/>
      <c r="E335" s="8"/>
      <c r="G335" s="8"/>
    </row>
    <row r="336" spans="2:7" ht="14.25" customHeight="1" x14ac:dyDescent="0.3">
      <c r="B336" s="8"/>
      <c r="E336" s="8"/>
      <c r="G336" s="8"/>
    </row>
    <row r="337" spans="2:7" ht="14.25" customHeight="1" x14ac:dyDescent="0.3">
      <c r="B337" s="8"/>
      <c r="E337" s="8"/>
      <c r="G337" s="8"/>
    </row>
    <row r="338" spans="2:7" ht="14.25" customHeight="1" x14ac:dyDescent="0.3">
      <c r="B338" s="8"/>
      <c r="E338" s="8"/>
      <c r="G338" s="8"/>
    </row>
    <row r="339" spans="2:7" ht="14.25" customHeight="1" x14ac:dyDescent="0.3">
      <c r="B339" s="8"/>
      <c r="E339" s="8"/>
      <c r="G339" s="8"/>
    </row>
    <row r="340" spans="2:7" ht="14.25" customHeight="1" x14ac:dyDescent="0.3">
      <c r="B340" s="8"/>
      <c r="E340" s="8"/>
      <c r="G340" s="8"/>
    </row>
    <row r="341" spans="2:7" ht="14.25" customHeight="1" x14ac:dyDescent="0.3">
      <c r="B341" s="8"/>
      <c r="E341" s="8"/>
      <c r="G341" s="8"/>
    </row>
    <row r="342" spans="2:7" ht="14.25" customHeight="1" x14ac:dyDescent="0.3">
      <c r="B342" s="8"/>
      <c r="E342" s="8"/>
      <c r="G342" s="8"/>
    </row>
    <row r="343" spans="2:7" ht="14.25" customHeight="1" x14ac:dyDescent="0.3">
      <c r="B343" s="8"/>
      <c r="E343" s="8"/>
      <c r="G343" s="8"/>
    </row>
    <row r="344" spans="2:7" ht="14.25" customHeight="1" x14ac:dyDescent="0.3">
      <c r="B344" s="8"/>
      <c r="E344" s="8"/>
      <c r="G344" s="8"/>
    </row>
    <row r="345" spans="2:7" ht="14.25" customHeight="1" x14ac:dyDescent="0.3">
      <c r="B345" s="8"/>
      <c r="E345" s="8"/>
      <c r="G345" s="8"/>
    </row>
    <row r="346" spans="2:7" ht="14.25" customHeight="1" x14ac:dyDescent="0.3">
      <c r="B346" s="8"/>
      <c r="E346" s="8"/>
      <c r="G346" s="8"/>
    </row>
    <row r="347" spans="2:7" ht="14.25" customHeight="1" x14ac:dyDescent="0.3">
      <c r="B347" s="8"/>
      <c r="E347" s="8"/>
      <c r="G347" s="8"/>
    </row>
    <row r="348" spans="2:7" ht="14.25" customHeight="1" x14ac:dyDescent="0.3">
      <c r="B348" s="8"/>
      <c r="E348" s="8"/>
      <c r="G348" s="8"/>
    </row>
    <row r="349" spans="2:7" ht="14.25" customHeight="1" x14ac:dyDescent="0.3">
      <c r="B349" s="8"/>
      <c r="E349" s="8"/>
      <c r="G349" s="8"/>
    </row>
    <row r="350" spans="2:7" ht="14.25" customHeight="1" x14ac:dyDescent="0.3">
      <c r="B350" s="8"/>
      <c r="E350" s="8"/>
      <c r="G350" s="8"/>
    </row>
    <row r="351" spans="2:7" ht="14.25" customHeight="1" x14ac:dyDescent="0.3">
      <c r="B351" s="8"/>
      <c r="E351" s="8"/>
      <c r="G351" s="8"/>
    </row>
    <row r="352" spans="2:7" ht="14.25" customHeight="1" x14ac:dyDescent="0.3">
      <c r="B352" s="8"/>
      <c r="E352" s="8"/>
      <c r="G352" s="8"/>
    </row>
    <row r="353" spans="2:7" ht="14.25" customHeight="1" x14ac:dyDescent="0.3">
      <c r="B353" s="8"/>
      <c r="E353" s="8"/>
      <c r="G353" s="8"/>
    </row>
    <row r="354" spans="2:7" ht="14.25" customHeight="1" x14ac:dyDescent="0.3">
      <c r="B354" s="8"/>
      <c r="E354" s="8"/>
      <c r="G354" s="8"/>
    </row>
    <row r="355" spans="2:7" ht="14.25" customHeight="1" x14ac:dyDescent="0.3">
      <c r="B355" s="8"/>
      <c r="E355" s="8"/>
      <c r="G355" s="8"/>
    </row>
    <row r="356" spans="2:7" ht="14.25" customHeight="1" x14ac:dyDescent="0.3">
      <c r="B356" s="8"/>
      <c r="E356" s="8"/>
      <c r="G356" s="8"/>
    </row>
    <row r="357" spans="2:7" ht="14.25" customHeight="1" x14ac:dyDescent="0.3">
      <c r="B357" s="8"/>
      <c r="E357" s="8"/>
      <c r="G357" s="8"/>
    </row>
    <row r="358" spans="2:7" ht="14.25" customHeight="1" x14ac:dyDescent="0.3">
      <c r="B358" s="8"/>
      <c r="E358" s="8"/>
      <c r="G358" s="8"/>
    </row>
    <row r="359" spans="2:7" ht="14.25" customHeight="1" x14ac:dyDescent="0.3">
      <c r="B359" s="8"/>
      <c r="E359" s="8"/>
      <c r="G359" s="8"/>
    </row>
    <row r="360" spans="2:7" ht="14.25" customHeight="1" x14ac:dyDescent="0.3">
      <c r="B360" s="8"/>
      <c r="E360" s="8"/>
      <c r="G360" s="8"/>
    </row>
    <row r="361" spans="2:7" ht="14.25" customHeight="1" x14ac:dyDescent="0.3">
      <c r="B361" s="8"/>
      <c r="E361" s="8"/>
      <c r="G361" s="8"/>
    </row>
    <row r="362" spans="2:7" ht="14.25" customHeight="1" x14ac:dyDescent="0.3">
      <c r="B362" s="8"/>
      <c r="E362" s="8"/>
      <c r="G362" s="8"/>
    </row>
    <row r="363" spans="2:7" ht="14.25" customHeight="1" x14ac:dyDescent="0.3">
      <c r="B363" s="8"/>
      <c r="E363" s="8"/>
      <c r="G363" s="8"/>
    </row>
    <row r="364" spans="2:7" ht="14.25" customHeight="1" x14ac:dyDescent="0.3">
      <c r="B364" s="8"/>
      <c r="E364" s="8"/>
      <c r="G364" s="8"/>
    </row>
    <row r="365" spans="2:7" ht="14.25" customHeight="1" x14ac:dyDescent="0.3">
      <c r="B365" s="8"/>
      <c r="E365" s="8"/>
      <c r="G365" s="8"/>
    </row>
    <row r="366" spans="2:7" ht="14.25" customHeight="1" x14ac:dyDescent="0.3">
      <c r="B366" s="8"/>
      <c r="E366" s="8"/>
      <c r="G366" s="8"/>
    </row>
    <row r="367" spans="2:7" ht="14.25" customHeight="1" x14ac:dyDescent="0.3">
      <c r="B367" s="8"/>
      <c r="E367" s="8"/>
      <c r="G367" s="8"/>
    </row>
    <row r="368" spans="2:7" ht="14.25" customHeight="1" x14ac:dyDescent="0.3">
      <c r="B368" s="8"/>
      <c r="E368" s="8"/>
      <c r="G368" s="8"/>
    </row>
    <row r="369" spans="2:7" ht="14.25" customHeight="1" x14ac:dyDescent="0.3">
      <c r="B369" s="8"/>
      <c r="E369" s="8"/>
      <c r="G369" s="8"/>
    </row>
    <row r="370" spans="2:7" ht="14.25" customHeight="1" x14ac:dyDescent="0.3">
      <c r="B370" s="8"/>
      <c r="E370" s="8"/>
      <c r="G370" s="8"/>
    </row>
    <row r="371" spans="2:7" ht="14.25" customHeight="1" x14ac:dyDescent="0.3">
      <c r="B371" s="8"/>
      <c r="E371" s="8"/>
      <c r="G371" s="8"/>
    </row>
    <row r="372" spans="2:7" ht="14.25" customHeight="1" x14ac:dyDescent="0.3">
      <c r="B372" s="8"/>
      <c r="E372" s="8"/>
      <c r="G372" s="8"/>
    </row>
    <row r="373" spans="2:7" ht="14.25" customHeight="1" x14ac:dyDescent="0.3">
      <c r="B373" s="8"/>
      <c r="E373" s="8"/>
      <c r="G373" s="8"/>
    </row>
    <row r="374" spans="2:7" ht="14.25" customHeight="1" x14ac:dyDescent="0.3">
      <c r="B374" s="8"/>
      <c r="E374" s="8"/>
      <c r="G374" s="8"/>
    </row>
    <row r="375" spans="2:7" ht="14.25" customHeight="1" x14ac:dyDescent="0.3">
      <c r="B375" s="8"/>
      <c r="E375" s="8"/>
      <c r="G375" s="8"/>
    </row>
    <row r="376" spans="2:7" ht="14.25" customHeight="1" x14ac:dyDescent="0.3">
      <c r="B376" s="8"/>
      <c r="E376" s="8"/>
      <c r="G376" s="8"/>
    </row>
    <row r="377" spans="2:7" ht="14.25" customHeight="1" x14ac:dyDescent="0.3">
      <c r="B377" s="8"/>
      <c r="E377" s="8"/>
      <c r="G377" s="8"/>
    </row>
    <row r="378" spans="2:7" ht="14.25" customHeight="1" x14ac:dyDescent="0.3">
      <c r="B378" s="8"/>
      <c r="E378" s="8"/>
      <c r="G378" s="8"/>
    </row>
    <row r="379" spans="2:7" ht="14.25" customHeight="1" x14ac:dyDescent="0.3">
      <c r="B379" s="8"/>
      <c r="E379" s="8"/>
      <c r="G379" s="8"/>
    </row>
    <row r="380" spans="2:7" ht="14.25" customHeight="1" x14ac:dyDescent="0.3">
      <c r="B380" s="8"/>
      <c r="E380" s="8"/>
      <c r="G380" s="8"/>
    </row>
    <row r="381" spans="2:7" ht="14.25" customHeight="1" x14ac:dyDescent="0.3">
      <c r="B381" s="8"/>
      <c r="E381" s="8"/>
      <c r="G381" s="8"/>
    </row>
    <row r="382" spans="2:7" ht="14.25" customHeight="1" x14ac:dyDescent="0.3">
      <c r="B382" s="8"/>
      <c r="E382" s="8"/>
      <c r="G382" s="8"/>
    </row>
    <row r="383" spans="2:7" ht="14.25" customHeight="1" x14ac:dyDescent="0.3">
      <c r="B383" s="8"/>
      <c r="E383" s="8"/>
      <c r="G383" s="8"/>
    </row>
    <row r="384" spans="2:7" ht="14.25" customHeight="1" x14ac:dyDescent="0.3">
      <c r="B384" s="8"/>
      <c r="E384" s="8"/>
      <c r="G384" s="8"/>
    </row>
    <row r="385" spans="2:7" ht="14.25" customHeight="1" x14ac:dyDescent="0.3">
      <c r="B385" s="8"/>
      <c r="E385" s="8"/>
      <c r="G385" s="8"/>
    </row>
    <row r="386" spans="2:7" ht="14.25" customHeight="1" x14ac:dyDescent="0.3">
      <c r="B386" s="8"/>
      <c r="E386" s="8"/>
      <c r="G386" s="8"/>
    </row>
    <row r="387" spans="2:7" ht="14.25" customHeight="1" x14ac:dyDescent="0.3">
      <c r="B387" s="8"/>
      <c r="E387" s="8"/>
      <c r="G387" s="8"/>
    </row>
    <row r="388" spans="2:7" ht="14.25" customHeight="1" x14ac:dyDescent="0.3">
      <c r="B388" s="8"/>
      <c r="E388" s="8"/>
      <c r="G388" s="8"/>
    </row>
    <row r="389" spans="2:7" ht="14.25" customHeight="1" x14ac:dyDescent="0.3">
      <c r="B389" s="8"/>
      <c r="E389" s="8"/>
      <c r="G389" s="8"/>
    </row>
    <row r="390" spans="2:7" ht="14.25" customHeight="1" x14ac:dyDescent="0.3">
      <c r="B390" s="8"/>
      <c r="E390" s="8"/>
      <c r="G390" s="8"/>
    </row>
    <row r="391" spans="2:7" ht="14.25" customHeight="1" x14ac:dyDescent="0.3">
      <c r="B391" s="8"/>
      <c r="E391" s="8"/>
      <c r="G391" s="8"/>
    </row>
    <row r="392" spans="2:7" ht="14.25" customHeight="1" x14ac:dyDescent="0.3">
      <c r="B392" s="8"/>
      <c r="E392" s="8"/>
      <c r="G392" s="8"/>
    </row>
    <row r="393" spans="2:7" ht="14.25" customHeight="1" x14ac:dyDescent="0.3">
      <c r="B393" s="8"/>
      <c r="E393" s="8"/>
      <c r="G393" s="8"/>
    </row>
    <row r="394" spans="2:7" ht="14.25" customHeight="1" x14ac:dyDescent="0.3">
      <c r="B394" s="8"/>
      <c r="E394" s="8"/>
      <c r="G394" s="8"/>
    </row>
    <row r="395" spans="2:7" ht="14.25" customHeight="1" x14ac:dyDescent="0.3">
      <c r="B395" s="8"/>
      <c r="E395" s="8"/>
      <c r="G395" s="8"/>
    </row>
    <row r="396" spans="2:7" ht="14.25" customHeight="1" x14ac:dyDescent="0.3">
      <c r="B396" s="8"/>
      <c r="E396" s="8"/>
      <c r="G396" s="8"/>
    </row>
    <row r="397" spans="2:7" ht="14.25" customHeight="1" x14ac:dyDescent="0.3">
      <c r="B397" s="8"/>
      <c r="E397" s="8"/>
      <c r="G397" s="8"/>
    </row>
    <row r="398" spans="2:7" ht="14.25" customHeight="1" x14ac:dyDescent="0.3">
      <c r="B398" s="8"/>
      <c r="E398" s="8"/>
      <c r="G398" s="8"/>
    </row>
    <row r="399" spans="2:7" ht="14.25" customHeight="1" x14ac:dyDescent="0.3">
      <c r="B399" s="8"/>
      <c r="E399" s="8"/>
      <c r="G399" s="8"/>
    </row>
    <row r="400" spans="2:7" ht="14.25" customHeight="1" x14ac:dyDescent="0.3">
      <c r="B400" s="8"/>
      <c r="E400" s="8"/>
      <c r="G400" s="8"/>
    </row>
    <row r="401" spans="2:7" ht="14.25" customHeight="1" x14ac:dyDescent="0.3">
      <c r="B401" s="8"/>
      <c r="E401" s="8"/>
      <c r="G401" s="8"/>
    </row>
    <row r="402" spans="2:7" ht="14.25" customHeight="1" x14ac:dyDescent="0.3">
      <c r="B402" s="8"/>
      <c r="E402" s="8"/>
      <c r="G402" s="8"/>
    </row>
    <row r="403" spans="2:7" ht="14.25" customHeight="1" x14ac:dyDescent="0.3">
      <c r="B403" s="8"/>
      <c r="E403" s="8"/>
      <c r="G403" s="8"/>
    </row>
    <row r="404" spans="2:7" ht="14.25" customHeight="1" x14ac:dyDescent="0.3">
      <c r="B404" s="8"/>
      <c r="E404" s="8"/>
      <c r="G404" s="8"/>
    </row>
    <row r="405" spans="2:7" ht="14.25" customHeight="1" x14ac:dyDescent="0.3">
      <c r="B405" s="8"/>
      <c r="E405" s="8"/>
      <c r="G405" s="8"/>
    </row>
    <row r="406" spans="2:7" ht="14.25" customHeight="1" x14ac:dyDescent="0.3">
      <c r="B406" s="8"/>
      <c r="E406" s="8"/>
      <c r="G406" s="8"/>
    </row>
    <row r="407" spans="2:7" ht="14.25" customHeight="1" x14ac:dyDescent="0.3">
      <c r="B407" s="8"/>
      <c r="E407" s="8"/>
      <c r="G407" s="8"/>
    </row>
    <row r="408" spans="2:7" ht="14.25" customHeight="1" x14ac:dyDescent="0.3">
      <c r="B408" s="8"/>
      <c r="E408" s="8"/>
      <c r="G408" s="8"/>
    </row>
    <row r="409" spans="2:7" ht="14.25" customHeight="1" x14ac:dyDescent="0.3">
      <c r="B409" s="8"/>
      <c r="E409" s="8"/>
      <c r="G409" s="8"/>
    </row>
    <row r="410" spans="2:7" ht="14.25" customHeight="1" x14ac:dyDescent="0.3">
      <c r="B410" s="8"/>
      <c r="E410" s="8"/>
      <c r="G410" s="8"/>
    </row>
    <row r="411" spans="2:7" ht="14.25" customHeight="1" x14ac:dyDescent="0.3">
      <c r="B411" s="8"/>
      <c r="E411" s="8"/>
      <c r="G411" s="8"/>
    </row>
    <row r="412" spans="2:7" ht="14.25" customHeight="1" x14ac:dyDescent="0.3">
      <c r="B412" s="8"/>
      <c r="E412" s="8"/>
      <c r="G412" s="8"/>
    </row>
    <row r="413" spans="2:7" ht="14.25" customHeight="1" x14ac:dyDescent="0.3">
      <c r="B413" s="8"/>
      <c r="E413" s="8"/>
      <c r="G413" s="8"/>
    </row>
    <row r="414" spans="2:7" ht="14.25" customHeight="1" x14ac:dyDescent="0.3">
      <c r="B414" s="8"/>
      <c r="E414" s="8"/>
      <c r="G414" s="8"/>
    </row>
    <row r="415" spans="2:7" ht="14.25" customHeight="1" x14ac:dyDescent="0.3">
      <c r="B415" s="8"/>
      <c r="E415" s="8"/>
      <c r="G415" s="8"/>
    </row>
    <row r="416" spans="2:7" ht="14.25" customHeight="1" x14ac:dyDescent="0.3">
      <c r="B416" s="8"/>
      <c r="E416" s="8"/>
      <c r="G416" s="8"/>
    </row>
    <row r="417" spans="2:7" ht="14.25" customHeight="1" x14ac:dyDescent="0.3">
      <c r="B417" s="8"/>
      <c r="E417" s="8"/>
      <c r="G417" s="8"/>
    </row>
    <row r="418" spans="2:7" ht="14.25" customHeight="1" x14ac:dyDescent="0.3">
      <c r="B418" s="8"/>
      <c r="E418" s="8"/>
      <c r="G418" s="8"/>
    </row>
    <row r="419" spans="2:7" ht="14.25" customHeight="1" x14ac:dyDescent="0.3">
      <c r="B419" s="8"/>
      <c r="E419" s="8"/>
      <c r="G419" s="8"/>
    </row>
    <row r="420" spans="2:7" ht="14.25" customHeight="1" x14ac:dyDescent="0.3">
      <c r="B420" s="8"/>
      <c r="E420" s="8"/>
      <c r="G420" s="8"/>
    </row>
    <row r="421" spans="2:7" ht="14.25" customHeight="1" x14ac:dyDescent="0.3">
      <c r="B421" s="8"/>
      <c r="E421" s="8"/>
      <c r="G421" s="8"/>
    </row>
    <row r="422" spans="2:7" ht="14.25" customHeight="1" x14ac:dyDescent="0.3">
      <c r="B422" s="8"/>
      <c r="E422" s="8"/>
      <c r="G422" s="8"/>
    </row>
    <row r="423" spans="2:7" ht="14.25" customHeight="1" x14ac:dyDescent="0.3">
      <c r="B423" s="8"/>
      <c r="E423" s="8"/>
      <c r="G423" s="8"/>
    </row>
    <row r="424" spans="2:7" ht="14.25" customHeight="1" x14ac:dyDescent="0.3">
      <c r="B424" s="8"/>
      <c r="E424" s="8"/>
      <c r="G424" s="8"/>
    </row>
    <row r="425" spans="2:7" ht="14.25" customHeight="1" x14ac:dyDescent="0.3">
      <c r="B425" s="8"/>
      <c r="E425" s="8"/>
      <c r="G425" s="8"/>
    </row>
    <row r="426" spans="2:7" ht="14.25" customHeight="1" x14ac:dyDescent="0.3">
      <c r="B426" s="8"/>
      <c r="E426" s="8"/>
      <c r="G426" s="8"/>
    </row>
    <row r="427" spans="2:7" ht="14.25" customHeight="1" x14ac:dyDescent="0.3">
      <c r="B427" s="8"/>
      <c r="E427" s="8"/>
      <c r="G427" s="8"/>
    </row>
    <row r="428" spans="2:7" ht="14.25" customHeight="1" x14ac:dyDescent="0.3">
      <c r="B428" s="8"/>
      <c r="E428" s="8"/>
      <c r="G428" s="8"/>
    </row>
    <row r="429" spans="2:7" ht="14.25" customHeight="1" x14ac:dyDescent="0.3">
      <c r="B429" s="8"/>
      <c r="E429" s="8"/>
      <c r="G429" s="8"/>
    </row>
    <row r="430" spans="2:7" ht="14.25" customHeight="1" x14ac:dyDescent="0.3">
      <c r="B430" s="8"/>
      <c r="E430" s="8"/>
      <c r="G430" s="8"/>
    </row>
    <row r="431" spans="2:7" ht="14.25" customHeight="1" x14ac:dyDescent="0.3">
      <c r="B431" s="8"/>
      <c r="E431" s="8"/>
      <c r="G431" s="8"/>
    </row>
    <row r="432" spans="2:7" ht="14.25" customHeight="1" x14ac:dyDescent="0.3">
      <c r="B432" s="8"/>
      <c r="E432" s="8"/>
      <c r="G432" s="8"/>
    </row>
    <row r="433" spans="2:7" ht="14.25" customHeight="1" x14ac:dyDescent="0.3">
      <c r="B433" s="8"/>
      <c r="E433" s="8"/>
      <c r="G433" s="8"/>
    </row>
    <row r="434" spans="2:7" ht="14.25" customHeight="1" x14ac:dyDescent="0.3">
      <c r="B434" s="8"/>
      <c r="E434" s="8"/>
      <c r="G434" s="8"/>
    </row>
    <row r="435" spans="2:7" ht="14.25" customHeight="1" x14ac:dyDescent="0.3">
      <c r="B435" s="8"/>
      <c r="E435" s="8"/>
      <c r="G435" s="8"/>
    </row>
    <row r="436" spans="2:7" ht="14.25" customHeight="1" x14ac:dyDescent="0.3">
      <c r="B436" s="8"/>
      <c r="E436" s="8"/>
      <c r="G436" s="8"/>
    </row>
    <row r="437" spans="2:7" ht="14.25" customHeight="1" x14ac:dyDescent="0.3">
      <c r="B437" s="8"/>
      <c r="E437" s="8"/>
      <c r="G437" s="8"/>
    </row>
    <row r="438" spans="2:7" ht="14.25" customHeight="1" x14ac:dyDescent="0.3">
      <c r="B438" s="8"/>
      <c r="E438" s="8"/>
      <c r="G438" s="8"/>
    </row>
    <row r="439" spans="2:7" ht="14.25" customHeight="1" x14ac:dyDescent="0.3">
      <c r="B439" s="8"/>
      <c r="E439" s="8"/>
      <c r="G439" s="8"/>
    </row>
    <row r="440" spans="2:7" ht="14.25" customHeight="1" x14ac:dyDescent="0.3">
      <c r="B440" s="8"/>
      <c r="E440" s="8"/>
      <c r="G440" s="8"/>
    </row>
    <row r="441" spans="2:7" ht="14.25" customHeight="1" x14ac:dyDescent="0.3">
      <c r="B441" s="8"/>
      <c r="E441" s="8"/>
      <c r="G441" s="8"/>
    </row>
    <row r="442" spans="2:7" ht="14.25" customHeight="1" x14ac:dyDescent="0.3">
      <c r="B442" s="8"/>
      <c r="E442" s="8"/>
      <c r="G442" s="8"/>
    </row>
    <row r="443" spans="2:7" ht="14.25" customHeight="1" x14ac:dyDescent="0.3">
      <c r="B443" s="8"/>
      <c r="E443" s="8"/>
      <c r="G443" s="8"/>
    </row>
    <row r="444" spans="2:7" ht="14.25" customHeight="1" x14ac:dyDescent="0.3">
      <c r="B444" s="8"/>
      <c r="E444" s="8"/>
      <c r="G444" s="8"/>
    </row>
    <row r="445" spans="2:7" ht="14.25" customHeight="1" x14ac:dyDescent="0.3">
      <c r="B445" s="8"/>
      <c r="E445" s="8"/>
      <c r="G445" s="8"/>
    </row>
    <row r="446" spans="2:7" ht="14.25" customHeight="1" x14ac:dyDescent="0.3">
      <c r="B446" s="8"/>
      <c r="E446" s="8"/>
      <c r="G446" s="8"/>
    </row>
    <row r="447" spans="2:7" ht="14.25" customHeight="1" x14ac:dyDescent="0.3">
      <c r="B447" s="8"/>
      <c r="E447" s="8"/>
      <c r="G447" s="8"/>
    </row>
    <row r="448" spans="2:7" ht="14.25" customHeight="1" x14ac:dyDescent="0.3">
      <c r="B448" s="8"/>
      <c r="E448" s="8"/>
      <c r="G448" s="8"/>
    </row>
    <row r="449" spans="2:7" ht="14.25" customHeight="1" x14ac:dyDescent="0.3">
      <c r="B449" s="8"/>
      <c r="E449" s="8"/>
      <c r="G449" s="8"/>
    </row>
    <row r="450" spans="2:7" ht="14.25" customHeight="1" x14ac:dyDescent="0.3">
      <c r="B450" s="8"/>
      <c r="E450" s="8"/>
      <c r="G450" s="8"/>
    </row>
    <row r="451" spans="2:7" ht="14.25" customHeight="1" x14ac:dyDescent="0.3">
      <c r="B451" s="8"/>
      <c r="E451" s="8"/>
      <c r="G451" s="8"/>
    </row>
    <row r="452" spans="2:7" ht="14.25" customHeight="1" x14ac:dyDescent="0.3">
      <c r="B452" s="8"/>
      <c r="E452" s="8"/>
      <c r="G452" s="8"/>
    </row>
    <row r="453" spans="2:7" ht="14.25" customHeight="1" x14ac:dyDescent="0.3">
      <c r="B453" s="8"/>
      <c r="E453" s="8"/>
      <c r="G453" s="8"/>
    </row>
    <row r="454" spans="2:7" ht="14.25" customHeight="1" x14ac:dyDescent="0.3">
      <c r="B454" s="8"/>
      <c r="E454" s="8"/>
      <c r="G454" s="8"/>
    </row>
    <row r="455" spans="2:7" ht="14.25" customHeight="1" x14ac:dyDescent="0.3">
      <c r="B455" s="8"/>
      <c r="E455" s="8"/>
      <c r="G455" s="8"/>
    </row>
    <row r="456" spans="2:7" ht="14.25" customHeight="1" x14ac:dyDescent="0.3">
      <c r="B456" s="8"/>
      <c r="E456" s="8"/>
      <c r="G456" s="8"/>
    </row>
    <row r="457" spans="2:7" ht="14.25" customHeight="1" x14ac:dyDescent="0.3">
      <c r="B457" s="8"/>
      <c r="E457" s="8"/>
      <c r="G457" s="8"/>
    </row>
    <row r="458" spans="2:7" ht="14.25" customHeight="1" x14ac:dyDescent="0.3">
      <c r="B458" s="8"/>
      <c r="E458" s="8"/>
      <c r="G458" s="8"/>
    </row>
    <row r="459" spans="2:7" ht="14.25" customHeight="1" x14ac:dyDescent="0.3">
      <c r="B459" s="8"/>
      <c r="E459" s="8"/>
      <c r="G459" s="8"/>
    </row>
    <row r="460" spans="2:7" ht="14.25" customHeight="1" x14ac:dyDescent="0.3">
      <c r="B460" s="8"/>
      <c r="E460" s="8"/>
      <c r="G460" s="8"/>
    </row>
    <row r="461" spans="2:7" ht="14.25" customHeight="1" x14ac:dyDescent="0.3">
      <c r="B461" s="8"/>
      <c r="E461" s="8"/>
      <c r="G461" s="8"/>
    </row>
    <row r="462" spans="2:7" ht="14.25" customHeight="1" x14ac:dyDescent="0.3">
      <c r="B462" s="8"/>
      <c r="E462" s="8"/>
      <c r="G462" s="8"/>
    </row>
    <row r="463" spans="2:7" ht="14.25" customHeight="1" x14ac:dyDescent="0.3">
      <c r="B463" s="8"/>
      <c r="E463" s="8"/>
      <c r="G463" s="8"/>
    </row>
    <row r="464" spans="2:7" ht="14.25" customHeight="1" x14ac:dyDescent="0.3">
      <c r="B464" s="8"/>
      <c r="E464" s="8"/>
      <c r="G464" s="8"/>
    </row>
    <row r="465" spans="2:7" ht="14.25" customHeight="1" x14ac:dyDescent="0.3">
      <c r="B465" s="8"/>
      <c r="E465" s="8"/>
      <c r="G465" s="8"/>
    </row>
    <row r="466" spans="2:7" ht="14.25" customHeight="1" x14ac:dyDescent="0.3">
      <c r="B466" s="8"/>
      <c r="E466" s="8"/>
      <c r="G466" s="8"/>
    </row>
    <row r="467" spans="2:7" ht="14.25" customHeight="1" x14ac:dyDescent="0.3">
      <c r="B467" s="8"/>
      <c r="E467" s="8"/>
      <c r="G467" s="8"/>
    </row>
    <row r="468" spans="2:7" ht="14.25" customHeight="1" x14ac:dyDescent="0.3">
      <c r="B468" s="8"/>
      <c r="E468" s="8"/>
      <c r="G468" s="8"/>
    </row>
    <row r="469" spans="2:7" ht="14.25" customHeight="1" x14ac:dyDescent="0.3">
      <c r="B469" s="8"/>
      <c r="E469" s="8"/>
      <c r="G469" s="8"/>
    </row>
    <row r="470" spans="2:7" ht="14.25" customHeight="1" x14ac:dyDescent="0.3">
      <c r="B470" s="8"/>
      <c r="E470" s="8"/>
      <c r="G470" s="8"/>
    </row>
    <row r="471" spans="2:7" ht="14.25" customHeight="1" x14ac:dyDescent="0.3">
      <c r="B471" s="8"/>
      <c r="E471" s="8"/>
      <c r="G471" s="8"/>
    </row>
    <row r="472" spans="2:7" ht="14.25" customHeight="1" x14ac:dyDescent="0.3">
      <c r="B472" s="8"/>
      <c r="E472" s="8"/>
      <c r="G472" s="8"/>
    </row>
    <row r="473" spans="2:7" ht="14.25" customHeight="1" x14ac:dyDescent="0.3">
      <c r="B473" s="8"/>
      <c r="E473" s="8"/>
      <c r="G473" s="8"/>
    </row>
    <row r="474" spans="2:7" ht="14.25" customHeight="1" x14ac:dyDescent="0.3">
      <c r="B474" s="8"/>
      <c r="E474" s="8"/>
      <c r="G474" s="8"/>
    </row>
    <row r="475" spans="2:7" ht="14.25" customHeight="1" x14ac:dyDescent="0.3">
      <c r="B475" s="8"/>
      <c r="E475" s="8"/>
      <c r="G475" s="8"/>
    </row>
    <row r="476" spans="2:7" ht="14.25" customHeight="1" x14ac:dyDescent="0.3">
      <c r="B476" s="8"/>
      <c r="E476" s="8"/>
      <c r="G476" s="8"/>
    </row>
    <row r="477" spans="2:7" ht="14.25" customHeight="1" x14ac:dyDescent="0.3">
      <c r="B477" s="8"/>
      <c r="E477" s="8"/>
      <c r="G477" s="8"/>
    </row>
    <row r="478" spans="2:7" ht="14.25" customHeight="1" x14ac:dyDescent="0.3">
      <c r="B478" s="8"/>
      <c r="E478" s="8"/>
      <c r="G478" s="8"/>
    </row>
    <row r="479" spans="2:7" ht="14.25" customHeight="1" x14ac:dyDescent="0.3">
      <c r="B479" s="8"/>
      <c r="E479" s="8"/>
      <c r="G479" s="8"/>
    </row>
    <row r="480" spans="2:7" ht="14.25" customHeight="1" x14ac:dyDescent="0.3">
      <c r="B480" s="8"/>
      <c r="E480" s="8"/>
      <c r="G480" s="8"/>
    </row>
    <row r="481" spans="2:7" ht="14.25" customHeight="1" x14ac:dyDescent="0.3">
      <c r="B481" s="8"/>
      <c r="E481" s="8"/>
      <c r="G481" s="8"/>
    </row>
    <row r="482" spans="2:7" ht="14.25" customHeight="1" x14ac:dyDescent="0.3">
      <c r="B482" s="8"/>
      <c r="E482" s="8"/>
      <c r="G482" s="8"/>
    </row>
    <row r="483" spans="2:7" ht="14.25" customHeight="1" x14ac:dyDescent="0.3">
      <c r="B483" s="8"/>
      <c r="E483" s="8"/>
      <c r="G483" s="8"/>
    </row>
    <row r="484" spans="2:7" ht="14.25" customHeight="1" x14ac:dyDescent="0.3">
      <c r="B484" s="8"/>
      <c r="E484" s="8"/>
      <c r="G484" s="8"/>
    </row>
    <row r="485" spans="2:7" ht="14.25" customHeight="1" x14ac:dyDescent="0.3">
      <c r="B485" s="8"/>
      <c r="E485" s="8"/>
      <c r="G485" s="8"/>
    </row>
    <row r="486" spans="2:7" ht="14.25" customHeight="1" x14ac:dyDescent="0.3">
      <c r="B486" s="8"/>
      <c r="E486" s="8"/>
      <c r="G486" s="8"/>
    </row>
    <row r="487" spans="2:7" ht="14.25" customHeight="1" x14ac:dyDescent="0.3">
      <c r="B487" s="8"/>
      <c r="E487" s="8"/>
      <c r="G487" s="8"/>
    </row>
    <row r="488" spans="2:7" ht="14.25" customHeight="1" x14ac:dyDescent="0.3">
      <c r="B488" s="8"/>
      <c r="E488" s="8"/>
      <c r="G488" s="8"/>
    </row>
    <row r="489" spans="2:7" ht="14.25" customHeight="1" x14ac:dyDescent="0.3">
      <c r="B489" s="8"/>
      <c r="E489" s="8"/>
      <c r="G489" s="8"/>
    </row>
    <row r="490" spans="2:7" ht="14.25" customHeight="1" x14ac:dyDescent="0.3">
      <c r="B490" s="8"/>
      <c r="E490" s="8"/>
      <c r="G490" s="8"/>
    </row>
    <row r="491" spans="2:7" ht="14.25" customHeight="1" x14ac:dyDescent="0.3">
      <c r="B491" s="8"/>
      <c r="E491" s="8"/>
      <c r="G491" s="8"/>
    </row>
    <row r="492" spans="2:7" ht="14.25" customHeight="1" x14ac:dyDescent="0.3">
      <c r="B492" s="8"/>
      <c r="E492" s="8"/>
      <c r="G492" s="8"/>
    </row>
    <row r="493" spans="2:7" ht="14.25" customHeight="1" x14ac:dyDescent="0.3">
      <c r="B493" s="8"/>
      <c r="E493" s="8"/>
      <c r="G493" s="8"/>
    </row>
    <row r="494" spans="2:7" ht="14.25" customHeight="1" x14ac:dyDescent="0.3">
      <c r="B494" s="8"/>
      <c r="E494" s="8"/>
      <c r="G494" s="8"/>
    </row>
    <row r="495" spans="2:7" ht="14.25" customHeight="1" x14ac:dyDescent="0.3">
      <c r="B495" s="8"/>
      <c r="E495" s="8"/>
      <c r="G495" s="8"/>
    </row>
    <row r="496" spans="2:7" ht="14.25" customHeight="1" x14ac:dyDescent="0.3">
      <c r="B496" s="8"/>
      <c r="E496" s="8"/>
      <c r="G496" s="8"/>
    </row>
    <row r="497" spans="2:7" ht="14.25" customHeight="1" x14ac:dyDescent="0.3">
      <c r="B497" s="8"/>
      <c r="E497" s="8"/>
      <c r="G497" s="8"/>
    </row>
    <row r="498" spans="2:7" ht="14.25" customHeight="1" x14ac:dyDescent="0.3">
      <c r="B498" s="8"/>
      <c r="E498" s="8"/>
      <c r="G498" s="8"/>
    </row>
    <row r="499" spans="2:7" ht="14.25" customHeight="1" x14ac:dyDescent="0.3">
      <c r="B499" s="8"/>
      <c r="E499" s="8"/>
      <c r="G499" s="8"/>
    </row>
    <row r="500" spans="2:7" ht="14.25" customHeight="1" x14ac:dyDescent="0.3">
      <c r="B500" s="8"/>
      <c r="E500" s="8"/>
      <c r="G500" s="8"/>
    </row>
    <row r="501" spans="2:7" ht="14.25" customHeight="1" x14ac:dyDescent="0.3">
      <c r="B501" s="8"/>
      <c r="E501" s="8"/>
      <c r="G501" s="8"/>
    </row>
    <row r="502" spans="2:7" ht="14.25" customHeight="1" x14ac:dyDescent="0.3">
      <c r="B502" s="8"/>
      <c r="E502" s="8"/>
      <c r="G502" s="8"/>
    </row>
    <row r="503" spans="2:7" ht="14.25" customHeight="1" x14ac:dyDescent="0.3">
      <c r="B503" s="8"/>
      <c r="E503" s="8"/>
      <c r="G503" s="8"/>
    </row>
    <row r="504" spans="2:7" ht="14.25" customHeight="1" x14ac:dyDescent="0.3">
      <c r="B504" s="8"/>
      <c r="E504" s="8"/>
      <c r="G504" s="8"/>
    </row>
    <row r="505" spans="2:7" ht="14.25" customHeight="1" x14ac:dyDescent="0.3">
      <c r="B505" s="8"/>
      <c r="E505" s="8"/>
      <c r="G505" s="8"/>
    </row>
    <row r="506" spans="2:7" ht="14.25" customHeight="1" x14ac:dyDescent="0.3">
      <c r="B506" s="8"/>
      <c r="E506" s="8"/>
      <c r="G506" s="8"/>
    </row>
    <row r="507" spans="2:7" ht="14.25" customHeight="1" x14ac:dyDescent="0.3">
      <c r="B507" s="8"/>
      <c r="E507" s="8"/>
      <c r="G507" s="8"/>
    </row>
    <row r="508" spans="2:7" ht="14.25" customHeight="1" x14ac:dyDescent="0.3">
      <c r="B508" s="8"/>
      <c r="E508" s="8"/>
      <c r="G508" s="8"/>
    </row>
    <row r="509" spans="2:7" ht="14.25" customHeight="1" x14ac:dyDescent="0.3">
      <c r="B509" s="8"/>
      <c r="E509" s="8"/>
      <c r="G509" s="8"/>
    </row>
    <row r="510" spans="2:7" ht="14.25" customHeight="1" x14ac:dyDescent="0.3">
      <c r="B510" s="8"/>
      <c r="E510" s="8"/>
      <c r="G510" s="8"/>
    </row>
    <row r="511" spans="2:7" ht="14.25" customHeight="1" x14ac:dyDescent="0.3">
      <c r="B511" s="8"/>
      <c r="E511" s="8"/>
      <c r="G511" s="8"/>
    </row>
    <row r="512" spans="2:7" ht="14.25" customHeight="1" x14ac:dyDescent="0.3">
      <c r="B512" s="8"/>
      <c r="E512" s="8"/>
      <c r="G512" s="8"/>
    </row>
    <row r="513" spans="2:7" ht="14.25" customHeight="1" x14ac:dyDescent="0.3">
      <c r="B513" s="8"/>
      <c r="E513" s="8"/>
      <c r="G513" s="8"/>
    </row>
    <row r="514" spans="2:7" ht="14.25" customHeight="1" x14ac:dyDescent="0.3">
      <c r="B514" s="8"/>
      <c r="E514" s="8"/>
      <c r="G514" s="8"/>
    </row>
    <row r="515" spans="2:7" ht="14.25" customHeight="1" x14ac:dyDescent="0.3">
      <c r="B515" s="8"/>
      <c r="E515" s="8"/>
      <c r="G515" s="8"/>
    </row>
    <row r="516" spans="2:7" ht="14.25" customHeight="1" x14ac:dyDescent="0.3">
      <c r="B516" s="8"/>
      <c r="E516" s="8"/>
      <c r="G516" s="8"/>
    </row>
    <row r="517" spans="2:7" ht="14.25" customHeight="1" x14ac:dyDescent="0.3">
      <c r="B517" s="8"/>
      <c r="E517" s="8"/>
      <c r="G517" s="8"/>
    </row>
    <row r="518" spans="2:7" ht="14.25" customHeight="1" x14ac:dyDescent="0.3">
      <c r="B518" s="8"/>
      <c r="E518" s="8"/>
      <c r="G518" s="8"/>
    </row>
    <row r="519" spans="2:7" ht="14.25" customHeight="1" x14ac:dyDescent="0.3">
      <c r="B519" s="8"/>
      <c r="E519" s="8"/>
      <c r="G519" s="8"/>
    </row>
    <row r="520" spans="2:7" ht="14.25" customHeight="1" x14ac:dyDescent="0.3">
      <c r="B520" s="8"/>
      <c r="E520" s="8"/>
      <c r="G520" s="8"/>
    </row>
    <row r="521" spans="2:7" ht="14.25" customHeight="1" x14ac:dyDescent="0.3">
      <c r="B521" s="8"/>
      <c r="E521" s="8"/>
      <c r="G521" s="8"/>
    </row>
    <row r="522" spans="2:7" ht="14.25" customHeight="1" x14ac:dyDescent="0.3">
      <c r="B522" s="8"/>
      <c r="E522" s="8"/>
      <c r="G522" s="8"/>
    </row>
    <row r="523" spans="2:7" ht="14.25" customHeight="1" x14ac:dyDescent="0.3">
      <c r="B523" s="8"/>
      <c r="E523" s="8"/>
      <c r="G523" s="8"/>
    </row>
    <row r="524" spans="2:7" ht="14.25" customHeight="1" x14ac:dyDescent="0.3">
      <c r="B524" s="8"/>
      <c r="E524" s="8"/>
      <c r="G524" s="8"/>
    </row>
    <row r="525" spans="2:7" ht="14.25" customHeight="1" x14ac:dyDescent="0.3">
      <c r="B525" s="8"/>
      <c r="E525" s="8"/>
      <c r="G525" s="8"/>
    </row>
    <row r="526" spans="2:7" ht="14.25" customHeight="1" x14ac:dyDescent="0.3">
      <c r="B526" s="8"/>
      <c r="E526" s="8"/>
      <c r="G526" s="8"/>
    </row>
    <row r="527" spans="2:7" ht="14.25" customHeight="1" x14ac:dyDescent="0.3">
      <c r="B527" s="8"/>
      <c r="E527" s="8"/>
      <c r="G527" s="8"/>
    </row>
    <row r="528" spans="2:7" ht="14.25" customHeight="1" x14ac:dyDescent="0.3">
      <c r="B528" s="8"/>
      <c r="E528" s="8"/>
      <c r="G528" s="8"/>
    </row>
    <row r="529" spans="2:7" ht="14.25" customHeight="1" x14ac:dyDescent="0.3">
      <c r="B529" s="8"/>
      <c r="E529" s="8"/>
      <c r="G529" s="8"/>
    </row>
    <row r="530" spans="2:7" ht="14.25" customHeight="1" x14ac:dyDescent="0.3">
      <c r="B530" s="8"/>
      <c r="E530" s="8"/>
      <c r="G530" s="8"/>
    </row>
    <row r="531" spans="2:7" ht="14.25" customHeight="1" x14ac:dyDescent="0.3">
      <c r="B531" s="8"/>
      <c r="E531" s="8"/>
      <c r="G531" s="8"/>
    </row>
    <row r="532" spans="2:7" ht="14.25" customHeight="1" x14ac:dyDescent="0.3">
      <c r="B532" s="8"/>
      <c r="E532" s="8"/>
      <c r="G532" s="8"/>
    </row>
    <row r="533" spans="2:7" ht="14.25" customHeight="1" x14ac:dyDescent="0.3">
      <c r="B533" s="8"/>
      <c r="E533" s="8"/>
      <c r="G533" s="8"/>
    </row>
    <row r="534" spans="2:7" ht="14.25" customHeight="1" x14ac:dyDescent="0.3">
      <c r="B534" s="8"/>
      <c r="E534" s="8"/>
      <c r="G534" s="8"/>
    </row>
    <row r="535" spans="2:7" ht="14.25" customHeight="1" x14ac:dyDescent="0.3">
      <c r="B535" s="8"/>
      <c r="E535" s="8"/>
      <c r="G535" s="8"/>
    </row>
    <row r="536" spans="2:7" ht="14.25" customHeight="1" x14ac:dyDescent="0.3">
      <c r="B536" s="8"/>
      <c r="E536" s="8"/>
      <c r="G536" s="8"/>
    </row>
    <row r="537" spans="2:7" ht="14.25" customHeight="1" x14ac:dyDescent="0.3">
      <c r="B537" s="8"/>
      <c r="E537" s="8"/>
      <c r="G537" s="8"/>
    </row>
    <row r="538" spans="2:7" ht="14.25" customHeight="1" x14ac:dyDescent="0.3">
      <c r="B538" s="8"/>
      <c r="E538" s="8"/>
      <c r="G538" s="8"/>
    </row>
    <row r="539" spans="2:7" ht="14.25" customHeight="1" x14ac:dyDescent="0.3">
      <c r="B539" s="8"/>
      <c r="E539" s="8"/>
      <c r="G539" s="8"/>
    </row>
    <row r="540" spans="2:7" ht="14.25" customHeight="1" x14ac:dyDescent="0.3">
      <c r="B540" s="8"/>
      <c r="E540" s="8"/>
      <c r="G540" s="8"/>
    </row>
    <row r="541" spans="2:7" ht="14.25" customHeight="1" x14ac:dyDescent="0.3">
      <c r="B541" s="8"/>
      <c r="E541" s="8"/>
      <c r="G541" s="8"/>
    </row>
    <row r="542" spans="2:7" ht="14.25" customHeight="1" x14ac:dyDescent="0.3">
      <c r="B542" s="8"/>
      <c r="E542" s="8"/>
      <c r="G542" s="8"/>
    </row>
    <row r="543" spans="2:7" ht="14.25" customHeight="1" x14ac:dyDescent="0.3">
      <c r="B543" s="8"/>
      <c r="E543" s="8"/>
      <c r="G543" s="8"/>
    </row>
    <row r="544" spans="2:7" ht="14.25" customHeight="1" x14ac:dyDescent="0.3">
      <c r="B544" s="8"/>
      <c r="E544" s="8"/>
      <c r="G544" s="8"/>
    </row>
    <row r="545" spans="2:7" ht="14.25" customHeight="1" x14ac:dyDescent="0.3">
      <c r="B545" s="8"/>
      <c r="E545" s="8"/>
      <c r="G545" s="8"/>
    </row>
    <row r="546" spans="2:7" ht="14.25" customHeight="1" x14ac:dyDescent="0.3">
      <c r="B546" s="8"/>
      <c r="E546" s="8"/>
      <c r="G546" s="8"/>
    </row>
    <row r="547" spans="2:7" ht="14.25" customHeight="1" x14ac:dyDescent="0.3">
      <c r="B547" s="8"/>
      <c r="E547" s="8"/>
      <c r="G547" s="8"/>
    </row>
    <row r="548" spans="2:7" ht="14.25" customHeight="1" x14ac:dyDescent="0.3">
      <c r="B548" s="8"/>
      <c r="E548" s="8"/>
      <c r="G548" s="8"/>
    </row>
    <row r="549" spans="2:7" ht="14.25" customHeight="1" x14ac:dyDescent="0.3">
      <c r="B549" s="8"/>
      <c r="E549" s="8"/>
      <c r="G549" s="8"/>
    </row>
    <row r="550" spans="2:7" ht="14.25" customHeight="1" x14ac:dyDescent="0.3">
      <c r="B550" s="8"/>
      <c r="E550" s="8"/>
      <c r="G550" s="8"/>
    </row>
    <row r="551" spans="2:7" ht="14.25" customHeight="1" x14ac:dyDescent="0.3">
      <c r="B551" s="8"/>
      <c r="E551" s="8"/>
      <c r="G551" s="8"/>
    </row>
    <row r="552" spans="2:7" ht="14.25" customHeight="1" x14ac:dyDescent="0.3">
      <c r="B552" s="8"/>
      <c r="E552" s="8"/>
      <c r="G552" s="8"/>
    </row>
    <row r="553" spans="2:7" ht="14.25" customHeight="1" x14ac:dyDescent="0.3">
      <c r="B553" s="8"/>
      <c r="E553" s="8"/>
      <c r="G553" s="8"/>
    </row>
    <row r="554" spans="2:7" ht="14.25" customHeight="1" x14ac:dyDescent="0.3">
      <c r="B554" s="8"/>
      <c r="E554" s="8"/>
      <c r="G554" s="8"/>
    </row>
    <row r="555" spans="2:7" ht="14.25" customHeight="1" x14ac:dyDescent="0.3">
      <c r="B555" s="8"/>
      <c r="E555" s="8"/>
      <c r="G555" s="8"/>
    </row>
    <row r="556" spans="2:7" ht="14.25" customHeight="1" x14ac:dyDescent="0.3">
      <c r="B556" s="8"/>
      <c r="E556" s="8"/>
      <c r="G556" s="8"/>
    </row>
    <row r="557" spans="2:7" ht="14.25" customHeight="1" x14ac:dyDescent="0.3">
      <c r="B557" s="8"/>
      <c r="E557" s="8"/>
      <c r="G557" s="8"/>
    </row>
    <row r="558" spans="2:7" ht="14.25" customHeight="1" x14ac:dyDescent="0.3">
      <c r="B558" s="8"/>
      <c r="E558" s="8"/>
      <c r="G558" s="8"/>
    </row>
    <row r="559" spans="2:7" ht="14.25" customHeight="1" x14ac:dyDescent="0.3">
      <c r="B559" s="8"/>
      <c r="E559" s="8"/>
      <c r="G559" s="8"/>
    </row>
    <row r="560" spans="2:7" ht="14.25" customHeight="1" x14ac:dyDescent="0.3">
      <c r="B560" s="8"/>
      <c r="E560" s="8"/>
      <c r="G560" s="8"/>
    </row>
    <row r="561" spans="2:7" ht="14.25" customHeight="1" x14ac:dyDescent="0.3">
      <c r="B561" s="8"/>
      <c r="E561" s="8"/>
      <c r="G561" s="8"/>
    </row>
    <row r="562" spans="2:7" ht="14.25" customHeight="1" x14ac:dyDescent="0.3">
      <c r="B562" s="8"/>
      <c r="E562" s="8"/>
      <c r="G562" s="8"/>
    </row>
    <row r="563" spans="2:7" ht="14.25" customHeight="1" x14ac:dyDescent="0.3">
      <c r="B563" s="8"/>
      <c r="E563" s="8"/>
      <c r="G563" s="8"/>
    </row>
    <row r="564" spans="2:7" ht="14.25" customHeight="1" x14ac:dyDescent="0.3">
      <c r="B564" s="8"/>
      <c r="E564" s="8"/>
      <c r="G564" s="8"/>
    </row>
    <row r="565" spans="2:7" ht="14.25" customHeight="1" x14ac:dyDescent="0.3">
      <c r="B565" s="8"/>
      <c r="E565" s="8"/>
      <c r="G565" s="8"/>
    </row>
    <row r="566" spans="2:7" ht="14.25" customHeight="1" x14ac:dyDescent="0.3">
      <c r="B566" s="8"/>
      <c r="E566" s="8"/>
      <c r="G566" s="8"/>
    </row>
    <row r="567" spans="2:7" ht="14.25" customHeight="1" x14ac:dyDescent="0.3">
      <c r="B567" s="8"/>
      <c r="E567" s="8"/>
      <c r="G567" s="8"/>
    </row>
    <row r="568" spans="2:7" ht="14.25" customHeight="1" x14ac:dyDescent="0.3">
      <c r="B568" s="8"/>
      <c r="E568" s="8"/>
      <c r="G568" s="8"/>
    </row>
    <row r="569" spans="2:7" ht="14.25" customHeight="1" x14ac:dyDescent="0.3">
      <c r="B569" s="8"/>
      <c r="E569" s="8"/>
      <c r="G569" s="8"/>
    </row>
    <row r="570" spans="2:7" ht="14.25" customHeight="1" x14ac:dyDescent="0.3">
      <c r="B570" s="8"/>
      <c r="E570" s="8"/>
      <c r="G570" s="8"/>
    </row>
    <row r="571" spans="2:7" ht="14.25" customHeight="1" x14ac:dyDescent="0.3">
      <c r="B571" s="8"/>
      <c r="E571" s="8"/>
      <c r="G571" s="8"/>
    </row>
    <row r="572" spans="2:7" ht="14.25" customHeight="1" x14ac:dyDescent="0.3">
      <c r="B572" s="8"/>
      <c r="E572" s="8"/>
      <c r="G572" s="8"/>
    </row>
    <row r="573" spans="2:7" ht="14.25" customHeight="1" x14ac:dyDescent="0.3">
      <c r="B573" s="8"/>
      <c r="E573" s="8"/>
      <c r="G573" s="8"/>
    </row>
    <row r="574" spans="2:7" ht="14.25" customHeight="1" x14ac:dyDescent="0.3">
      <c r="B574" s="8"/>
      <c r="E574" s="8"/>
      <c r="G574" s="8"/>
    </row>
    <row r="575" spans="2:7" ht="14.25" customHeight="1" x14ac:dyDescent="0.3">
      <c r="B575" s="8"/>
      <c r="E575" s="8"/>
      <c r="G575" s="8"/>
    </row>
    <row r="576" spans="2:7" ht="14.25" customHeight="1" x14ac:dyDescent="0.3">
      <c r="B576" s="8"/>
      <c r="E576" s="8"/>
      <c r="G576" s="8"/>
    </row>
    <row r="577" spans="2:7" ht="14.25" customHeight="1" x14ac:dyDescent="0.3">
      <c r="B577" s="8"/>
      <c r="E577" s="8"/>
      <c r="G577" s="8"/>
    </row>
    <row r="578" spans="2:7" ht="14.25" customHeight="1" x14ac:dyDescent="0.3">
      <c r="B578" s="8"/>
      <c r="E578" s="8"/>
      <c r="G578" s="8"/>
    </row>
    <row r="579" spans="2:7" ht="14.25" customHeight="1" x14ac:dyDescent="0.3">
      <c r="B579" s="8"/>
      <c r="E579" s="8"/>
      <c r="G579" s="8"/>
    </row>
    <row r="580" spans="2:7" ht="14.25" customHeight="1" x14ac:dyDescent="0.3">
      <c r="B580" s="8"/>
      <c r="E580" s="8"/>
      <c r="G580" s="8"/>
    </row>
    <row r="581" spans="2:7" ht="14.25" customHeight="1" x14ac:dyDescent="0.3">
      <c r="B581" s="8"/>
      <c r="E581" s="8"/>
      <c r="G581" s="8"/>
    </row>
    <row r="582" spans="2:7" ht="14.25" customHeight="1" x14ac:dyDescent="0.3">
      <c r="B582" s="8"/>
      <c r="E582" s="8"/>
      <c r="G582" s="8"/>
    </row>
    <row r="583" spans="2:7" ht="14.25" customHeight="1" x14ac:dyDescent="0.3">
      <c r="B583" s="8"/>
      <c r="E583" s="8"/>
      <c r="G583" s="8"/>
    </row>
    <row r="584" spans="2:7" ht="14.25" customHeight="1" x14ac:dyDescent="0.3">
      <c r="B584" s="8"/>
      <c r="E584" s="8"/>
      <c r="G584" s="8"/>
    </row>
    <row r="585" spans="2:7" ht="14.25" customHeight="1" x14ac:dyDescent="0.3">
      <c r="B585" s="8"/>
      <c r="E585" s="8"/>
      <c r="G585" s="8"/>
    </row>
    <row r="586" spans="2:7" ht="14.25" customHeight="1" x14ac:dyDescent="0.3">
      <c r="B586" s="8"/>
      <c r="E586" s="8"/>
      <c r="G586" s="8"/>
    </row>
    <row r="587" spans="2:7" ht="14.25" customHeight="1" x14ac:dyDescent="0.3">
      <c r="B587" s="8"/>
      <c r="E587" s="8"/>
      <c r="G587" s="8"/>
    </row>
    <row r="588" spans="2:7" ht="14.25" customHeight="1" x14ac:dyDescent="0.3">
      <c r="B588" s="8"/>
      <c r="E588" s="8"/>
      <c r="G588" s="8"/>
    </row>
    <row r="589" spans="2:7" ht="14.25" customHeight="1" x14ac:dyDescent="0.3">
      <c r="B589" s="8"/>
      <c r="E589" s="8"/>
      <c r="G589" s="8"/>
    </row>
    <row r="590" spans="2:7" ht="14.25" customHeight="1" x14ac:dyDescent="0.3">
      <c r="B590" s="8"/>
      <c r="E590" s="8"/>
      <c r="G590" s="8"/>
    </row>
    <row r="591" spans="2:7" ht="14.25" customHeight="1" x14ac:dyDescent="0.3">
      <c r="B591" s="8"/>
      <c r="E591" s="8"/>
      <c r="G591" s="8"/>
    </row>
    <row r="592" spans="2:7" ht="14.25" customHeight="1" x14ac:dyDescent="0.3">
      <c r="B592" s="8"/>
      <c r="E592" s="8"/>
      <c r="G592" s="8"/>
    </row>
    <row r="593" spans="2:7" ht="14.25" customHeight="1" x14ac:dyDescent="0.3">
      <c r="B593" s="8"/>
      <c r="E593" s="8"/>
      <c r="G593" s="8"/>
    </row>
    <row r="594" spans="2:7" ht="14.25" customHeight="1" x14ac:dyDescent="0.3">
      <c r="B594" s="8"/>
      <c r="E594" s="8"/>
      <c r="G594" s="8"/>
    </row>
    <row r="595" spans="2:7" ht="14.25" customHeight="1" x14ac:dyDescent="0.3">
      <c r="B595" s="8"/>
      <c r="E595" s="8"/>
      <c r="G595" s="8"/>
    </row>
    <row r="596" spans="2:7" ht="14.25" customHeight="1" x14ac:dyDescent="0.3">
      <c r="B596" s="8"/>
      <c r="E596" s="8"/>
      <c r="G596" s="8"/>
    </row>
    <row r="597" spans="2:7" ht="14.25" customHeight="1" x14ac:dyDescent="0.3">
      <c r="B597" s="8"/>
      <c r="E597" s="8"/>
      <c r="G597" s="8"/>
    </row>
    <row r="598" spans="2:7" ht="14.25" customHeight="1" x14ac:dyDescent="0.3">
      <c r="B598" s="8"/>
      <c r="E598" s="8"/>
      <c r="G598" s="8"/>
    </row>
    <row r="599" spans="2:7" ht="14.25" customHeight="1" x14ac:dyDescent="0.3">
      <c r="B599" s="8"/>
      <c r="E599" s="8"/>
      <c r="G599" s="8"/>
    </row>
    <row r="600" spans="2:7" ht="14.25" customHeight="1" x14ac:dyDescent="0.3">
      <c r="B600" s="8"/>
      <c r="E600" s="8"/>
      <c r="G600" s="8"/>
    </row>
    <row r="601" spans="2:7" ht="14.25" customHeight="1" x14ac:dyDescent="0.3">
      <c r="B601" s="8"/>
      <c r="E601" s="8"/>
      <c r="G601" s="8"/>
    </row>
    <row r="602" spans="2:7" ht="14.25" customHeight="1" x14ac:dyDescent="0.3">
      <c r="B602" s="8"/>
      <c r="E602" s="8"/>
      <c r="G602" s="8"/>
    </row>
    <row r="603" spans="2:7" ht="14.25" customHeight="1" x14ac:dyDescent="0.3">
      <c r="B603" s="8"/>
      <c r="E603" s="8"/>
      <c r="G603" s="8"/>
    </row>
    <row r="604" spans="2:7" ht="14.25" customHeight="1" x14ac:dyDescent="0.3">
      <c r="B604" s="8"/>
      <c r="E604" s="8"/>
      <c r="G604" s="8"/>
    </row>
    <row r="605" spans="2:7" ht="14.25" customHeight="1" x14ac:dyDescent="0.3">
      <c r="B605" s="8"/>
      <c r="E605" s="8"/>
      <c r="G605" s="8"/>
    </row>
    <row r="606" spans="2:7" ht="14.25" customHeight="1" x14ac:dyDescent="0.3">
      <c r="B606" s="8"/>
      <c r="E606" s="8"/>
      <c r="G606" s="8"/>
    </row>
    <row r="607" spans="2:7" ht="14.25" customHeight="1" x14ac:dyDescent="0.3">
      <c r="B607" s="8"/>
      <c r="E607" s="8"/>
      <c r="G607" s="8"/>
    </row>
    <row r="608" spans="2:7" ht="14.25" customHeight="1" x14ac:dyDescent="0.3">
      <c r="B608" s="8"/>
      <c r="E608" s="8"/>
      <c r="G608" s="8"/>
    </row>
    <row r="609" spans="2:7" ht="14.25" customHeight="1" x14ac:dyDescent="0.3">
      <c r="B609" s="8"/>
      <c r="E609" s="8"/>
      <c r="G609" s="8"/>
    </row>
    <row r="610" spans="2:7" ht="14.25" customHeight="1" x14ac:dyDescent="0.3">
      <c r="B610" s="8"/>
      <c r="E610" s="8"/>
      <c r="G610" s="8"/>
    </row>
    <row r="611" spans="2:7" ht="14.25" customHeight="1" x14ac:dyDescent="0.3">
      <c r="B611" s="8"/>
      <c r="E611" s="8"/>
      <c r="G611" s="8"/>
    </row>
    <row r="612" spans="2:7" ht="14.25" customHeight="1" x14ac:dyDescent="0.3">
      <c r="B612" s="8"/>
      <c r="E612" s="8"/>
      <c r="G612" s="8"/>
    </row>
    <row r="613" spans="2:7" ht="14.25" customHeight="1" x14ac:dyDescent="0.3">
      <c r="B613" s="8"/>
      <c r="E613" s="8"/>
      <c r="G613" s="8"/>
    </row>
    <row r="614" spans="2:7" ht="14.25" customHeight="1" x14ac:dyDescent="0.3">
      <c r="B614" s="8"/>
      <c r="E614" s="8"/>
      <c r="G614" s="8"/>
    </row>
    <row r="615" spans="2:7" ht="14.25" customHeight="1" x14ac:dyDescent="0.3">
      <c r="B615" s="8"/>
      <c r="E615" s="8"/>
      <c r="G615" s="8"/>
    </row>
    <row r="616" spans="2:7" ht="14.25" customHeight="1" x14ac:dyDescent="0.3">
      <c r="B616" s="8"/>
      <c r="E616" s="8"/>
      <c r="G616" s="8"/>
    </row>
    <row r="617" spans="2:7" ht="14.25" customHeight="1" x14ac:dyDescent="0.3">
      <c r="B617" s="8"/>
      <c r="E617" s="8"/>
      <c r="G617" s="8"/>
    </row>
    <row r="618" spans="2:7" ht="14.25" customHeight="1" x14ac:dyDescent="0.3">
      <c r="B618" s="8"/>
      <c r="E618" s="8"/>
      <c r="G618" s="8"/>
    </row>
    <row r="619" spans="2:7" ht="14.25" customHeight="1" x14ac:dyDescent="0.3">
      <c r="B619" s="8"/>
      <c r="E619" s="8"/>
      <c r="G619" s="8"/>
    </row>
    <row r="620" spans="2:7" ht="14.25" customHeight="1" x14ac:dyDescent="0.3">
      <c r="B620" s="8"/>
      <c r="E620" s="8"/>
      <c r="G620" s="8"/>
    </row>
    <row r="621" spans="2:7" ht="14.25" customHeight="1" x14ac:dyDescent="0.3">
      <c r="B621" s="8"/>
      <c r="E621" s="8"/>
      <c r="G621" s="8"/>
    </row>
    <row r="622" spans="2:7" ht="14.25" customHeight="1" x14ac:dyDescent="0.3">
      <c r="B622" s="8"/>
      <c r="E622" s="8"/>
      <c r="G622" s="8"/>
    </row>
    <row r="623" spans="2:7" ht="14.25" customHeight="1" x14ac:dyDescent="0.3">
      <c r="B623" s="8"/>
      <c r="E623" s="8"/>
      <c r="G623" s="8"/>
    </row>
    <row r="624" spans="2:7" ht="14.25" customHeight="1" x14ac:dyDescent="0.3">
      <c r="B624" s="8"/>
      <c r="E624" s="8"/>
      <c r="G624" s="8"/>
    </row>
    <row r="625" spans="2:7" ht="14.25" customHeight="1" x14ac:dyDescent="0.3">
      <c r="B625" s="8"/>
      <c r="E625" s="8"/>
      <c r="G625" s="8"/>
    </row>
    <row r="626" spans="2:7" ht="14.25" customHeight="1" x14ac:dyDescent="0.3">
      <c r="B626" s="8"/>
      <c r="E626" s="8"/>
      <c r="G626" s="8"/>
    </row>
    <row r="627" spans="2:7" ht="14.25" customHeight="1" x14ac:dyDescent="0.3">
      <c r="B627" s="8"/>
      <c r="E627" s="8"/>
      <c r="G627" s="8"/>
    </row>
    <row r="628" spans="2:7" ht="14.25" customHeight="1" x14ac:dyDescent="0.3">
      <c r="B628" s="8"/>
      <c r="E628" s="8"/>
      <c r="G628" s="8"/>
    </row>
    <row r="629" spans="2:7" ht="14.25" customHeight="1" x14ac:dyDescent="0.3">
      <c r="B629" s="8"/>
      <c r="E629" s="8"/>
      <c r="G629" s="8"/>
    </row>
    <row r="630" spans="2:7" ht="14.25" customHeight="1" x14ac:dyDescent="0.3">
      <c r="B630" s="8"/>
      <c r="E630" s="8"/>
      <c r="G630" s="8"/>
    </row>
    <row r="631" spans="2:7" ht="14.25" customHeight="1" x14ac:dyDescent="0.3">
      <c r="B631" s="8"/>
      <c r="E631" s="8"/>
      <c r="G631" s="8"/>
    </row>
    <row r="632" spans="2:7" ht="14.25" customHeight="1" x14ac:dyDescent="0.3">
      <c r="B632" s="8"/>
      <c r="E632" s="8"/>
      <c r="G632" s="8"/>
    </row>
    <row r="633" spans="2:7" ht="14.25" customHeight="1" x14ac:dyDescent="0.3">
      <c r="B633" s="8"/>
      <c r="E633" s="8"/>
      <c r="G633" s="8"/>
    </row>
    <row r="634" spans="2:7" ht="14.25" customHeight="1" x14ac:dyDescent="0.3">
      <c r="B634" s="8"/>
      <c r="E634" s="8"/>
      <c r="G634" s="8"/>
    </row>
    <row r="635" spans="2:7" ht="14.25" customHeight="1" x14ac:dyDescent="0.3">
      <c r="B635" s="8"/>
      <c r="E635" s="8"/>
      <c r="G635" s="8"/>
    </row>
    <row r="636" spans="2:7" ht="14.25" customHeight="1" x14ac:dyDescent="0.3">
      <c r="B636" s="8"/>
      <c r="E636" s="8"/>
      <c r="G636" s="8"/>
    </row>
    <row r="637" spans="2:7" ht="14.25" customHeight="1" x14ac:dyDescent="0.3">
      <c r="B637" s="8"/>
      <c r="E637" s="8"/>
      <c r="G637" s="8"/>
    </row>
    <row r="638" spans="2:7" ht="14.25" customHeight="1" x14ac:dyDescent="0.3">
      <c r="B638" s="8"/>
      <c r="E638" s="8"/>
      <c r="G638" s="8"/>
    </row>
    <row r="639" spans="2:7" ht="14.25" customHeight="1" x14ac:dyDescent="0.3">
      <c r="B639" s="8"/>
      <c r="E639" s="8"/>
      <c r="G639" s="8"/>
    </row>
    <row r="640" spans="2:7" ht="14.25" customHeight="1" x14ac:dyDescent="0.3">
      <c r="B640" s="8"/>
      <c r="E640" s="8"/>
      <c r="G640" s="8"/>
    </row>
    <row r="641" spans="2:7" ht="14.25" customHeight="1" x14ac:dyDescent="0.3">
      <c r="B641" s="8"/>
      <c r="E641" s="8"/>
      <c r="G641" s="8"/>
    </row>
    <row r="642" spans="2:7" ht="14.25" customHeight="1" x14ac:dyDescent="0.3">
      <c r="B642" s="8"/>
      <c r="E642" s="8"/>
      <c r="G642" s="8"/>
    </row>
    <row r="643" spans="2:7" ht="14.25" customHeight="1" x14ac:dyDescent="0.3">
      <c r="B643" s="8"/>
      <c r="E643" s="8"/>
      <c r="G643" s="8"/>
    </row>
    <row r="644" spans="2:7" ht="14.25" customHeight="1" x14ac:dyDescent="0.3">
      <c r="B644" s="8"/>
      <c r="E644" s="8"/>
      <c r="G644" s="8"/>
    </row>
    <row r="645" spans="2:7" ht="14.25" customHeight="1" x14ac:dyDescent="0.3">
      <c r="B645" s="8"/>
      <c r="E645" s="8"/>
      <c r="G645" s="8"/>
    </row>
    <row r="646" spans="2:7" ht="14.25" customHeight="1" x14ac:dyDescent="0.3">
      <c r="B646" s="8"/>
      <c r="E646" s="8"/>
      <c r="G646" s="8"/>
    </row>
    <row r="647" spans="2:7" ht="14.25" customHeight="1" x14ac:dyDescent="0.3">
      <c r="B647" s="8"/>
      <c r="E647" s="8"/>
      <c r="G647" s="8"/>
    </row>
    <row r="648" spans="2:7" ht="14.25" customHeight="1" x14ac:dyDescent="0.3">
      <c r="B648" s="8"/>
      <c r="E648" s="8"/>
      <c r="G648" s="8"/>
    </row>
    <row r="649" spans="2:7" ht="14.25" customHeight="1" x14ac:dyDescent="0.3">
      <c r="B649" s="8"/>
      <c r="E649" s="8"/>
      <c r="G649" s="8"/>
    </row>
    <row r="650" spans="2:7" ht="14.25" customHeight="1" x14ac:dyDescent="0.3">
      <c r="B650" s="8"/>
      <c r="E650" s="8"/>
      <c r="G650" s="8"/>
    </row>
    <row r="651" spans="2:7" ht="14.25" customHeight="1" x14ac:dyDescent="0.3">
      <c r="B651" s="8"/>
      <c r="E651" s="8"/>
      <c r="G651" s="8"/>
    </row>
    <row r="652" spans="2:7" ht="14.25" customHeight="1" x14ac:dyDescent="0.3">
      <c r="B652" s="8"/>
      <c r="E652" s="8"/>
      <c r="G652" s="8"/>
    </row>
    <row r="653" spans="2:7" ht="14.25" customHeight="1" x14ac:dyDescent="0.3">
      <c r="B653" s="8"/>
      <c r="E653" s="8"/>
      <c r="G653" s="8"/>
    </row>
    <row r="654" spans="2:7" ht="14.25" customHeight="1" x14ac:dyDescent="0.3">
      <c r="B654" s="8"/>
      <c r="E654" s="8"/>
      <c r="G654" s="8"/>
    </row>
    <row r="655" spans="2:7" ht="14.25" customHeight="1" x14ac:dyDescent="0.3">
      <c r="B655" s="8"/>
      <c r="E655" s="8"/>
      <c r="G655" s="8"/>
    </row>
    <row r="656" spans="2:7" ht="14.25" customHeight="1" x14ac:dyDescent="0.3">
      <c r="B656" s="8"/>
      <c r="E656" s="8"/>
      <c r="G656" s="8"/>
    </row>
    <row r="657" spans="2:7" ht="14.25" customHeight="1" x14ac:dyDescent="0.3">
      <c r="B657" s="8"/>
      <c r="E657" s="8"/>
      <c r="G657" s="8"/>
    </row>
    <row r="658" spans="2:7" ht="14.25" customHeight="1" x14ac:dyDescent="0.3">
      <c r="B658" s="8"/>
      <c r="E658" s="8"/>
      <c r="G658" s="8"/>
    </row>
    <row r="659" spans="2:7" ht="14.25" customHeight="1" x14ac:dyDescent="0.3">
      <c r="B659" s="8"/>
      <c r="E659" s="8"/>
      <c r="G659" s="8"/>
    </row>
    <row r="660" spans="2:7" ht="14.25" customHeight="1" x14ac:dyDescent="0.3">
      <c r="B660" s="8"/>
      <c r="E660" s="8"/>
      <c r="G660" s="8"/>
    </row>
    <row r="661" spans="2:7" ht="14.25" customHeight="1" x14ac:dyDescent="0.3">
      <c r="B661" s="8"/>
      <c r="E661" s="8"/>
      <c r="G661" s="8"/>
    </row>
    <row r="662" spans="2:7" ht="14.25" customHeight="1" x14ac:dyDescent="0.3">
      <c r="B662" s="8"/>
      <c r="E662" s="8"/>
      <c r="G662" s="8"/>
    </row>
    <row r="663" spans="2:7" ht="14.25" customHeight="1" x14ac:dyDescent="0.3">
      <c r="B663" s="8"/>
      <c r="E663" s="8"/>
      <c r="G663" s="8"/>
    </row>
    <row r="664" spans="2:7" ht="14.25" customHeight="1" x14ac:dyDescent="0.3">
      <c r="B664" s="8"/>
      <c r="E664" s="8"/>
      <c r="G664" s="8"/>
    </row>
    <row r="665" spans="2:7" ht="14.25" customHeight="1" x14ac:dyDescent="0.3">
      <c r="B665" s="8"/>
      <c r="E665" s="8"/>
      <c r="G665" s="8"/>
    </row>
    <row r="666" spans="2:7" ht="14.25" customHeight="1" x14ac:dyDescent="0.3">
      <c r="B666" s="8"/>
      <c r="E666" s="8"/>
      <c r="G666" s="8"/>
    </row>
    <row r="667" spans="2:7" ht="14.25" customHeight="1" x14ac:dyDescent="0.3">
      <c r="B667" s="8"/>
      <c r="E667" s="8"/>
      <c r="G667" s="8"/>
    </row>
    <row r="668" spans="2:7" ht="14.25" customHeight="1" x14ac:dyDescent="0.3">
      <c r="B668" s="8"/>
      <c r="E668" s="8"/>
      <c r="G668" s="8"/>
    </row>
    <row r="669" spans="2:7" ht="14.25" customHeight="1" x14ac:dyDescent="0.3">
      <c r="B669" s="8"/>
      <c r="E669" s="8"/>
      <c r="G669" s="8"/>
    </row>
    <row r="670" spans="2:7" ht="14.25" customHeight="1" x14ac:dyDescent="0.3">
      <c r="B670" s="8"/>
      <c r="E670" s="8"/>
      <c r="G670" s="8"/>
    </row>
    <row r="671" spans="2:7" ht="14.25" customHeight="1" x14ac:dyDescent="0.3">
      <c r="B671" s="8"/>
      <c r="E671" s="8"/>
      <c r="G671" s="8"/>
    </row>
    <row r="672" spans="2:7" ht="14.25" customHeight="1" x14ac:dyDescent="0.3">
      <c r="B672" s="8"/>
      <c r="E672" s="8"/>
      <c r="G672" s="8"/>
    </row>
    <row r="673" spans="2:7" ht="14.25" customHeight="1" x14ac:dyDescent="0.3">
      <c r="B673" s="8"/>
      <c r="E673" s="8"/>
      <c r="G673" s="8"/>
    </row>
    <row r="674" spans="2:7" ht="14.25" customHeight="1" x14ac:dyDescent="0.3">
      <c r="B674" s="8"/>
      <c r="E674" s="8"/>
      <c r="G674" s="8"/>
    </row>
    <row r="675" spans="2:7" ht="14.25" customHeight="1" x14ac:dyDescent="0.3">
      <c r="B675" s="8"/>
      <c r="E675" s="8"/>
      <c r="G675" s="8"/>
    </row>
    <row r="676" spans="2:7" ht="14.25" customHeight="1" x14ac:dyDescent="0.3">
      <c r="B676" s="8"/>
      <c r="E676" s="8"/>
      <c r="G676" s="8"/>
    </row>
    <row r="677" spans="2:7" ht="14.25" customHeight="1" x14ac:dyDescent="0.3">
      <c r="B677" s="8"/>
      <c r="E677" s="8"/>
      <c r="G677" s="8"/>
    </row>
    <row r="678" spans="2:7" ht="14.25" customHeight="1" x14ac:dyDescent="0.3">
      <c r="B678" s="8"/>
      <c r="E678" s="8"/>
      <c r="G678" s="8"/>
    </row>
    <row r="679" spans="2:7" ht="14.25" customHeight="1" x14ac:dyDescent="0.3">
      <c r="B679" s="8"/>
      <c r="E679" s="8"/>
      <c r="G679" s="8"/>
    </row>
    <row r="680" spans="2:7" ht="14.25" customHeight="1" x14ac:dyDescent="0.3">
      <c r="B680" s="8"/>
      <c r="E680" s="8"/>
      <c r="G680" s="8"/>
    </row>
    <row r="681" spans="2:7" ht="14.25" customHeight="1" x14ac:dyDescent="0.3">
      <c r="B681" s="8"/>
      <c r="E681" s="8"/>
      <c r="G681" s="8"/>
    </row>
    <row r="682" spans="2:7" ht="14.25" customHeight="1" x14ac:dyDescent="0.3">
      <c r="B682" s="8"/>
      <c r="E682" s="8"/>
      <c r="G682" s="8"/>
    </row>
    <row r="683" spans="2:7" ht="14.25" customHeight="1" x14ac:dyDescent="0.3">
      <c r="B683" s="8"/>
      <c r="E683" s="8"/>
      <c r="G683" s="8"/>
    </row>
    <row r="684" spans="2:7" ht="14.25" customHeight="1" x14ac:dyDescent="0.3">
      <c r="B684" s="8"/>
      <c r="E684" s="8"/>
      <c r="G684" s="8"/>
    </row>
    <row r="685" spans="2:7" ht="14.25" customHeight="1" x14ac:dyDescent="0.3">
      <c r="B685" s="8"/>
      <c r="E685" s="8"/>
      <c r="G685" s="8"/>
    </row>
    <row r="686" spans="2:7" ht="14.25" customHeight="1" x14ac:dyDescent="0.3">
      <c r="B686" s="8"/>
      <c r="E686" s="8"/>
      <c r="G686" s="8"/>
    </row>
    <row r="687" spans="2:7" ht="14.25" customHeight="1" x14ac:dyDescent="0.3">
      <c r="B687" s="8"/>
      <c r="E687" s="8"/>
      <c r="G687" s="8"/>
    </row>
    <row r="688" spans="2:7" ht="14.25" customHeight="1" x14ac:dyDescent="0.3">
      <c r="B688" s="8"/>
      <c r="E688" s="8"/>
      <c r="G688" s="8"/>
    </row>
    <row r="689" spans="2:7" ht="14.25" customHeight="1" x14ac:dyDescent="0.3">
      <c r="B689" s="8"/>
      <c r="E689" s="8"/>
      <c r="G689" s="8"/>
    </row>
    <row r="690" spans="2:7" ht="14.25" customHeight="1" x14ac:dyDescent="0.3">
      <c r="B690" s="8"/>
      <c r="E690" s="8"/>
      <c r="G690" s="8"/>
    </row>
    <row r="691" spans="2:7" ht="14.25" customHeight="1" x14ac:dyDescent="0.3">
      <c r="B691" s="8"/>
      <c r="E691" s="8"/>
      <c r="G691" s="8"/>
    </row>
    <row r="692" spans="2:7" ht="14.25" customHeight="1" x14ac:dyDescent="0.3">
      <c r="B692" s="8"/>
      <c r="E692" s="8"/>
      <c r="G692" s="8"/>
    </row>
    <row r="693" spans="2:7" ht="14.25" customHeight="1" x14ac:dyDescent="0.3">
      <c r="B693" s="8"/>
      <c r="E693" s="8"/>
      <c r="G693" s="8"/>
    </row>
    <row r="694" spans="2:7" ht="14.25" customHeight="1" x14ac:dyDescent="0.3">
      <c r="B694" s="8"/>
      <c r="E694" s="8"/>
      <c r="G694" s="8"/>
    </row>
    <row r="695" spans="2:7" ht="14.25" customHeight="1" x14ac:dyDescent="0.3">
      <c r="B695" s="8"/>
      <c r="E695" s="8"/>
      <c r="G695" s="8"/>
    </row>
    <row r="696" spans="2:7" ht="14.25" customHeight="1" x14ac:dyDescent="0.3">
      <c r="B696" s="8"/>
      <c r="E696" s="8"/>
      <c r="G696" s="8"/>
    </row>
    <row r="697" spans="2:7" ht="14.25" customHeight="1" x14ac:dyDescent="0.3">
      <c r="B697" s="8"/>
      <c r="E697" s="8"/>
      <c r="G697" s="8"/>
    </row>
    <row r="698" spans="2:7" ht="14.25" customHeight="1" x14ac:dyDescent="0.3">
      <c r="B698" s="8"/>
      <c r="E698" s="8"/>
      <c r="G698" s="8"/>
    </row>
    <row r="699" spans="2:7" ht="14.25" customHeight="1" x14ac:dyDescent="0.3">
      <c r="B699" s="8"/>
      <c r="E699" s="8"/>
      <c r="G699" s="8"/>
    </row>
    <row r="700" spans="2:7" ht="14.25" customHeight="1" x14ac:dyDescent="0.3">
      <c r="B700" s="8"/>
      <c r="E700" s="8"/>
      <c r="G700" s="8"/>
    </row>
    <row r="701" spans="2:7" ht="14.25" customHeight="1" x14ac:dyDescent="0.3">
      <c r="B701" s="8"/>
      <c r="E701" s="8"/>
      <c r="G701" s="8"/>
    </row>
    <row r="702" spans="2:7" ht="14.25" customHeight="1" x14ac:dyDescent="0.3">
      <c r="B702" s="8"/>
      <c r="E702" s="8"/>
      <c r="G702" s="8"/>
    </row>
    <row r="703" spans="2:7" ht="14.25" customHeight="1" x14ac:dyDescent="0.3">
      <c r="B703" s="8"/>
      <c r="E703" s="8"/>
      <c r="G703" s="8"/>
    </row>
    <row r="704" spans="2:7" ht="14.25" customHeight="1" x14ac:dyDescent="0.3">
      <c r="B704" s="8"/>
      <c r="E704" s="8"/>
      <c r="G704" s="8"/>
    </row>
    <row r="705" spans="2:7" ht="14.25" customHeight="1" x14ac:dyDescent="0.3">
      <c r="B705" s="8"/>
      <c r="E705" s="8"/>
      <c r="G705" s="8"/>
    </row>
    <row r="706" spans="2:7" ht="14.25" customHeight="1" x14ac:dyDescent="0.3">
      <c r="B706" s="8"/>
      <c r="E706" s="8"/>
      <c r="G706" s="8"/>
    </row>
    <row r="707" spans="2:7" ht="14.25" customHeight="1" x14ac:dyDescent="0.3">
      <c r="B707" s="8"/>
      <c r="E707" s="8"/>
      <c r="G707" s="8"/>
    </row>
    <row r="708" spans="2:7" ht="14.25" customHeight="1" x14ac:dyDescent="0.3">
      <c r="B708" s="8"/>
      <c r="E708" s="8"/>
      <c r="G708" s="8"/>
    </row>
    <row r="709" spans="2:7" ht="14.25" customHeight="1" x14ac:dyDescent="0.3">
      <c r="B709" s="8"/>
      <c r="E709" s="8"/>
      <c r="G709" s="8"/>
    </row>
    <row r="710" spans="2:7" ht="14.25" customHeight="1" x14ac:dyDescent="0.3">
      <c r="B710" s="8"/>
      <c r="E710" s="8"/>
      <c r="G710" s="8"/>
    </row>
    <row r="711" spans="2:7" ht="14.25" customHeight="1" x14ac:dyDescent="0.3">
      <c r="B711" s="8"/>
      <c r="E711" s="8"/>
      <c r="G711" s="8"/>
    </row>
    <row r="712" spans="2:7" ht="14.25" customHeight="1" x14ac:dyDescent="0.3">
      <c r="B712" s="8"/>
      <c r="E712" s="8"/>
      <c r="G712" s="8"/>
    </row>
    <row r="713" spans="2:7" ht="14.25" customHeight="1" x14ac:dyDescent="0.3">
      <c r="B713" s="8"/>
      <c r="E713" s="8"/>
      <c r="G713" s="8"/>
    </row>
    <row r="714" spans="2:7" ht="14.25" customHeight="1" x14ac:dyDescent="0.3">
      <c r="B714" s="8"/>
      <c r="E714" s="8"/>
      <c r="G714" s="8"/>
    </row>
    <row r="715" spans="2:7" ht="14.25" customHeight="1" x14ac:dyDescent="0.3">
      <c r="B715" s="8"/>
      <c r="E715" s="8"/>
      <c r="G715" s="8"/>
    </row>
    <row r="716" spans="2:7" ht="14.25" customHeight="1" x14ac:dyDescent="0.3">
      <c r="B716" s="8"/>
      <c r="E716" s="8"/>
      <c r="G716" s="8"/>
    </row>
    <row r="717" spans="2:7" ht="14.25" customHeight="1" x14ac:dyDescent="0.3">
      <c r="B717" s="8"/>
      <c r="E717" s="8"/>
      <c r="G717" s="8"/>
    </row>
    <row r="718" spans="2:7" ht="14.25" customHeight="1" x14ac:dyDescent="0.3">
      <c r="B718" s="8"/>
      <c r="E718" s="8"/>
      <c r="G718" s="8"/>
    </row>
    <row r="719" spans="2:7" ht="14.25" customHeight="1" x14ac:dyDescent="0.3">
      <c r="B719" s="8"/>
      <c r="E719" s="8"/>
      <c r="G719" s="8"/>
    </row>
    <row r="720" spans="2:7" ht="14.25" customHeight="1" x14ac:dyDescent="0.3">
      <c r="B720" s="8"/>
      <c r="E720" s="8"/>
      <c r="G720" s="8"/>
    </row>
    <row r="721" spans="2:7" ht="14.25" customHeight="1" x14ac:dyDescent="0.3">
      <c r="B721" s="8"/>
      <c r="E721" s="8"/>
      <c r="G721" s="8"/>
    </row>
    <row r="722" spans="2:7" ht="14.25" customHeight="1" x14ac:dyDescent="0.3">
      <c r="B722" s="8"/>
      <c r="E722" s="8"/>
      <c r="G722" s="8"/>
    </row>
    <row r="723" spans="2:7" ht="14.25" customHeight="1" x14ac:dyDescent="0.3">
      <c r="B723" s="8"/>
      <c r="E723" s="8"/>
      <c r="G723" s="8"/>
    </row>
    <row r="724" spans="2:7" ht="14.25" customHeight="1" x14ac:dyDescent="0.3">
      <c r="B724" s="8"/>
      <c r="E724" s="8"/>
      <c r="G724" s="8"/>
    </row>
    <row r="725" spans="2:7" ht="14.25" customHeight="1" x14ac:dyDescent="0.3">
      <c r="B725" s="8"/>
      <c r="E725" s="8"/>
      <c r="G725" s="8"/>
    </row>
    <row r="726" spans="2:7" ht="14.25" customHeight="1" x14ac:dyDescent="0.3">
      <c r="B726" s="8"/>
      <c r="E726" s="8"/>
      <c r="G726" s="8"/>
    </row>
    <row r="727" spans="2:7" ht="14.25" customHeight="1" x14ac:dyDescent="0.3">
      <c r="B727" s="8"/>
      <c r="E727" s="8"/>
      <c r="G727" s="8"/>
    </row>
    <row r="728" spans="2:7" ht="14.25" customHeight="1" x14ac:dyDescent="0.3">
      <c r="B728" s="8"/>
      <c r="E728" s="8"/>
      <c r="G728" s="8"/>
    </row>
    <row r="729" spans="2:7" ht="14.25" customHeight="1" x14ac:dyDescent="0.3">
      <c r="B729" s="8"/>
      <c r="E729" s="8"/>
      <c r="G729" s="8"/>
    </row>
    <row r="730" spans="2:7" ht="14.25" customHeight="1" x14ac:dyDescent="0.3">
      <c r="B730" s="8"/>
      <c r="E730" s="8"/>
      <c r="G730" s="8"/>
    </row>
    <row r="731" spans="2:7" ht="14.25" customHeight="1" x14ac:dyDescent="0.3">
      <c r="B731" s="8"/>
      <c r="E731" s="8"/>
      <c r="G731" s="8"/>
    </row>
    <row r="732" spans="2:7" ht="14.25" customHeight="1" x14ac:dyDescent="0.3">
      <c r="B732" s="8"/>
      <c r="E732" s="8"/>
      <c r="G732" s="8"/>
    </row>
    <row r="733" spans="2:7" ht="14.25" customHeight="1" x14ac:dyDescent="0.3">
      <c r="B733" s="8"/>
      <c r="E733" s="8"/>
      <c r="G733" s="8"/>
    </row>
    <row r="734" spans="2:7" ht="14.25" customHeight="1" x14ac:dyDescent="0.3">
      <c r="B734" s="8"/>
      <c r="E734" s="8"/>
      <c r="G734" s="8"/>
    </row>
    <row r="735" spans="2:7" ht="14.25" customHeight="1" x14ac:dyDescent="0.3">
      <c r="B735" s="8"/>
      <c r="E735" s="8"/>
      <c r="G735" s="8"/>
    </row>
    <row r="736" spans="2:7" ht="14.25" customHeight="1" x14ac:dyDescent="0.3">
      <c r="B736" s="8"/>
      <c r="E736" s="8"/>
      <c r="G736" s="8"/>
    </row>
    <row r="737" spans="2:7" ht="14.25" customHeight="1" x14ac:dyDescent="0.3">
      <c r="B737" s="8"/>
      <c r="E737" s="8"/>
      <c r="G737" s="8"/>
    </row>
    <row r="738" spans="2:7" ht="14.25" customHeight="1" x14ac:dyDescent="0.3">
      <c r="B738" s="8"/>
      <c r="E738" s="8"/>
      <c r="G738" s="8"/>
    </row>
    <row r="739" spans="2:7" ht="14.25" customHeight="1" x14ac:dyDescent="0.3">
      <c r="B739" s="8"/>
      <c r="E739" s="8"/>
      <c r="G739" s="8"/>
    </row>
    <row r="740" spans="2:7" ht="14.25" customHeight="1" x14ac:dyDescent="0.3">
      <c r="B740" s="8"/>
      <c r="E740" s="8"/>
      <c r="G740" s="8"/>
    </row>
    <row r="741" spans="2:7" ht="14.25" customHeight="1" x14ac:dyDescent="0.3">
      <c r="B741" s="8"/>
      <c r="E741" s="8"/>
      <c r="G741" s="8"/>
    </row>
    <row r="742" spans="2:7" ht="14.25" customHeight="1" x14ac:dyDescent="0.3">
      <c r="B742" s="8"/>
      <c r="E742" s="8"/>
      <c r="G742" s="8"/>
    </row>
    <row r="743" spans="2:7" ht="14.25" customHeight="1" x14ac:dyDescent="0.3">
      <c r="B743" s="8"/>
      <c r="E743" s="8"/>
      <c r="G743" s="8"/>
    </row>
    <row r="744" spans="2:7" ht="14.25" customHeight="1" x14ac:dyDescent="0.3">
      <c r="B744" s="8"/>
      <c r="E744" s="8"/>
      <c r="G744" s="8"/>
    </row>
    <row r="745" spans="2:7" ht="14.25" customHeight="1" x14ac:dyDescent="0.3">
      <c r="B745" s="8"/>
      <c r="E745" s="8"/>
      <c r="G745" s="8"/>
    </row>
    <row r="746" spans="2:7" ht="14.25" customHeight="1" x14ac:dyDescent="0.3">
      <c r="B746" s="8"/>
      <c r="E746" s="8"/>
      <c r="G746" s="8"/>
    </row>
    <row r="747" spans="2:7" ht="14.25" customHeight="1" x14ac:dyDescent="0.3">
      <c r="B747" s="8"/>
      <c r="E747" s="8"/>
      <c r="G747" s="8"/>
    </row>
    <row r="748" spans="2:7" ht="14.25" customHeight="1" x14ac:dyDescent="0.3">
      <c r="B748" s="8"/>
      <c r="E748" s="8"/>
      <c r="G748" s="8"/>
    </row>
    <row r="749" spans="2:7" ht="14.25" customHeight="1" x14ac:dyDescent="0.3">
      <c r="B749" s="8"/>
      <c r="E749" s="8"/>
      <c r="G749" s="8"/>
    </row>
    <row r="750" spans="2:7" ht="14.25" customHeight="1" x14ac:dyDescent="0.3">
      <c r="B750" s="8"/>
      <c r="E750" s="8"/>
      <c r="G750" s="8"/>
    </row>
    <row r="751" spans="2:7" ht="14.25" customHeight="1" x14ac:dyDescent="0.3">
      <c r="B751" s="8"/>
      <c r="E751" s="8"/>
      <c r="G751" s="8"/>
    </row>
    <row r="752" spans="2:7" ht="14.25" customHeight="1" x14ac:dyDescent="0.3">
      <c r="B752" s="8"/>
      <c r="E752" s="8"/>
      <c r="G752" s="8"/>
    </row>
    <row r="753" spans="2:7" ht="14.25" customHeight="1" x14ac:dyDescent="0.3">
      <c r="B753" s="8"/>
      <c r="E753" s="8"/>
      <c r="G753" s="8"/>
    </row>
    <row r="754" spans="2:7" ht="14.25" customHeight="1" x14ac:dyDescent="0.3">
      <c r="B754" s="8"/>
      <c r="E754" s="8"/>
      <c r="G754" s="8"/>
    </row>
    <row r="755" spans="2:7" ht="14.25" customHeight="1" x14ac:dyDescent="0.3">
      <c r="B755" s="8"/>
      <c r="E755" s="8"/>
      <c r="G755" s="8"/>
    </row>
    <row r="756" spans="2:7" ht="14.25" customHeight="1" x14ac:dyDescent="0.3">
      <c r="B756" s="8"/>
      <c r="E756" s="8"/>
      <c r="G756" s="8"/>
    </row>
    <row r="757" spans="2:7" ht="14.25" customHeight="1" x14ac:dyDescent="0.3">
      <c r="B757" s="8"/>
      <c r="E757" s="8"/>
      <c r="G757" s="8"/>
    </row>
    <row r="758" spans="2:7" ht="14.25" customHeight="1" x14ac:dyDescent="0.3">
      <c r="B758" s="8"/>
      <c r="E758" s="8"/>
      <c r="G758" s="8"/>
    </row>
    <row r="759" spans="2:7" ht="14.25" customHeight="1" x14ac:dyDescent="0.3">
      <c r="B759" s="8"/>
      <c r="E759" s="8"/>
      <c r="G759" s="8"/>
    </row>
    <row r="760" spans="2:7" ht="14.25" customHeight="1" x14ac:dyDescent="0.3">
      <c r="B760" s="8"/>
      <c r="E760" s="8"/>
      <c r="G760" s="8"/>
    </row>
    <row r="761" spans="2:7" ht="14.25" customHeight="1" x14ac:dyDescent="0.3">
      <c r="B761" s="8"/>
      <c r="E761" s="8"/>
      <c r="G761" s="8"/>
    </row>
    <row r="762" spans="2:7" ht="14.25" customHeight="1" x14ac:dyDescent="0.3">
      <c r="B762" s="8"/>
      <c r="E762" s="8"/>
      <c r="G762" s="8"/>
    </row>
    <row r="763" spans="2:7" ht="14.25" customHeight="1" x14ac:dyDescent="0.3">
      <c r="B763" s="8"/>
      <c r="E763" s="8"/>
      <c r="G763" s="8"/>
    </row>
    <row r="764" spans="2:7" ht="14.25" customHeight="1" x14ac:dyDescent="0.3">
      <c r="B764" s="8"/>
      <c r="E764" s="8"/>
      <c r="G764" s="8"/>
    </row>
    <row r="765" spans="2:7" ht="14.25" customHeight="1" x14ac:dyDescent="0.3">
      <c r="B765" s="8"/>
      <c r="E765" s="8"/>
      <c r="G765" s="8"/>
    </row>
    <row r="766" spans="2:7" ht="14.25" customHeight="1" x14ac:dyDescent="0.3">
      <c r="B766" s="8"/>
      <c r="E766" s="8"/>
      <c r="G766" s="8"/>
    </row>
    <row r="767" spans="2:7" ht="14.25" customHeight="1" x14ac:dyDescent="0.3">
      <c r="B767" s="8"/>
      <c r="E767" s="8"/>
      <c r="G767" s="8"/>
    </row>
    <row r="768" spans="2:7" ht="14.25" customHeight="1" x14ac:dyDescent="0.3">
      <c r="B768" s="8"/>
      <c r="E768" s="8"/>
      <c r="G768" s="8"/>
    </row>
    <row r="769" spans="2:7" ht="14.25" customHeight="1" x14ac:dyDescent="0.3">
      <c r="B769" s="8"/>
      <c r="E769" s="8"/>
      <c r="G769" s="8"/>
    </row>
    <row r="770" spans="2:7" ht="14.25" customHeight="1" x14ac:dyDescent="0.3">
      <c r="B770" s="8"/>
      <c r="E770" s="8"/>
      <c r="G770" s="8"/>
    </row>
    <row r="771" spans="2:7" ht="14.25" customHeight="1" x14ac:dyDescent="0.3">
      <c r="B771" s="8"/>
      <c r="E771" s="8"/>
      <c r="G771" s="8"/>
    </row>
    <row r="772" spans="2:7" ht="14.25" customHeight="1" x14ac:dyDescent="0.3">
      <c r="B772" s="8"/>
      <c r="E772" s="8"/>
      <c r="G772" s="8"/>
    </row>
    <row r="773" spans="2:7" ht="14.25" customHeight="1" x14ac:dyDescent="0.3">
      <c r="B773" s="8"/>
      <c r="E773" s="8"/>
      <c r="G773" s="8"/>
    </row>
    <row r="774" spans="2:7" ht="14.25" customHeight="1" x14ac:dyDescent="0.3">
      <c r="B774" s="8"/>
      <c r="E774" s="8"/>
      <c r="G774" s="8"/>
    </row>
    <row r="775" spans="2:7" ht="14.25" customHeight="1" x14ac:dyDescent="0.3">
      <c r="B775" s="8"/>
      <c r="E775" s="8"/>
      <c r="G775" s="8"/>
    </row>
    <row r="776" spans="2:7" ht="14.25" customHeight="1" x14ac:dyDescent="0.3">
      <c r="B776" s="8"/>
      <c r="E776" s="8"/>
      <c r="G776" s="8"/>
    </row>
    <row r="777" spans="2:7" ht="14.25" customHeight="1" x14ac:dyDescent="0.3">
      <c r="B777" s="8"/>
      <c r="E777" s="8"/>
      <c r="G777" s="8"/>
    </row>
    <row r="778" spans="2:7" ht="14.25" customHeight="1" x14ac:dyDescent="0.3">
      <c r="B778" s="8"/>
      <c r="E778" s="8"/>
      <c r="G778" s="8"/>
    </row>
    <row r="779" spans="2:7" ht="14.25" customHeight="1" x14ac:dyDescent="0.3">
      <c r="B779" s="8"/>
      <c r="E779" s="8"/>
      <c r="G779" s="8"/>
    </row>
    <row r="780" spans="2:7" ht="14.25" customHeight="1" x14ac:dyDescent="0.3">
      <c r="B780" s="8"/>
      <c r="E780" s="8"/>
      <c r="G780" s="8"/>
    </row>
    <row r="781" spans="2:7" ht="14.25" customHeight="1" x14ac:dyDescent="0.3">
      <c r="B781" s="8"/>
      <c r="E781" s="8"/>
      <c r="G781" s="8"/>
    </row>
    <row r="782" spans="2:7" ht="14.25" customHeight="1" x14ac:dyDescent="0.3">
      <c r="B782" s="8"/>
      <c r="E782" s="8"/>
      <c r="G782" s="8"/>
    </row>
    <row r="783" spans="2:7" ht="14.25" customHeight="1" x14ac:dyDescent="0.3">
      <c r="B783" s="8"/>
      <c r="E783" s="8"/>
      <c r="G783" s="8"/>
    </row>
    <row r="784" spans="2:7" ht="14.25" customHeight="1" x14ac:dyDescent="0.3">
      <c r="B784" s="8"/>
      <c r="E784" s="8"/>
      <c r="G784" s="8"/>
    </row>
    <row r="785" spans="2:7" ht="14.25" customHeight="1" x14ac:dyDescent="0.3">
      <c r="B785" s="8"/>
      <c r="E785" s="8"/>
      <c r="G785" s="8"/>
    </row>
    <row r="786" spans="2:7" ht="14.25" customHeight="1" x14ac:dyDescent="0.3">
      <c r="B786" s="8"/>
      <c r="E786" s="8"/>
      <c r="G786" s="8"/>
    </row>
    <row r="787" spans="2:7" ht="14.25" customHeight="1" x14ac:dyDescent="0.3">
      <c r="B787" s="8"/>
      <c r="E787" s="8"/>
      <c r="G787" s="8"/>
    </row>
    <row r="788" spans="2:7" ht="14.25" customHeight="1" x14ac:dyDescent="0.3">
      <c r="B788" s="8"/>
      <c r="E788" s="8"/>
      <c r="G788" s="8"/>
    </row>
    <row r="789" spans="2:7" ht="14.25" customHeight="1" x14ac:dyDescent="0.3">
      <c r="B789" s="8"/>
      <c r="E789" s="8"/>
      <c r="G789" s="8"/>
    </row>
    <row r="790" spans="2:7" ht="14.25" customHeight="1" x14ac:dyDescent="0.3">
      <c r="B790" s="8"/>
      <c r="E790" s="8"/>
      <c r="G790" s="8"/>
    </row>
    <row r="791" spans="2:7" ht="14.25" customHeight="1" x14ac:dyDescent="0.3">
      <c r="B791" s="8"/>
      <c r="E791" s="8"/>
      <c r="G791" s="8"/>
    </row>
    <row r="792" spans="2:7" ht="14.25" customHeight="1" x14ac:dyDescent="0.3">
      <c r="B792" s="8"/>
      <c r="E792" s="8"/>
      <c r="G792" s="8"/>
    </row>
    <row r="793" spans="2:7" ht="14.25" customHeight="1" x14ac:dyDescent="0.3">
      <c r="B793" s="8"/>
      <c r="E793" s="8"/>
      <c r="G793" s="8"/>
    </row>
    <row r="794" spans="2:7" ht="14.25" customHeight="1" x14ac:dyDescent="0.3">
      <c r="B794" s="8"/>
      <c r="E794" s="8"/>
      <c r="G794" s="8"/>
    </row>
    <row r="795" spans="2:7" ht="14.25" customHeight="1" x14ac:dyDescent="0.3">
      <c r="B795" s="8"/>
      <c r="E795" s="8"/>
      <c r="G795" s="8"/>
    </row>
    <row r="796" spans="2:7" ht="14.25" customHeight="1" x14ac:dyDescent="0.3">
      <c r="B796" s="8"/>
      <c r="E796" s="8"/>
      <c r="G796" s="8"/>
    </row>
    <row r="797" spans="2:7" ht="14.25" customHeight="1" x14ac:dyDescent="0.3">
      <c r="B797" s="8"/>
      <c r="E797" s="8"/>
      <c r="G797" s="8"/>
    </row>
    <row r="798" spans="2:7" ht="14.25" customHeight="1" x14ac:dyDescent="0.3">
      <c r="B798" s="8"/>
      <c r="E798" s="8"/>
      <c r="G798" s="8"/>
    </row>
    <row r="799" spans="2:7" ht="14.25" customHeight="1" x14ac:dyDescent="0.3">
      <c r="B799" s="8"/>
      <c r="E799" s="8"/>
      <c r="G799" s="8"/>
    </row>
    <row r="800" spans="2:7" ht="14.25" customHeight="1" x14ac:dyDescent="0.3">
      <c r="B800" s="8"/>
      <c r="E800" s="8"/>
      <c r="G800" s="8"/>
    </row>
    <row r="801" spans="2:7" ht="14.25" customHeight="1" x14ac:dyDescent="0.3">
      <c r="B801" s="8"/>
      <c r="E801" s="8"/>
      <c r="G801" s="8"/>
    </row>
    <row r="802" spans="2:7" ht="14.25" customHeight="1" x14ac:dyDescent="0.3">
      <c r="B802" s="8"/>
      <c r="E802" s="8"/>
      <c r="G802" s="8"/>
    </row>
    <row r="803" spans="2:7" ht="14.25" customHeight="1" x14ac:dyDescent="0.3">
      <c r="B803" s="8"/>
      <c r="E803" s="8"/>
      <c r="G803" s="8"/>
    </row>
    <row r="804" spans="2:7" ht="14.25" customHeight="1" x14ac:dyDescent="0.3">
      <c r="B804" s="8"/>
      <c r="E804" s="8"/>
      <c r="G804" s="8"/>
    </row>
    <row r="805" spans="2:7" ht="14.25" customHeight="1" x14ac:dyDescent="0.3">
      <c r="B805" s="8"/>
      <c r="E805" s="8"/>
      <c r="G805" s="8"/>
    </row>
    <row r="806" spans="2:7" ht="14.25" customHeight="1" x14ac:dyDescent="0.3">
      <c r="B806" s="8"/>
      <c r="E806" s="8"/>
      <c r="G806" s="8"/>
    </row>
    <row r="807" spans="2:7" ht="14.25" customHeight="1" x14ac:dyDescent="0.3">
      <c r="B807" s="8"/>
      <c r="E807" s="8"/>
      <c r="G807" s="8"/>
    </row>
    <row r="808" spans="2:7" ht="14.25" customHeight="1" x14ac:dyDescent="0.3">
      <c r="B808" s="8"/>
      <c r="E808" s="8"/>
      <c r="G808" s="8"/>
    </row>
    <row r="809" spans="2:7" ht="14.25" customHeight="1" x14ac:dyDescent="0.3">
      <c r="B809" s="8"/>
      <c r="E809" s="8"/>
      <c r="G809" s="8"/>
    </row>
    <row r="810" spans="2:7" ht="14.25" customHeight="1" x14ac:dyDescent="0.3">
      <c r="B810" s="8"/>
      <c r="E810" s="8"/>
      <c r="G810" s="8"/>
    </row>
    <row r="811" spans="2:7" ht="14.25" customHeight="1" x14ac:dyDescent="0.3">
      <c r="B811" s="8"/>
      <c r="E811" s="8"/>
      <c r="G811" s="8"/>
    </row>
    <row r="812" spans="2:7" ht="14.25" customHeight="1" x14ac:dyDescent="0.3">
      <c r="B812" s="8"/>
      <c r="E812" s="8"/>
      <c r="G812" s="8"/>
    </row>
    <row r="813" spans="2:7" ht="14.25" customHeight="1" x14ac:dyDescent="0.3">
      <c r="B813" s="8"/>
      <c r="E813" s="8"/>
      <c r="G813" s="8"/>
    </row>
    <row r="814" spans="2:7" ht="14.25" customHeight="1" x14ac:dyDescent="0.3">
      <c r="B814" s="8"/>
      <c r="E814" s="8"/>
      <c r="G814" s="8"/>
    </row>
    <row r="815" spans="2:7" ht="14.25" customHeight="1" x14ac:dyDescent="0.3">
      <c r="B815" s="8"/>
      <c r="E815" s="8"/>
      <c r="G815" s="8"/>
    </row>
    <row r="816" spans="2:7" ht="14.25" customHeight="1" x14ac:dyDescent="0.3">
      <c r="B816" s="8"/>
      <c r="E816" s="8"/>
      <c r="G816" s="8"/>
    </row>
    <row r="817" spans="2:7" ht="14.25" customHeight="1" x14ac:dyDescent="0.3">
      <c r="B817" s="8"/>
      <c r="E817" s="8"/>
      <c r="G817" s="8"/>
    </row>
    <row r="818" spans="2:7" ht="14.25" customHeight="1" x14ac:dyDescent="0.3">
      <c r="B818" s="8"/>
      <c r="E818" s="8"/>
      <c r="G818" s="8"/>
    </row>
    <row r="819" spans="2:7" ht="14.25" customHeight="1" x14ac:dyDescent="0.3">
      <c r="B819" s="8"/>
      <c r="E819" s="8"/>
      <c r="G819" s="8"/>
    </row>
    <row r="820" spans="2:7" ht="14.25" customHeight="1" x14ac:dyDescent="0.3">
      <c r="B820" s="8"/>
      <c r="E820" s="8"/>
      <c r="G820" s="8"/>
    </row>
    <row r="821" spans="2:7" ht="14.25" customHeight="1" x14ac:dyDescent="0.3">
      <c r="B821" s="8"/>
      <c r="E821" s="8"/>
      <c r="G821" s="8"/>
    </row>
    <row r="822" spans="2:7" ht="14.25" customHeight="1" x14ac:dyDescent="0.3">
      <c r="B822" s="8"/>
      <c r="E822" s="8"/>
      <c r="G822" s="8"/>
    </row>
    <row r="823" spans="2:7" ht="14.25" customHeight="1" x14ac:dyDescent="0.3">
      <c r="B823" s="8"/>
      <c r="E823" s="8"/>
      <c r="G823" s="8"/>
    </row>
    <row r="824" spans="2:7" ht="14.25" customHeight="1" x14ac:dyDescent="0.3">
      <c r="B824" s="8"/>
      <c r="E824" s="8"/>
      <c r="G824" s="8"/>
    </row>
    <row r="825" spans="2:7" ht="14.25" customHeight="1" x14ac:dyDescent="0.3">
      <c r="B825" s="8"/>
      <c r="E825" s="8"/>
      <c r="G825" s="8"/>
    </row>
    <row r="826" spans="2:7" ht="14.25" customHeight="1" x14ac:dyDescent="0.3">
      <c r="B826" s="8"/>
      <c r="E826" s="8"/>
      <c r="G826" s="8"/>
    </row>
    <row r="827" spans="2:7" ht="14.25" customHeight="1" x14ac:dyDescent="0.3">
      <c r="B827" s="8"/>
      <c r="E827" s="8"/>
      <c r="G827" s="8"/>
    </row>
    <row r="828" spans="2:7" ht="14.25" customHeight="1" x14ac:dyDescent="0.3">
      <c r="B828" s="8"/>
      <c r="E828" s="8"/>
      <c r="G828" s="8"/>
    </row>
    <row r="829" spans="2:7" ht="14.25" customHeight="1" x14ac:dyDescent="0.3">
      <c r="B829" s="8"/>
      <c r="E829" s="8"/>
      <c r="G829" s="8"/>
    </row>
    <row r="830" spans="2:7" ht="14.25" customHeight="1" x14ac:dyDescent="0.3">
      <c r="B830" s="8"/>
      <c r="E830" s="8"/>
      <c r="G830" s="8"/>
    </row>
    <row r="831" spans="2:7" ht="14.25" customHeight="1" x14ac:dyDescent="0.3">
      <c r="B831" s="8"/>
      <c r="E831" s="8"/>
      <c r="G831" s="8"/>
    </row>
    <row r="832" spans="2:7" ht="14.25" customHeight="1" x14ac:dyDescent="0.3">
      <c r="B832" s="8"/>
      <c r="E832" s="8"/>
      <c r="G832" s="8"/>
    </row>
    <row r="833" spans="2:7" ht="14.25" customHeight="1" x14ac:dyDescent="0.3">
      <c r="B833" s="8"/>
      <c r="E833" s="8"/>
      <c r="G833" s="8"/>
    </row>
    <row r="834" spans="2:7" ht="14.25" customHeight="1" x14ac:dyDescent="0.3">
      <c r="B834" s="8"/>
      <c r="E834" s="8"/>
      <c r="G834" s="8"/>
    </row>
    <row r="835" spans="2:7" ht="14.25" customHeight="1" x14ac:dyDescent="0.3">
      <c r="B835" s="8"/>
      <c r="E835" s="8"/>
      <c r="G835" s="8"/>
    </row>
    <row r="836" spans="2:7" ht="14.25" customHeight="1" x14ac:dyDescent="0.3">
      <c r="B836" s="8"/>
      <c r="E836" s="8"/>
      <c r="G836" s="8"/>
    </row>
    <row r="837" spans="2:7" ht="14.25" customHeight="1" x14ac:dyDescent="0.3">
      <c r="B837" s="8"/>
      <c r="E837" s="8"/>
      <c r="G837" s="8"/>
    </row>
    <row r="838" spans="2:7" ht="14.25" customHeight="1" x14ac:dyDescent="0.3">
      <c r="B838" s="8"/>
      <c r="E838" s="8"/>
      <c r="G838" s="8"/>
    </row>
    <row r="839" spans="2:7" ht="14.25" customHeight="1" x14ac:dyDescent="0.3">
      <c r="B839" s="8"/>
      <c r="E839" s="8"/>
      <c r="G839" s="8"/>
    </row>
    <row r="840" spans="2:7" ht="14.25" customHeight="1" x14ac:dyDescent="0.3">
      <c r="B840" s="8"/>
      <c r="E840" s="8"/>
      <c r="G840" s="8"/>
    </row>
    <row r="841" spans="2:7" ht="14.25" customHeight="1" x14ac:dyDescent="0.3">
      <c r="B841" s="8"/>
      <c r="E841" s="8"/>
      <c r="G841" s="8"/>
    </row>
    <row r="842" spans="2:7" ht="14.25" customHeight="1" x14ac:dyDescent="0.3">
      <c r="B842" s="8"/>
      <c r="E842" s="8"/>
      <c r="G842" s="8"/>
    </row>
    <row r="843" spans="2:7" ht="14.25" customHeight="1" x14ac:dyDescent="0.3">
      <c r="B843" s="8"/>
      <c r="E843" s="8"/>
      <c r="G843" s="8"/>
    </row>
    <row r="844" spans="2:7" ht="14.25" customHeight="1" x14ac:dyDescent="0.3">
      <c r="B844" s="8"/>
      <c r="E844" s="8"/>
      <c r="G844" s="8"/>
    </row>
    <row r="845" spans="2:7" ht="14.25" customHeight="1" x14ac:dyDescent="0.3">
      <c r="B845" s="8"/>
      <c r="E845" s="8"/>
      <c r="G845" s="8"/>
    </row>
    <row r="846" spans="2:7" ht="14.25" customHeight="1" x14ac:dyDescent="0.3">
      <c r="B846" s="8"/>
      <c r="E846" s="8"/>
      <c r="G846" s="8"/>
    </row>
    <row r="847" spans="2:7" ht="14.25" customHeight="1" x14ac:dyDescent="0.3">
      <c r="B847" s="8"/>
      <c r="E847" s="8"/>
      <c r="G847" s="8"/>
    </row>
    <row r="848" spans="2:7" ht="14.25" customHeight="1" x14ac:dyDescent="0.3">
      <c r="B848" s="8"/>
      <c r="E848" s="8"/>
      <c r="G848" s="8"/>
    </row>
    <row r="849" spans="2:7" ht="14.25" customHeight="1" x14ac:dyDescent="0.3">
      <c r="B849" s="8"/>
      <c r="E849" s="8"/>
      <c r="G849" s="8"/>
    </row>
    <row r="850" spans="2:7" ht="14.25" customHeight="1" x14ac:dyDescent="0.3">
      <c r="B850" s="8"/>
      <c r="E850" s="8"/>
      <c r="G850" s="8"/>
    </row>
    <row r="851" spans="2:7" ht="14.25" customHeight="1" x14ac:dyDescent="0.3">
      <c r="B851" s="8"/>
      <c r="E851" s="8"/>
      <c r="G851" s="8"/>
    </row>
    <row r="852" spans="2:7" ht="14.25" customHeight="1" x14ac:dyDescent="0.3">
      <c r="B852" s="8"/>
      <c r="E852" s="8"/>
      <c r="G852" s="8"/>
    </row>
    <row r="853" spans="2:7" ht="14.25" customHeight="1" x14ac:dyDescent="0.3">
      <c r="B853" s="8"/>
      <c r="E853" s="8"/>
      <c r="G853" s="8"/>
    </row>
    <row r="854" spans="2:7" ht="14.25" customHeight="1" x14ac:dyDescent="0.3">
      <c r="B854" s="8"/>
      <c r="E854" s="8"/>
      <c r="G854" s="8"/>
    </row>
    <row r="855" spans="2:7" ht="14.25" customHeight="1" x14ac:dyDescent="0.3">
      <c r="B855" s="8"/>
      <c r="E855" s="8"/>
      <c r="G855" s="8"/>
    </row>
    <row r="856" spans="2:7" ht="14.25" customHeight="1" x14ac:dyDescent="0.3">
      <c r="B856" s="8"/>
      <c r="E856" s="8"/>
      <c r="G856" s="8"/>
    </row>
    <row r="857" spans="2:7" ht="14.25" customHeight="1" x14ac:dyDescent="0.3">
      <c r="B857" s="8"/>
      <c r="E857" s="8"/>
      <c r="G857" s="8"/>
    </row>
    <row r="858" spans="2:7" ht="14.25" customHeight="1" x14ac:dyDescent="0.3">
      <c r="B858" s="8"/>
      <c r="E858" s="8"/>
      <c r="G858" s="8"/>
    </row>
    <row r="859" spans="2:7" ht="14.25" customHeight="1" x14ac:dyDescent="0.3">
      <c r="B859" s="8"/>
      <c r="E859" s="8"/>
      <c r="G859" s="8"/>
    </row>
    <row r="860" spans="2:7" ht="14.25" customHeight="1" x14ac:dyDescent="0.3">
      <c r="B860" s="8"/>
      <c r="E860" s="8"/>
      <c r="G860" s="8"/>
    </row>
    <row r="861" spans="2:7" ht="14.25" customHeight="1" x14ac:dyDescent="0.3">
      <c r="B861" s="8"/>
      <c r="E861" s="8"/>
      <c r="G861" s="8"/>
    </row>
    <row r="862" spans="2:7" ht="14.25" customHeight="1" x14ac:dyDescent="0.3">
      <c r="B862" s="8"/>
      <c r="E862" s="8"/>
      <c r="G862" s="8"/>
    </row>
    <row r="863" spans="2:7" ht="14.25" customHeight="1" x14ac:dyDescent="0.3">
      <c r="B863" s="8"/>
      <c r="E863" s="8"/>
      <c r="G863" s="8"/>
    </row>
    <row r="864" spans="2:7" ht="14.25" customHeight="1" x14ac:dyDescent="0.3">
      <c r="B864" s="8"/>
      <c r="E864" s="8"/>
      <c r="G864" s="8"/>
    </row>
    <row r="865" spans="2:7" ht="14.25" customHeight="1" x14ac:dyDescent="0.3">
      <c r="B865" s="8"/>
      <c r="E865" s="8"/>
      <c r="G865" s="8"/>
    </row>
    <row r="866" spans="2:7" ht="14.25" customHeight="1" x14ac:dyDescent="0.3">
      <c r="B866" s="8"/>
      <c r="E866" s="8"/>
      <c r="G866" s="8"/>
    </row>
    <row r="867" spans="2:7" ht="14.25" customHeight="1" x14ac:dyDescent="0.3">
      <c r="B867" s="8"/>
      <c r="E867" s="8"/>
      <c r="G867" s="8"/>
    </row>
    <row r="868" spans="2:7" ht="14.25" customHeight="1" x14ac:dyDescent="0.3">
      <c r="B868" s="8"/>
      <c r="E868" s="8"/>
      <c r="G868" s="8"/>
    </row>
    <row r="869" spans="2:7" ht="14.25" customHeight="1" x14ac:dyDescent="0.3">
      <c r="B869" s="8"/>
      <c r="E869" s="8"/>
      <c r="G869" s="8"/>
    </row>
    <row r="870" spans="2:7" ht="14.25" customHeight="1" x14ac:dyDescent="0.3">
      <c r="B870" s="8"/>
      <c r="E870" s="8"/>
      <c r="G870" s="8"/>
    </row>
    <row r="871" spans="2:7" ht="14.25" customHeight="1" x14ac:dyDescent="0.3">
      <c r="B871" s="8"/>
      <c r="E871" s="8"/>
      <c r="G871" s="8"/>
    </row>
    <row r="872" spans="2:7" ht="14.25" customHeight="1" x14ac:dyDescent="0.3">
      <c r="B872" s="8"/>
      <c r="E872" s="8"/>
      <c r="G872" s="8"/>
    </row>
    <row r="873" spans="2:7" ht="14.25" customHeight="1" x14ac:dyDescent="0.3">
      <c r="B873" s="8"/>
      <c r="E873" s="8"/>
      <c r="G873" s="8"/>
    </row>
    <row r="874" spans="2:7" ht="14.25" customHeight="1" x14ac:dyDescent="0.3">
      <c r="B874" s="8"/>
      <c r="E874" s="8"/>
      <c r="G874" s="8"/>
    </row>
    <row r="875" spans="2:7" ht="14.25" customHeight="1" x14ac:dyDescent="0.3">
      <c r="B875" s="8"/>
      <c r="E875" s="8"/>
      <c r="G875" s="8"/>
    </row>
    <row r="876" spans="2:7" ht="14.25" customHeight="1" x14ac:dyDescent="0.3">
      <c r="B876" s="8"/>
      <c r="E876" s="8"/>
      <c r="G876" s="8"/>
    </row>
    <row r="877" spans="2:7" ht="14.25" customHeight="1" x14ac:dyDescent="0.3">
      <c r="B877" s="8"/>
      <c r="E877" s="8"/>
      <c r="G877" s="8"/>
    </row>
    <row r="878" spans="2:7" ht="14.25" customHeight="1" x14ac:dyDescent="0.3">
      <c r="B878" s="8"/>
      <c r="E878" s="8"/>
      <c r="G878" s="8"/>
    </row>
    <row r="879" spans="2:7" ht="14.25" customHeight="1" x14ac:dyDescent="0.3">
      <c r="B879" s="8"/>
      <c r="E879" s="8"/>
      <c r="G879" s="8"/>
    </row>
    <row r="880" spans="2:7" ht="14.25" customHeight="1" x14ac:dyDescent="0.3">
      <c r="B880" s="8"/>
      <c r="E880" s="8"/>
      <c r="G880" s="8"/>
    </row>
    <row r="881" spans="2:7" ht="14.25" customHeight="1" x14ac:dyDescent="0.3">
      <c r="B881" s="8"/>
      <c r="E881" s="8"/>
      <c r="G881" s="8"/>
    </row>
    <row r="882" spans="2:7" ht="14.25" customHeight="1" x14ac:dyDescent="0.3">
      <c r="B882" s="8"/>
      <c r="E882" s="8"/>
      <c r="G882" s="8"/>
    </row>
    <row r="883" spans="2:7" ht="14.25" customHeight="1" x14ac:dyDescent="0.3">
      <c r="B883" s="8"/>
      <c r="E883" s="8"/>
      <c r="G883" s="8"/>
    </row>
    <row r="884" spans="2:7" ht="14.25" customHeight="1" x14ac:dyDescent="0.3">
      <c r="B884" s="8"/>
      <c r="E884" s="8"/>
      <c r="G884" s="8"/>
    </row>
    <row r="885" spans="2:7" ht="14.25" customHeight="1" x14ac:dyDescent="0.3">
      <c r="B885" s="8"/>
      <c r="E885" s="8"/>
      <c r="G885" s="8"/>
    </row>
    <row r="886" spans="2:7" ht="14.25" customHeight="1" x14ac:dyDescent="0.3">
      <c r="B886" s="8"/>
      <c r="E886" s="8"/>
      <c r="G886" s="8"/>
    </row>
    <row r="887" spans="2:7" ht="14.25" customHeight="1" x14ac:dyDescent="0.3">
      <c r="B887" s="8"/>
      <c r="E887" s="8"/>
      <c r="G887" s="8"/>
    </row>
    <row r="888" spans="2:7" ht="14.25" customHeight="1" x14ac:dyDescent="0.3">
      <c r="B888" s="8"/>
      <c r="E888" s="8"/>
      <c r="G888" s="8"/>
    </row>
    <row r="889" spans="2:7" ht="14.25" customHeight="1" x14ac:dyDescent="0.3">
      <c r="B889" s="8"/>
      <c r="E889" s="8"/>
      <c r="G889" s="8"/>
    </row>
    <row r="890" spans="2:7" ht="14.25" customHeight="1" x14ac:dyDescent="0.3">
      <c r="B890" s="8"/>
      <c r="E890" s="8"/>
      <c r="G890" s="8"/>
    </row>
    <row r="891" spans="2:7" ht="14.25" customHeight="1" x14ac:dyDescent="0.3">
      <c r="B891" s="8"/>
      <c r="E891" s="8"/>
      <c r="G891" s="8"/>
    </row>
    <row r="892" spans="2:7" ht="14.25" customHeight="1" x14ac:dyDescent="0.3">
      <c r="B892" s="8"/>
      <c r="E892" s="8"/>
      <c r="G892" s="8"/>
    </row>
    <row r="893" spans="2:7" ht="14.25" customHeight="1" x14ac:dyDescent="0.3">
      <c r="B893" s="8"/>
      <c r="E893" s="8"/>
      <c r="G893" s="8"/>
    </row>
    <row r="894" spans="2:7" ht="14.25" customHeight="1" x14ac:dyDescent="0.3">
      <c r="B894" s="8"/>
      <c r="E894" s="8"/>
      <c r="G894" s="8"/>
    </row>
    <row r="895" spans="2:7" ht="14.25" customHeight="1" x14ac:dyDescent="0.3">
      <c r="B895" s="8"/>
      <c r="E895" s="8"/>
      <c r="G895" s="8"/>
    </row>
    <row r="896" spans="2:7" ht="14.25" customHeight="1" x14ac:dyDescent="0.3">
      <c r="B896" s="8"/>
      <c r="E896" s="8"/>
      <c r="G896" s="8"/>
    </row>
    <row r="897" spans="2:7" ht="14.25" customHeight="1" x14ac:dyDescent="0.3">
      <c r="B897" s="8"/>
      <c r="E897" s="8"/>
      <c r="G897" s="8"/>
    </row>
    <row r="898" spans="2:7" ht="14.25" customHeight="1" x14ac:dyDescent="0.3">
      <c r="B898" s="8"/>
      <c r="E898" s="8"/>
      <c r="G898" s="8"/>
    </row>
    <row r="899" spans="2:7" ht="14.25" customHeight="1" x14ac:dyDescent="0.3">
      <c r="B899" s="8"/>
      <c r="E899" s="8"/>
      <c r="G899" s="8"/>
    </row>
    <row r="900" spans="2:7" ht="14.25" customHeight="1" x14ac:dyDescent="0.3">
      <c r="B900" s="8"/>
      <c r="E900" s="8"/>
      <c r="G900" s="8"/>
    </row>
    <row r="901" spans="2:7" ht="14.25" customHeight="1" x14ac:dyDescent="0.3">
      <c r="B901" s="8"/>
      <c r="E901" s="8"/>
      <c r="G901" s="8"/>
    </row>
    <row r="902" spans="2:7" ht="14.25" customHeight="1" x14ac:dyDescent="0.3">
      <c r="B902" s="8"/>
      <c r="E902" s="8"/>
      <c r="G902" s="8"/>
    </row>
    <row r="903" spans="2:7" ht="14.25" customHeight="1" x14ac:dyDescent="0.3">
      <c r="B903" s="8"/>
      <c r="E903" s="8"/>
      <c r="G903" s="8"/>
    </row>
    <row r="904" spans="2:7" ht="14.25" customHeight="1" x14ac:dyDescent="0.3">
      <c r="B904" s="8"/>
      <c r="E904" s="8"/>
      <c r="G904" s="8"/>
    </row>
    <row r="905" spans="2:7" ht="14.25" customHeight="1" x14ac:dyDescent="0.3">
      <c r="B905" s="8"/>
      <c r="E905" s="8"/>
      <c r="G905" s="8"/>
    </row>
    <row r="906" spans="2:7" ht="14.25" customHeight="1" x14ac:dyDescent="0.3">
      <c r="B906" s="8"/>
      <c r="E906" s="8"/>
      <c r="G906" s="8"/>
    </row>
    <row r="907" spans="2:7" ht="14.25" customHeight="1" x14ac:dyDescent="0.3">
      <c r="B907" s="8"/>
      <c r="E907" s="8"/>
      <c r="G907" s="8"/>
    </row>
    <row r="908" spans="2:7" ht="14.25" customHeight="1" x14ac:dyDescent="0.3">
      <c r="B908" s="8"/>
      <c r="E908" s="8"/>
      <c r="G908" s="8"/>
    </row>
    <row r="909" spans="2:7" ht="14.25" customHeight="1" x14ac:dyDescent="0.3">
      <c r="B909" s="8"/>
      <c r="E909" s="8"/>
      <c r="G909" s="8"/>
    </row>
    <row r="910" spans="2:7" ht="14.25" customHeight="1" x14ac:dyDescent="0.3">
      <c r="B910" s="8"/>
      <c r="E910" s="8"/>
      <c r="G910" s="8"/>
    </row>
    <row r="911" spans="2:7" ht="14.25" customHeight="1" x14ac:dyDescent="0.3">
      <c r="B911" s="8"/>
      <c r="E911" s="8"/>
      <c r="G911" s="8"/>
    </row>
    <row r="912" spans="2:7" ht="14.25" customHeight="1" x14ac:dyDescent="0.3">
      <c r="B912" s="8"/>
      <c r="E912" s="8"/>
      <c r="G912" s="8"/>
    </row>
    <row r="913" spans="2:7" ht="14.25" customHeight="1" x14ac:dyDescent="0.3">
      <c r="B913" s="8"/>
      <c r="E913" s="8"/>
      <c r="G913" s="8"/>
    </row>
    <row r="914" spans="2:7" ht="14.25" customHeight="1" x14ac:dyDescent="0.3">
      <c r="B914" s="8"/>
      <c r="E914" s="8"/>
      <c r="G914" s="8"/>
    </row>
    <row r="915" spans="2:7" ht="14.25" customHeight="1" x14ac:dyDescent="0.3">
      <c r="B915" s="8"/>
      <c r="E915" s="8"/>
      <c r="G915" s="8"/>
    </row>
    <row r="916" spans="2:7" ht="14.25" customHeight="1" x14ac:dyDescent="0.3">
      <c r="B916" s="8"/>
      <c r="E916" s="8"/>
      <c r="G916" s="8"/>
    </row>
    <row r="917" spans="2:7" ht="14.25" customHeight="1" x14ac:dyDescent="0.3">
      <c r="B917" s="8"/>
      <c r="E917" s="8"/>
      <c r="G917" s="8"/>
    </row>
    <row r="918" spans="2:7" ht="14.25" customHeight="1" x14ac:dyDescent="0.3">
      <c r="B918" s="8"/>
      <c r="E918" s="8"/>
      <c r="G918" s="8"/>
    </row>
    <row r="919" spans="2:7" ht="14.25" customHeight="1" x14ac:dyDescent="0.3">
      <c r="B919" s="8"/>
      <c r="E919" s="8"/>
      <c r="G919" s="8"/>
    </row>
    <row r="920" spans="2:7" ht="14.25" customHeight="1" x14ac:dyDescent="0.3">
      <c r="B920" s="8"/>
      <c r="E920" s="8"/>
      <c r="G920" s="8"/>
    </row>
    <row r="921" spans="2:7" ht="14.25" customHeight="1" x14ac:dyDescent="0.3">
      <c r="B921" s="8"/>
      <c r="E921" s="8"/>
      <c r="G921" s="8"/>
    </row>
    <row r="922" spans="2:7" ht="14.25" customHeight="1" x14ac:dyDescent="0.3">
      <c r="B922" s="8"/>
      <c r="E922" s="8"/>
      <c r="G922" s="8"/>
    </row>
    <row r="923" spans="2:7" ht="14.25" customHeight="1" x14ac:dyDescent="0.3">
      <c r="B923" s="8"/>
      <c r="E923" s="8"/>
      <c r="G923" s="8"/>
    </row>
    <row r="924" spans="2:7" ht="14.25" customHeight="1" x14ac:dyDescent="0.3">
      <c r="B924" s="8"/>
      <c r="E924" s="8"/>
      <c r="G924" s="8"/>
    </row>
    <row r="925" spans="2:7" ht="14.25" customHeight="1" x14ac:dyDescent="0.3">
      <c r="B925" s="8"/>
      <c r="E925" s="8"/>
      <c r="G925" s="8"/>
    </row>
    <row r="926" spans="2:7" ht="14.25" customHeight="1" x14ac:dyDescent="0.3">
      <c r="B926" s="8"/>
      <c r="E926" s="8"/>
      <c r="G926" s="8"/>
    </row>
    <row r="927" spans="2:7" ht="14.25" customHeight="1" x14ac:dyDescent="0.3">
      <c r="B927" s="8"/>
      <c r="E927" s="8"/>
      <c r="G927" s="8"/>
    </row>
    <row r="928" spans="2:7" ht="14.25" customHeight="1" x14ac:dyDescent="0.3">
      <c r="B928" s="8"/>
      <c r="E928" s="8"/>
      <c r="G928" s="8"/>
    </row>
    <row r="929" spans="2:7" ht="14.25" customHeight="1" x14ac:dyDescent="0.3">
      <c r="B929" s="8"/>
      <c r="E929" s="8"/>
      <c r="G929" s="8"/>
    </row>
    <row r="930" spans="2:7" ht="14.25" customHeight="1" x14ac:dyDescent="0.3">
      <c r="B930" s="8"/>
      <c r="E930" s="8"/>
      <c r="G930" s="8"/>
    </row>
    <row r="931" spans="2:7" ht="14.25" customHeight="1" x14ac:dyDescent="0.3">
      <c r="B931" s="8"/>
      <c r="E931" s="8"/>
      <c r="G931" s="8"/>
    </row>
    <row r="932" spans="2:7" ht="14.25" customHeight="1" x14ac:dyDescent="0.3">
      <c r="B932" s="8"/>
      <c r="E932" s="8"/>
      <c r="G932" s="8"/>
    </row>
    <row r="933" spans="2:7" ht="14.25" customHeight="1" x14ac:dyDescent="0.3">
      <c r="B933" s="8"/>
      <c r="E933" s="8"/>
      <c r="G933" s="8"/>
    </row>
    <row r="934" spans="2:7" ht="14.25" customHeight="1" x14ac:dyDescent="0.3">
      <c r="B934" s="8"/>
      <c r="E934" s="8"/>
      <c r="G934" s="8"/>
    </row>
    <row r="935" spans="2:7" ht="14.25" customHeight="1" x14ac:dyDescent="0.3">
      <c r="B935" s="8"/>
      <c r="E935" s="8"/>
      <c r="G935" s="8"/>
    </row>
    <row r="936" spans="2:7" ht="14.25" customHeight="1" x14ac:dyDescent="0.3">
      <c r="B936" s="8"/>
      <c r="E936" s="8"/>
      <c r="G936" s="8"/>
    </row>
    <row r="937" spans="2:7" ht="14.25" customHeight="1" x14ac:dyDescent="0.3">
      <c r="B937" s="8"/>
      <c r="E937" s="8"/>
      <c r="G937" s="8"/>
    </row>
    <row r="938" spans="2:7" ht="14.25" customHeight="1" x14ac:dyDescent="0.3">
      <c r="B938" s="8"/>
      <c r="E938" s="8"/>
      <c r="G938" s="8"/>
    </row>
    <row r="939" spans="2:7" ht="14.25" customHeight="1" x14ac:dyDescent="0.3">
      <c r="B939" s="8"/>
      <c r="E939" s="8"/>
      <c r="G939" s="8"/>
    </row>
    <row r="940" spans="2:7" ht="14.25" customHeight="1" x14ac:dyDescent="0.3">
      <c r="B940" s="8"/>
      <c r="E940" s="8"/>
      <c r="G940" s="8"/>
    </row>
    <row r="941" spans="2:7" ht="14.25" customHeight="1" x14ac:dyDescent="0.3">
      <c r="B941" s="8"/>
      <c r="E941" s="8"/>
      <c r="G941" s="8"/>
    </row>
    <row r="942" spans="2:7" ht="14.25" customHeight="1" x14ac:dyDescent="0.3">
      <c r="B942" s="8"/>
      <c r="E942" s="8"/>
      <c r="G942" s="8"/>
    </row>
    <row r="943" spans="2:7" ht="14.25" customHeight="1" x14ac:dyDescent="0.3">
      <c r="B943" s="8"/>
      <c r="E943" s="8"/>
      <c r="G943" s="8"/>
    </row>
    <row r="944" spans="2:7" ht="14.25" customHeight="1" x14ac:dyDescent="0.3">
      <c r="B944" s="8"/>
      <c r="E944" s="8"/>
      <c r="G944" s="8"/>
    </row>
    <row r="945" spans="2:7" ht="14.25" customHeight="1" x14ac:dyDescent="0.3">
      <c r="B945" s="8"/>
      <c r="E945" s="8"/>
      <c r="G945" s="8"/>
    </row>
    <row r="946" spans="2:7" ht="14.25" customHeight="1" x14ac:dyDescent="0.3">
      <c r="B946" s="8"/>
      <c r="E946" s="8"/>
      <c r="G946" s="8"/>
    </row>
    <row r="947" spans="2:7" ht="14.25" customHeight="1" x14ac:dyDescent="0.3">
      <c r="B947" s="8"/>
      <c r="E947" s="8"/>
      <c r="G947" s="8"/>
    </row>
    <row r="948" spans="2:7" ht="14.25" customHeight="1" x14ac:dyDescent="0.3">
      <c r="B948" s="8"/>
      <c r="E948" s="8"/>
      <c r="G948" s="8"/>
    </row>
    <row r="949" spans="2:7" ht="14.25" customHeight="1" x14ac:dyDescent="0.3">
      <c r="B949" s="8"/>
      <c r="E949" s="8"/>
      <c r="G949" s="8"/>
    </row>
    <row r="950" spans="2:7" ht="14.25" customHeight="1" x14ac:dyDescent="0.3">
      <c r="B950" s="8"/>
      <c r="E950" s="8"/>
      <c r="G950" s="8"/>
    </row>
    <row r="951" spans="2:7" ht="14.25" customHeight="1" x14ac:dyDescent="0.3">
      <c r="B951" s="8"/>
      <c r="E951" s="8"/>
      <c r="G951" s="8"/>
    </row>
    <row r="952" spans="2:7" ht="14.25" customHeight="1" x14ac:dyDescent="0.3">
      <c r="B952" s="8"/>
      <c r="E952" s="8"/>
      <c r="G952" s="8"/>
    </row>
    <row r="953" spans="2:7" ht="14.25" customHeight="1" x14ac:dyDescent="0.3">
      <c r="B953" s="8"/>
      <c r="E953" s="8"/>
      <c r="G953" s="8"/>
    </row>
    <row r="954" spans="2:7" ht="14.25" customHeight="1" x14ac:dyDescent="0.3">
      <c r="B954" s="8"/>
      <c r="E954" s="8"/>
      <c r="G954" s="8"/>
    </row>
    <row r="955" spans="2:7" ht="14.25" customHeight="1" x14ac:dyDescent="0.3">
      <c r="B955" s="8"/>
      <c r="E955" s="8"/>
      <c r="G955" s="8"/>
    </row>
    <row r="956" spans="2:7" ht="14.25" customHeight="1" x14ac:dyDescent="0.3">
      <c r="B956" s="8"/>
      <c r="E956" s="8"/>
      <c r="G956" s="8"/>
    </row>
    <row r="957" spans="2:7" ht="14.25" customHeight="1" x14ac:dyDescent="0.3">
      <c r="B957" s="8"/>
      <c r="E957" s="8"/>
      <c r="G957" s="8"/>
    </row>
    <row r="958" spans="2:7" ht="14.25" customHeight="1" x14ac:dyDescent="0.3">
      <c r="B958" s="8"/>
      <c r="E958" s="8"/>
      <c r="G958" s="8"/>
    </row>
    <row r="959" spans="2:7" ht="14.25" customHeight="1" x14ac:dyDescent="0.3">
      <c r="B959" s="8"/>
      <c r="E959" s="8"/>
      <c r="G959" s="8"/>
    </row>
    <row r="960" spans="2:7" ht="14.25" customHeight="1" x14ac:dyDescent="0.3">
      <c r="B960" s="8"/>
      <c r="E960" s="8"/>
      <c r="G960" s="8"/>
    </row>
    <row r="961" spans="2:7" ht="14.25" customHeight="1" x14ac:dyDescent="0.3">
      <c r="B961" s="8"/>
      <c r="E961" s="8"/>
      <c r="G961" s="8"/>
    </row>
    <row r="962" spans="2:7" ht="14.25" customHeight="1" x14ac:dyDescent="0.3">
      <c r="B962" s="8"/>
      <c r="E962" s="8"/>
      <c r="G962" s="8"/>
    </row>
    <row r="963" spans="2:7" ht="14.25" customHeight="1" x14ac:dyDescent="0.3">
      <c r="B963" s="8"/>
      <c r="E963" s="8"/>
      <c r="G963" s="8"/>
    </row>
    <row r="964" spans="2:7" ht="14.25" customHeight="1" x14ac:dyDescent="0.3">
      <c r="B964" s="8"/>
      <c r="E964" s="8"/>
      <c r="G964" s="8"/>
    </row>
    <row r="965" spans="2:7" ht="14.25" customHeight="1" x14ac:dyDescent="0.3">
      <c r="B965" s="8"/>
      <c r="E965" s="8"/>
      <c r="G965" s="8"/>
    </row>
    <row r="966" spans="2:7" ht="14.25" customHeight="1" x14ac:dyDescent="0.3">
      <c r="B966" s="8"/>
      <c r="E966" s="8"/>
      <c r="G966" s="8"/>
    </row>
    <row r="967" spans="2:7" ht="14.25" customHeight="1" x14ac:dyDescent="0.3">
      <c r="B967" s="8"/>
      <c r="E967" s="8"/>
      <c r="G967" s="8"/>
    </row>
    <row r="968" spans="2:7" ht="14.25" customHeight="1" x14ac:dyDescent="0.3">
      <c r="B968" s="8"/>
      <c r="E968" s="8"/>
      <c r="G968" s="8"/>
    </row>
    <row r="969" spans="2:7" ht="14.25" customHeight="1" x14ac:dyDescent="0.3">
      <c r="B969" s="8"/>
      <c r="E969" s="8"/>
      <c r="G969" s="8"/>
    </row>
    <row r="970" spans="2:7" ht="14.25" customHeight="1" x14ac:dyDescent="0.3">
      <c r="B970" s="8"/>
      <c r="E970" s="8"/>
      <c r="G970" s="8"/>
    </row>
    <row r="971" spans="2:7" ht="14.25" customHeight="1" x14ac:dyDescent="0.3">
      <c r="B971" s="8"/>
      <c r="E971" s="8"/>
      <c r="G971" s="8"/>
    </row>
    <row r="972" spans="2:7" ht="14.25" customHeight="1" x14ac:dyDescent="0.3">
      <c r="B972" s="8"/>
      <c r="E972" s="8"/>
      <c r="G972" s="8"/>
    </row>
    <row r="973" spans="2:7" ht="14.25" customHeight="1" x14ac:dyDescent="0.3">
      <c r="B973" s="8"/>
      <c r="E973" s="8"/>
      <c r="G973" s="8"/>
    </row>
    <row r="974" spans="2:7" ht="14.25" customHeight="1" x14ac:dyDescent="0.3">
      <c r="B974" s="8"/>
      <c r="E974" s="8"/>
      <c r="G974" s="8"/>
    </row>
    <row r="975" spans="2:7" ht="14.25" customHeight="1" x14ac:dyDescent="0.3">
      <c r="B975" s="8"/>
      <c r="E975" s="8"/>
      <c r="G975" s="8"/>
    </row>
    <row r="976" spans="2:7" ht="14.25" customHeight="1" x14ac:dyDescent="0.3">
      <c r="B976" s="8"/>
      <c r="E976" s="8"/>
      <c r="G976" s="8"/>
    </row>
    <row r="977" spans="2:7" ht="14.25" customHeight="1" x14ac:dyDescent="0.3">
      <c r="B977" s="8"/>
      <c r="E977" s="8"/>
      <c r="G977" s="8"/>
    </row>
    <row r="978" spans="2:7" ht="14.25" customHeight="1" x14ac:dyDescent="0.3">
      <c r="B978" s="8"/>
      <c r="E978" s="8"/>
      <c r="G978" s="8"/>
    </row>
    <row r="979" spans="2:7" ht="14.25" customHeight="1" x14ac:dyDescent="0.3">
      <c r="B979" s="8"/>
      <c r="E979" s="8"/>
      <c r="G979" s="8"/>
    </row>
    <row r="980" spans="2:7" ht="14.25" customHeight="1" x14ac:dyDescent="0.3">
      <c r="B980" s="8"/>
      <c r="E980" s="8"/>
      <c r="G980" s="8"/>
    </row>
    <row r="981" spans="2:7" ht="14.25" customHeight="1" x14ac:dyDescent="0.3">
      <c r="B981" s="8"/>
      <c r="E981" s="8"/>
      <c r="G981" s="8"/>
    </row>
    <row r="982" spans="2:7" ht="14.25" customHeight="1" x14ac:dyDescent="0.3">
      <c r="B982" s="8"/>
      <c r="E982" s="8"/>
      <c r="G982" s="8"/>
    </row>
    <row r="983" spans="2:7" ht="14.25" customHeight="1" x14ac:dyDescent="0.3">
      <c r="B983" s="8"/>
      <c r="E983" s="8"/>
      <c r="G983" s="8"/>
    </row>
    <row r="984" spans="2:7" ht="14.25" customHeight="1" x14ac:dyDescent="0.3">
      <c r="B984" s="8"/>
      <c r="E984" s="8"/>
      <c r="G984" s="8"/>
    </row>
    <row r="985" spans="2:7" ht="14.25" customHeight="1" x14ac:dyDescent="0.3">
      <c r="B985" s="8"/>
      <c r="E985" s="8"/>
      <c r="G985" s="8"/>
    </row>
    <row r="986" spans="2:7" ht="14.25" customHeight="1" x14ac:dyDescent="0.3">
      <c r="B986" s="8"/>
      <c r="E986" s="8"/>
      <c r="G986" s="8"/>
    </row>
    <row r="987" spans="2:7" ht="14.25" customHeight="1" x14ac:dyDescent="0.3">
      <c r="B987" s="8"/>
      <c r="E987" s="8"/>
      <c r="G987" s="8"/>
    </row>
    <row r="988" spans="2:7" ht="14.25" customHeight="1" x14ac:dyDescent="0.3">
      <c r="B988" s="8"/>
      <c r="E988" s="8"/>
      <c r="G988" s="8"/>
    </row>
    <row r="989" spans="2:7" ht="14.25" customHeight="1" x14ac:dyDescent="0.3">
      <c r="B989" s="8"/>
      <c r="E989" s="8"/>
      <c r="G989" s="8"/>
    </row>
    <row r="990" spans="2:7" ht="14.25" customHeight="1" x14ac:dyDescent="0.3">
      <c r="B990" s="8"/>
      <c r="E990" s="8"/>
      <c r="G990" s="8"/>
    </row>
    <row r="991" spans="2:7" ht="14.25" customHeight="1" x14ac:dyDescent="0.3">
      <c r="B991" s="8"/>
      <c r="E991" s="8"/>
      <c r="G991" s="8"/>
    </row>
    <row r="992" spans="2:7" ht="14.25" customHeight="1" x14ac:dyDescent="0.3">
      <c r="B992" s="8"/>
      <c r="E992" s="8"/>
      <c r="G992" s="8"/>
    </row>
    <row r="993" spans="2:7" ht="14.25" customHeight="1" x14ac:dyDescent="0.3">
      <c r="B993" s="8"/>
      <c r="E993" s="8"/>
      <c r="G993" s="8"/>
    </row>
    <row r="994" spans="2:7" ht="14.25" customHeight="1" x14ac:dyDescent="0.3">
      <c r="B994" s="8"/>
      <c r="E994" s="8"/>
      <c r="G994" s="8"/>
    </row>
    <row r="995" spans="2:7" ht="14.25" customHeight="1" x14ac:dyDescent="0.3">
      <c r="B995" s="8"/>
      <c r="E995" s="8"/>
      <c r="G995" s="8"/>
    </row>
    <row r="996" spans="2:7" ht="14.25" customHeight="1" x14ac:dyDescent="0.3">
      <c r="B996" s="8"/>
      <c r="E996" s="8"/>
      <c r="G996" s="8"/>
    </row>
    <row r="997" spans="2:7" ht="14.25" customHeight="1" x14ac:dyDescent="0.3">
      <c r="B997" s="8"/>
      <c r="E997" s="8"/>
      <c r="G997" s="8"/>
    </row>
    <row r="998" spans="2:7" ht="14.25" customHeight="1" x14ac:dyDescent="0.3">
      <c r="B998" s="8"/>
      <c r="E998" s="8"/>
      <c r="G998" s="8"/>
    </row>
    <row r="999" spans="2:7" ht="14.25" customHeight="1" x14ac:dyDescent="0.3">
      <c r="B999" s="8"/>
      <c r="E999" s="8"/>
      <c r="G999" s="8"/>
    </row>
    <row r="1000" spans="2:7" ht="14.25" customHeight="1" x14ac:dyDescent="0.3">
      <c r="B1000" s="8"/>
      <c r="E1000" s="8"/>
      <c r="G1000" s="8"/>
    </row>
  </sheetData>
  <conditionalFormatting sqref="K2:K5">
    <cfRule type="top10" dxfId="2" priority="1" percent="1" bottom="1" rank="10"/>
    <cfRule type="top10" dxfId="1" priority="2" percent="1" rank="50"/>
    <cfRule type="top10" dxfId="0" priority="3" percent="1" rank="41"/>
  </conditionalFormatting>
  <pageMargins left="0.7" right="0.7" top="0.75" bottom="0.75" header="0" footer="0"/>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C6EB-A1D6-4D8D-AA10-41811BF5455B}">
  <sheetPr codeName="Sheet18"/>
  <dimension ref="A3:L19"/>
  <sheetViews>
    <sheetView topLeftCell="C1" zoomScale="126" workbookViewId="0">
      <selection activeCell="A5" sqref="A5"/>
    </sheetView>
  </sheetViews>
  <sheetFormatPr defaultRowHeight="14.4" x14ac:dyDescent="0.3"/>
  <cols>
    <col min="1" max="1" width="12.5546875" bestFit="1" customWidth="1"/>
    <col min="2" max="2" width="16.21875" bestFit="1" customWidth="1"/>
    <col min="3" max="3" width="26.33203125" bestFit="1" customWidth="1"/>
  </cols>
  <sheetData>
    <row r="3" spans="1:3" x14ac:dyDescent="0.3">
      <c r="A3" s="38" t="s">
        <v>621</v>
      </c>
      <c r="B3" t="s">
        <v>638</v>
      </c>
      <c r="C3" t="s">
        <v>639</v>
      </c>
    </row>
    <row r="4" spans="1:3" x14ac:dyDescent="0.3">
      <c r="A4" s="39" t="s">
        <v>43</v>
      </c>
      <c r="B4" s="35">
        <v>1379539</v>
      </c>
      <c r="C4" s="37">
        <v>5.6486000000000001</v>
      </c>
    </row>
    <row r="5" spans="1:3" x14ac:dyDescent="0.3">
      <c r="A5" s="39" t="s">
        <v>33</v>
      </c>
      <c r="B5" s="35">
        <v>1164373</v>
      </c>
      <c r="C5" s="37">
        <v>5.7156000000000002</v>
      </c>
    </row>
    <row r="6" spans="1:3" x14ac:dyDescent="0.3">
      <c r="A6" s="39" t="s">
        <v>14</v>
      </c>
      <c r="B6" s="35">
        <v>1060357</v>
      </c>
      <c r="C6" s="37">
        <v>5.6558000000000002</v>
      </c>
    </row>
    <row r="7" spans="1:3" x14ac:dyDescent="0.3">
      <c r="A7" s="39" t="s">
        <v>27</v>
      </c>
      <c r="B7" s="35">
        <v>1228647</v>
      </c>
      <c r="C7" s="37">
        <v>5.5587999999999997</v>
      </c>
    </row>
    <row r="8" spans="1:3" x14ac:dyDescent="0.3">
      <c r="A8" s="39" t="s">
        <v>622</v>
      </c>
      <c r="B8" s="35">
        <v>4832916</v>
      </c>
      <c r="C8" s="37">
        <v>5.6446999999999994</v>
      </c>
    </row>
    <row r="18" spans="5:12" x14ac:dyDescent="0.3">
      <c r="E18" s="66" t="s">
        <v>647</v>
      </c>
      <c r="F18" s="66"/>
      <c r="G18" s="66"/>
      <c r="H18" s="66"/>
      <c r="I18" s="66"/>
      <c r="J18" s="66"/>
      <c r="K18" s="66"/>
      <c r="L18" s="66"/>
    </row>
    <row r="19" spans="5:12" x14ac:dyDescent="0.3">
      <c r="E19" s="66"/>
      <c r="F19" s="66"/>
      <c r="G19" s="66"/>
      <c r="H19" s="66"/>
      <c r="I19" s="66"/>
      <c r="J19" s="66"/>
      <c r="K19" s="66"/>
      <c r="L19" s="66"/>
    </row>
  </sheetData>
  <mergeCells count="1">
    <mergeCell ref="E18:L19"/>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8D1D57-1B4A-42AA-8555-35B9016AD8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Dash_Board</vt:lpstr>
      <vt:lpstr>Posts</vt:lpstr>
      <vt:lpstr>Cleaned_Data</vt:lpstr>
      <vt:lpstr>Clean_Hashtag_Data</vt:lpstr>
      <vt:lpstr>Hashtag_Performanance</vt:lpstr>
      <vt:lpstr>Hashtag_Performance_2</vt:lpstr>
      <vt:lpstr>Total_Engagement</vt:lpstr>
      <vt:lpstr>Content_wise_Engagement_Rate</vt:lpstr>
      <vt:lpstr>Cost _Per_Engagement</vt:lpstr>
      <vt:lpstr>ROI</vt:lpstr>
      <vt:lpstr>Engagement Summary</vt:lpstr>
      <vt:lpstr>Engagement Summary (2)</vt:lpstr>
      <vt:lpstr>Highest_follower_gain</vt:lpstr>
      <vt:lpstr>Platform_wise_Growth</vt:lpstr>
      <vt:lpstr>Follower_Impact</vt:lpstr>
      <vt:lpstr>Growth_Rate</vt:lpstr>
      <vt:lpstr>Campaign Metadata</vt:lpstr>
      <vt:lpstr>Campaign Metadata (2)</vt:lpstr>
      <vt:lpstr>Ad_Spent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Swarnim Mishra</dc:creator>
  <cp:lastModifiedBy>Swarnim Mishra</cp:lastModifiedBy>
  <dcterms:created xsi:type="dcterms:W3CDTF">2025-05-26T02:16:03Z</dcterms:created>
  <dcterms:modified xsi:type="dcterms:W3CDTF">2025-10-04T15:31:39Z</dcterms:modified>
</cp:coreProperties>
</file>